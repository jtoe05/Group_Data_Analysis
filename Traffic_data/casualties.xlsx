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tables/table7.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tables/table8.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tables/table9.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tables/table10.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xml"/>
  <Override PartName="/xl/tables/table11.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2.xml" ContentType="application/vnd.openxmlformats-officedocument.spreadsheetml.table+xml"/>
  <Override PartName="/xl/namedSheetViews/namedSheetView1.xml" ContentType="application/vnd.ms-excel.namedsheetviews+xml"/>
  <Override PartName="/xl/drawings/drawing12.xml" ContentType="application/vnd.openxmlformats-officedocument.drawing+xml"/>
  <Override PartName="/xl/tables/table13.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4.xml" ContentType="application/vnd.openxmlformats-officedocument.spreadsheetml.table+xml"/>
  <Override PartName="/xl/drawings/drawing13.xml" ContentType="application/vnd.openxmlformats-officedocument.drawing+xml"/>
  <Override PartName="/xl/tables/table15.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6.xml" ContentType="application/vnd.openxmlformats-officedocument.spreadsheetml.table+xml"/>
  <Override PartName="/xl/drawings/drawing14.xml" ContentType="application/vnd.openxmlformats-officedocument.drawing+xml"/>
  <Override PartName="/xl/tables/table17.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5.xml" ContentType="application/vnd.openxmlformats-officedocument.drawing+xml"/>
  <Override PartName="/xl/tables/table18.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6.xml" ContentType="application/vnd.openxmlformats-officedocument.drawing+xml"/>
  <Override PartName="/xl/tables/table19.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updateLinks="never" codeName="ThisWorkbook" defaultThemeVersion="124226"/>
  <mc:AlternateContent xmlns:mc="http://schemas.openxmlformats.org/markup-compatibility/2006">
    <mc:Choice Requires="x15">
      <x15ac:absPath xmlns:x15ac="http://schemas.microsoft.com/office/spreadsheetml/2010/11/ac" url="https://transportforlondon.sharepoint.com/sites/SHEDataAndAnalysis/Shared Documents/Road Safety/Collisions Data Team/Factsheets/2024 Factsheet/Post-publication amendments/"/>
    </mc:Choice>
  </mc:AlternateContent>
  <xr:revisionPtr revIDLastSave="119" documentId="8_{746F03DD-D75E-4C38-8022-56F8E6C782FF}" xr6:coauthVersionLast="47" xr6:coauthVersionMax="47" xr10:uidLastSave="{0B973023-3CAC-4986-9E5B-249C029F1DCD}"/>
  <bookViews>
    <workbookView xWindow="-110" yWindow="-110" windowWidth="19420" windowHeight="11620" tabRatio="919" xr2:uid="{00000000-000D-0000-FFFF-FFFF00000000}"/>
  </bookViews>
  <sheets>
    <sheet name="Factsheet 2024 Data Annex" sheetId="116" r:id="rId1"/>
    <sheet name="Table of contents" sheetId="117" r:id="rId2"/>
    <sheet name="Table 1" sheetId="458" r:id="rId3"/>
    <sheet name="Table 2" sheetId="480" r:id="rId4"/>
    <sheet name="Table 3" sheetId="459" r:id="rId5"/>
    <sheet name="Table 4" sheetId="420" r:id="rId6"/>
    <sheet name="Table 5" sheetId="481" r:id="rId7"/>
    <sheet name="Table 6" sheetId="482" r:id="rId8"/>
    <sheet name="Table 7" sheetId="483" r:id="rId9"/>
    <sheet name="Table 8" sheetId="452" r:id="rId10"/>
    <sheet name="Table 9" sheetId="484" r:id="rId11"/>
    <sheet name="Table 10" sheetId="485" r:id="rId12"/>
    <sheet name="Table 11" sheetId="450" r:id="rId13"/>
    <sheet name="Figures 7 and 8" sheetId="464" r:id="rId14"/>
    <sheet name="Boroughs" sheetId="466" r:id="rId15"/>
    <sheet name="Table 12" sheetId="461" r:id="rId16"/>
    <sheet name="Table 13" sheetId="462" r:id="rId17"/>
    <sheet name="Table 14" sheetId="463" r:id="rId18"/>
    <sheet name="Table 15" sheetId="465" r:id="rId19"/>
    <sheet name="Table 16" sheetId="486" r:id="rId20"/>
    <sheet name="Table 17" sheetId="422" r:id="rId21"/>
    <sheet name="Table 18" sheetId="460" r:id="rId22"/>
    <sheet name="Table 19" sheetId="467" r:id="rId23"/>
  </sheets>
  <externalReferences>
    <externalReference r:id="rId24"/>
  </externalReferences>
  <definedNames>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8</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hidden="1">[1]NSEFARES!$A$33:$B$54</definedName>
    <definedName name="_xlnm._FilterDatabase" localSheetId="15" hidden="1">'Table 12'!$C$4:$N$4</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0</definedName>
    <definedName name="RiskFixedSeed" hidden="1">1</definedName>
    <definedName name="RiskHasSettings" hidden="1">5</definedName>
    <definedName name="RiskMinimizeOnStart" hidden="1">FALSE</definedName>
    <definedName name="RiskMonitorConvergence" hidden="1">FALSE</definedName>
    <definedName name="RiskNumIterations" hidden="1">20000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485" l="1"/>
  <c r="G13" i="484"/>
  <c r="G13" i="483"/>
  <c r="G13" i="482"/>
  <c r="G13" i="481"/>
  <c r="G13" i="480" l="1"/>
</calcChain>
</file>

<file path=xl/sharedStrings.xml><?xml version="1.0" encoding="utf-8"?>
<sst xmlns="http://schemas.openxmlformats.org/spreadsheetml/2006/main" count="8189" uniqueCount="275">
  <si>
    <t>Casualties in Greater London during 2024</t>
  </si>
  <si>
    <t>Data annex</t>
  </si>
  <si>
    <t>About this release</t>
  </si>
  <si>
    <r>
      <rPr>
        <sz val="14"/>
        <color rgb="FF000000"/>
        <rFont val="Arial"/>
        <family val="2"/>
      </rPr>
      <t xml:space="preserve">This workbook contains a number of graphs and tables published alongside the </t>
    </r>
    <r>
      <rPr>
        <u/>
        <sz val="14"/>
        <color rgb="FF3333CC"/>
        <rFont val="Arial"/>
        <family val="2"/>
      </rPr>
      <t>Casualties in Greater London during 2024 report</t>
    </r>
  </si>
  <si>
    <t>Previously published Casualties in Greater London factsheets and associated publications</t>
  </si>
  <si>
    <t>Casualties in Greater London factsheets</t>
  </si>
  <si>
    <t>Road danger reduction dashboard</t>
  </si>
  <si>
    <t>London collision map ArcGIS tool</t>
  </si>
  <si>
    <t>Mayor's Transport Strategy</t>
  </si>
  <si>
    <t>Inequalities in road danger report</t>
  </si>
  <si>
    <t>Inequalities in road danger dashboard</t>
  </si>
  <si>
    <t>Travel in London 2024</t>
  </si>
  <si>
    <t>Bus safety strategy</t>
  </si>
  <si>
    <t xml:space="preserve">STATS19 definitions </t>
  </si>
  <si>
    <t>Reported road casualties Great Britain, provisional results: 2024 (Department for Transport)</t>
  </si>
  <si>
    <t>Vision Zero action plan</t>
  </si>
  <si>
    <t>Caveats</t>
  </si>
  <si>
    <t>The 'Statistically significant' column found in some of the tables shows where changes are significant at the 95 per cent confidence level, applying the Poisson probability distribution.</t>
  </si>
  <si>
    <t>Asterisks (*) indicate where statistics for taxi and private hire collisions may be merged.  We are only able to confidently identify taxi and private hire collision for the Metropolitan Police area since 2017 due to changes in their recording methods. Prior to that figures may be merged. Additionally, taxi and private hire data for City of London is merged.</t>
  </si>
  <si>
    <r>
      <t xml:space="preserve">We are working to make our tables fully accessible. If you require an accessible version in the interim please contact </t>
    </r>
    <r>
      <rPr>
        <u/>
        <sz val="14"/>
        <color rgb="FF3333CC"/>
        <rFont val="Arial"/>
        <family val="2"/>
      </rPr>
      <t>collisiondata@tfl.gov.uk</t>
    </r>
  </si>
  <si>
    <t>First created: 25/09/2025</t>
  </si>
  <si>
    <t>Last updated: 23/10/2025</t>
  </si>
  <si>
    <t>Amendments</t>
  </si>
  <si>
    <t>23/10/2025: 2010-14 average added to relevant tables and graphs</t>
  </si>
  <si>
    <t>23/10/2025: Table 16 - 2024 numbers added to the Direct Vision Standards (DVS) table</t>
  </si>
  <si>
    <t>26/11/2025: Further clarificiation of Bus data pre-2017 on this page and in Tables 3 &amp; 4</t>
  </si>
  <si>
    <t>Author: Transport for London, Safety, Health &amp; Environment, Reporting &amp; Analysis team</t>
  </si>
  <si>
    <t>Contact us</t>
  </si>
  <si>
    <t>Casualties in Greater London during 2024 - data annex</t>
  </si>
  <si>
    <t>Table of contents</t>
  </si>
  <si>
    <t>Table 1. Progress towards the Mayor’s Transport Strategy killed or seriously injured casualty target for 2030 - Figure 1</t>
  </si>
  <si>
    <t>Table 2: People killed or seriously injured by mode from 2015 to 2024 - not used in the report</t>
  </si>
  <si>
    <t>Table 3. Progress towards the Mayor’s Transport Strategy bus involved fatality target for 2030 - Figure 2</t>
  </si>
  <si>
    <t>Table 4. People killed or seriously injured on or in a collision involving a bus in 2024 - Figure 3</t>
  </si>
  <si>
    <t>Table 5. People killed by mode from 2015 to 2024 on London’s roads - Figure 4</t>
  </si>
  <si>
    <t>Table 6. People seriously injured by mode from 2015 to 2024 on London’s roads - Figure 5</t>
  </si>
  <si>
    <t>Table 7. People slightly injured by mode from 2015 to 2024 on London’s roads - not used in the report</t>
  </si>
  <si>
    <t>Table 8. Casualties by mode of travel by severity in 2024 - not used in the report</t>
  </si>
  <si>
    <t>Table 9. Total casualties by mode from 2015 to 2024 on London’s roads - Figure 6</t>
  </si>
  <si>
    <t>Table 10. Children killed or seriously injured by mode from 2015 to 2024 - not used in the report</t>
  </si>
  <si>
    <t>Table 11. Total number of people killed or seriously injured involved in each mode of transport, 2024 - not used in the report</t>
  </si>
  <si>
    <t>Table 12. Casualties by borough, mode and severity - not used in the report</t>
  </si>
  <si>
    <t>Table 13. Summary of people killed or seriously injured by borough and year - not used in the report</t>
  </si>
  <si>
    <t>Table 14. Summary of vehicles involved in collisions by borough in 2023, 2024 and the percentage difference - not used in the report</t>
  </si>
  <si>
    <t>Table 15. People killed or seriously injured by borough split by highway authority - not used in the report</t>
  </si>
  <si>
    <t>Table 16. Direct Vision Standard - 12 tonne vehicles involved in collisions injuring pedestrians, cyclists and motorcyclists - not used in the report</t>
  </si>
  <si>
    <t>Table 17. People killed or seriously injured casualty rate (per 1,000 people) by year from 2017 – 2024 by deprivation level - not used in the report</t>
  </si>
  <si>
    <t>Table 18. People killed or seriously injured casualty location rate (per km of road) by year from 2017 – 2024 by deprivation level - not used in the report</t>
  </si>
  <si>
    <t>Table 19. Levels of self-reporting of casualties from 2016 to 2024 - not used in the report</t>
  </si>
  <si>
    <t>Please note Figures 7 and 8 are located in separate data annexes</t>
  </si>
  <si>
    <t>Back to Casualties in Greater London during 2024 Factsheet</t>
  </si>
  <si>
    <t>Year</t>
  </si>
  <si>
    <t>People killed or seriously injured</t>
  </si>
  <si>
    <t>2030 target</t>
  </si>
  <si>
    <t>% change vs baseline</t>
  </si>
  <si>
    <t>Statistically significant</t>
  </si>
  <si>
    <t>N/A</t>
  </si>
  <si>
    <t>2010-14 baseline</t>
  </si>
  <si>
    <t>Yes</t>
  </si>
  <si>
    <t>Back to Table of contents</t>
  </si>
  <si>
    <t>Casualty mode</t>
  </si>
  <si>
    <t>2010</t>
  </si>
  <si>
    <t>2011</t>
  </si>
  <si>
    <t>2012</t>
  </si>
  <si>
    <t>2013</t>
  </si>
  <si>
    <t>2014</t>
  </si>
  <si>
    <t>2010-14 average</t>
  </si>
  <si>
    <t>2015</t>
  </si>
  <si>
    <t>2016</t>
  </si>
  <si>
    <t>2017</t>
  </si>
  <si>
    <t>2018</t>
  </si>
  <si>
    <t>2019</t>
  </si>
  <si>
    <t>2020</t>
  </si>
  <si>
    <t>2021</t>
  </si>
  <si>
    <t>2022</t>
  </si>
  <si>
    <t>2023</t>
  </si>
  <si>
    <t>2024</t>
  </si>
  <si>
    <t>% change 2024 vs. 2023</t>
  </si>
  <si>
    <t>2024 vs. 2023 statistically significant</t>
  </si>
  <si>
    <t>% change 2024 vs. baseline</t>
  </si>
  <si>
    <t>2024 vs. baseline statistically significant</t>
  </si>
  <si>
    <t>Pedestrians</t>
  </si>
  <si>
    <t>No</t>
  </si>
  <si>
    <t>Pedal cyclists</t>
  </si>
  <si>
    <t>Motorcycle users</t>
  </si>
  <si>
    <t>Car occupants</t>
  </si>
  <si>
    <t>Bus or coach occupants</t>
  </si>
  <si>
    <t>Other vehicle occupants</t>
  </si>
  <si>
    <t>Goods vehicle occupants</t>
  </si>
  <si>
    <t>Private hire vehicle occupants*</t>
  </si>
  <si>
    <t>Taxi occupants*</t>
  </si>
  <si>
    <t>Total</t>
  </si>
  <si>
    <t>*Please note, prior to 2017, statistics for private hire and taxi collisions were merged. This is why there are no figures for private hire until 2017. Since then, they have been split as two separate categories</t>
  </si>
  <si>
    <t>People killed in or by a bus*</t>
  </si>
  <si>
    <t xml:space="preserve">*The Department for Transport's STATS19 modal category is "Bus or Coach". TfL agreed with the Metropolitan Police Service to identify London Buses within this category using a flag in the police form to enable better monitoring of incidents relating to London's buses. This means that London Bus specific data is only available from 2017. Prior to 2017, the bus-involved figures are estimates based on modelled data. </t>
  </si>
  <si>
    <t xml:space="preserve"> </t>
  </si>
  <si>
    <t>Table 4. People killed or seriously injured in or by a bus in 2024 - Figure 3</t>
  </si>
  <si>
    <t>% change over 2023</t>
  </si>
  <si>
    <t>% change over 2010-14 baseline</t>
  </si>
  <si>
    <t>Bus or coach occupants*</t>
  </si>
  <si>
    <t>Private Hire vehicle occupants</t>
  </si>
  <si>
    <t>Taxi occupants</t>
  </si>
  <si>
    <t>Private hire occupants*</t>
  </si>
  <si>
    <t>2023 fatalities</t>
  </si>
  <si>
    <t>2024 fatalities</t>
  </si>
  <si>
    <t>% change in fatalities</t>
  </si>
  <si>
    <t>Fatalities - statistically significant</t>
  </si>
  <si>
    <t>2023 serious injuries</t>
  </si>
  <si>
    <t>2024 serious injuries</t>
  </si>
  <si>
    <t>% change in serious injuries</t>
  </si>
  <si>
    <t>Serious injuries - statistically significant</t>
  </si>
  <si>
    <t>2023 slight injuries</t>
  </si>
  <si>
    <t>2024 slight injuries</t>
  </si>
  <si>
    <t>% change slight injuries</t>
  </si>
  <si>
    <t>Slight injuries - statistically significant</t>
  </si>
  <si>
    <t>2023 total casualties</t>
  </si>
  <si>
    <t>2024 total casualties</t>
  </si>
  <si>
    <t>% change total casualties</t>
  </si>
  <si>
    <t>Total casualties - statistically significant</t>
  </si>
  <si>
    <t>2010-14 average total casualties</t>
  </si>
  <si>
    <t>2024 vs. baseline (% change)</t>
  </si>
  <si>
    <t>Private Hire occupants</t>
  </si>
  <si>
    <t>Mode</t>
  </si>
  <si>
    <t>Vehicle users killed or seriously injured in 2023</t>
  </si>
  <si>
    <t>Vehicle users killed or seriously injured in 2024</t>
  </si>
  <si>
    <t>Vehicle users % change</t>
  </si>
  <si>
    <t>Vehicle users statistically significant</t>
  </si>
  <si>
    <t>Other road users killed or seriously injured in 2023</t>
  </si>
  <si>
    <t>Other road users killed or seriously injured in 2024</t>
  </si>
  <si>
    <t>Other road users % change</t>
  </si>
  <si>
    <t>Other road users statistically significant</t>
  </si>
  <si>
    <t>Pedestrian</t>
  </si>
  <si>
    <t>Pedal cycle</t>
  </si>
  <si>
    <t>Motorcycle</t>
  </si>
  <si>
    <t>Car</t>
  </si>
  <si>
    <t>Bus or coach</t>
  </si>
  <si>
    <t>Other vehicle</t>
  </si>
  <si>
    <t>Goods vehicle</t>
  </si>
  <si>
    <t>Private hire vehicle</t>
  </si>
  <si>
    <t>Taxi</t>
  </si>
  <si>
    <t>-</t>
  </si>
  <si>
    <t>Borough data sheets</t>
  </si>
  <si>
    <t>Table 14. Summary of vehicles involved in collisions by borough in 2022, 2023 and the percentage difference - not used in the report</t>
  </si>
  <si>
    <t>This table lists all casualties by borough, mode and severity as listed in the police reports.</t>
  </si>
  <si>
    <t>The table can be filtered to compare specific attributes (ie by borough, mode, severity) as the user wishes. Select the drop-down arrow at the top of each column and use the check boxes to select and deselect filter values.</t>
  </si>
  <si>
    <t>Area
 (Inner, Outer)</t>
  </si>
  <si>
    <t>Borough name</t>
  </si>
  <si>
    <t>Casualty mode of travel</t>
  </si>
  <si>
    <t>Casualty severity</t>
  </si>
  <si>
    <t>2010-14 average* casualty count</t>
  </si>
  <si>
    <t>2017 casualty count</t>
  </si>
  <si>
    <t>2018 casualty count</t>
  </si>
  <si>
    <t>2019 casualty count</t>
  </si>
  <si>
    <t>2020 casualty count</t>
  </si>
  <si>
    <t>2021 casualty count</t>
  </si>
  <si>
    <t>2022 casualty count</t>
  </si>
  <si>
    <t>2023 casualty count</t>
  </si>
  <si>
    <t>2024 casualty count</t>
  </si>
  <si>
    <t>2024 vs baseline (% change)</t>
  </si>
  <si>
    <t>Outer London</t>
  </si>
  <si>
    <t>Barking &amp; Dagenham</t>
  </si>
  <si>
    <t>Bus Or Coach</t>
  </si>
  <si>
    <t>Fatal</t>
  </si>
  <si>
    <t xml:space="preserve">Killed or seriously injured </t>
  </si>
  <si>
    <t>Serious</t>
  </si>
  <si>
    <t>Slight</t>
  </si>
  <si>
    <t>Goods Vehicle</t>
  </si>
  <si>
    <t>Other Vehicle</t>
  </si>
  <si>
    <t>Pedal Cycle</t>
  </si>
  <si>
    <t>Private Hire</t>
  </si>
  <si>
    <t>Barnet</t>
  </si>
  <si>
    <t>Bexley</t>
  </si>
  <si>
    <t>0</t>
  </si>
  <si>
    <t>Brent</t>
  </si>
  <si>
    <t>Bromley</t>
  </si>
  <si>
    <t>Inner London</t>
  </si>
  <si>
    <t>Camden</t>
  </si>
  <si>
    <t>City Of London</t>
  </si>
  <si>
    <t>Croydon</t>
  </si>
  <si>
    <t>Ealing</t>
  </si>
  <si>
    <t>Enfield</t>
  </si>
  <si>
    <t>Greenwich</t>
  </si>
  <si>
    <t>Hackney</t>
  </si>
  <si>
    <t>Hammersmith &amp; Fulham</t>
  </si>
  <si>
    <t>Haringey</t>
  </si>
  <si>
    <t>Harrow</t>
  </si>
  <si>
    <t>Havering</t>
  </si>
  <si>
    <t>Hillingdon</t>
  </si>
  <si>
    <t>Hounslow</t>
  </si>
  <si>
    <t>Islington</t>
  </si>
  <si>
    <t>Kensington &amp; Chelsea</t>
  </si>
  <si>
    <t>Kingston-Upon-Thames</t>
  </si>
  <si>
    <t>Lambeth</t>
  </si>
  <si>
    <t>Lewisham</t>
  </si>
  <si>
    <t>Merton</t>
  </si>
  <si>
    <t>Newham</t>
  </si>
  <si>
    <t>Redbridge</t>
  </si>
  <si>
    <t>Richmond-Upon-Thames</t>
  </si>
  <si>
    <t>Southwark</t>
  </si>
  <si>
    <t>Sutton</t>
  </si>
  <si>
    <t>Tower Hamlets</t>
  </si>
  <si>
    <t>Waltham Forest</t>
  </si>
  <si>
    <t>Wandsworth</t>
  </si>
  <si>
    <t>Westminster</t>
  </si>
  <si>
    <t>Back to Boroughs table of contents</t>
  </si>
  <si>
    <t>Area / borough</t>
  </si>
  <si>
    <t>2010-14</t>
  </si>
  <si>
    <t>% change 2023 vs. 2024</t>
  </si>
  <si>
    <t>% change vs. baseline</t>
  </si>
  <si>
    <t>All London</t>
  </si>
  <si>
    <t>This table lists the 'other vehicles' involved in casualty collisions by borough as listed in the police reports.</t>
  </si>
  <si>
    <r>
      <rPr>
        <sz val="12"/>
        <rFont val="Arial"/>
        <family val="2"/>
      </rPr>
      <t xml:space="preserve">For a fuller explanation please see the </t>
    </r>
    <r>
      <rPr>
        <u/>
        <sz val="12"/>
        <color theme="10"/>
        <rFont val="Arial"/>
        <family val="2"/>
      </rPr>
      <t>FAQ document</t>
    </r>
    <r>
      <rPr>
        <sz val="12"/>
        <rFont val="Arial"/>
        <family val="2"/>
      </rPr>
      <t>.</t>
    </r>
  </si>
  <si>
    <t>Area
(Inner, Outer)</t>
  </si>
  <si>
    <t>2024 pedal cycle</t>
  </si>
  <si>
    <t>2024 motorcycle</t>
  </si>
  <si>
    <t>2024 car</t>
  </si>
  <si>
    <t>2024 taxi</t>
  </si>
  <si>
    <t>2024 private hire vehicle</t>
  </si>
  <si>
    <t>2024 bus or coach</t>
  </si>
  <si>
    <t>2024 goods vehicle</t>
  </si>
  <si>
    <t>2024 other vehicle</t>
  </si>
  <si>
    <t>2023 pedal cycle</t>
  </si>
  <si>
    <t>2023 motorcycle</t>
  </si>
  <si>
    <t>2023 car</t>
  </si>
  <si>
    <t>2023 taxi</t>
  </si>
  <si>
    <t>2023 private hire vehicle</t>
  </si>
  <si>
    <t>2023 bus or coach</t>
  </si>
  <si>
    <t>2023 goods vehicle</t>
  </si>
  <si>
    <t>2023 other vehicle</t>
  </si>
  <si>
    <t>% change pedal cycle</t>
  </si>
  <si>
    <t>% change motorcycle</t>
  </si>
  <si>
    <t>% change car</t>
  </si>
  <si>
    <t>% change taxi</t>
  </si>
  <si>
    <t>% change private hire vehicle</t>
  </si>
  <si>
    <t>% change bus or coach</t>
  </si>
  <si>
    <t>% change goods vehicle</t>
  </si>
  <si>
    <t>% change other vehicle</t>
  </si>
  <si>
    <t>Highway authority</t>
  </si>
  <si>
    <t>Borough road</t>
  </si>
  <si>
    <t>TLRN</t>
  </si>
  <si>
    <t>Highways Agency</t>
  </si>
  <si>
    <t>Figures 7 and 8 are located in a separate data annexes:</t>
  </si>
  <si>
    <t>Figure 7 - The risk of being killed on London's roads by mode per million journeys (2010-2022) - Injury risk annex</t>
  </si>
  <si>
    <t>Figure 8 - A comparison of the reduction of people killed or seriously injured in London versus the rest of Great Britain against the 2010-14 baseline - GB comparison annex</t>
  </si>
  <si>
    <t>Reduction from baseline</t>
  </si>
  <si>
    <t>People killed</t>
  </si>
  <si>
    <t>Fatal reduction from baseline</t>
  </si>
  <si>
    <t>People seriously injured</t>
  </si>
  <si>
    <t>Serious injury reduction from baseline</t>
  </si>
  <si>
    <t>2017-19 baseline</t>
  </si>
  <si>
    <t>33% (23)</t>
  </si>
  <si>
    <t>42% (7)</t>
  </si>
  <si>
    <t>30% (16)</t>
  </si>
  <si>
    <t>31% (22)</t>
  </si>
  <si>
    <t>37% (6)</t>
  </si>
  <si>
    <t>51% (36)</t>
  </si>
  <si>
    <t>56% (30)</t>
  </si>
  <si>
    <t>2022-24 average </t>
  </si>
  <si>
    <t>38% (27)</t>
  </si>
  <si>
    <t>39% (21)</t>
  </si>
  <si>
    <t>* These are the Department for Transport numbers based on DVLA classification of vehicles. Please note this is for all vehicles over 12 tonnes except buses &amp; emergency vehicles.</t>
  </si>
  <si>
    <t>Table 17: People killed or seriously injured casualty rate (per 1,000 people) by year from 2017 – 2024 by deprivation level - not used in the report</t>
  </si>
  <si>
    <t>Most deprived 30%</t>
  </si>
  <si>
    <t>Middle deprivation 40%</t>
  </si>
  <si>
    <t>Least deprived 30%</t>
  </si>
  <si>
    <t>Table 18: People killed or seriously injured casualty location rate (per km of road) by year from 2017 – 2024 by deprivation level - not used in the report</t>
  </si>
  <si>
    <t>Police reported casualties</t>
  </si>
  <si>
    <t>Self-reported casualties*</t>
  </si>
  <si>
    <t>Total casualties</t>
  </si>
  <si>
    <t>% of self-reported casualties</t>
  </si>
  <si>
    <t>*Self-reported casualties includes those reported over-the-counter by members of the public at a police station</t>
  </si>
  <si>
    <r>
      <t xml:space="preserve">This data annex uses STATS19 reportable data as per the Department of Transport guidance for reporting road casualties in Great Britain - </t>
    </r>
    <r>
      <rPr>
        <u/>
        <sz val="14"/>
        <color rgb="FF0000FF"/>
        <rFont val="Arial"/>
        <family val="2"/>
      </rPr>
      <t>Instructions for the Completion of Road Collision Reports</t>
    </r>
  </si>
  <si>
    <t>12/12/2025: Table 19 - method of reporting casualty numbers for 2024 updated</t>
  </si>
  <si>
    <t xml:space="preserve">The Department for Transport's STATS19 modal category is "Bus or Coach". In November TfL agreed with the Metropolitan Police Service to identify London Buses within this category using a flag in the police form to enable better monitoring of incidents relating to London's buses. This means that London Bus specific data is only available from 2017. Prior to 2017, the bus-involved figures are estimates based on modelled data. </t>
  </si>
  <si>
    <t xml:space="preserve">*The Department for Transport's STATS19 modal category is "Bus or Coach". In November 2016 TfL agreed with the Metropolitan Police Service to identify London Buses within this category using a flag in the police form to enable better monitoring of incidents relating to London's buses. This means that London Bus specific data is only available from 2017. Prior to 2017, the bus-involved figures are estimates based on modelled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</si>
</sst>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0">
    <numFmt numFmtId="43" formatCode="_-* #,##0.00_-;\-* #,##0.00_-;_-* &quot;-&quot;??_-;_-@_-"/>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_(&quot;£&quot;* #,##0_);_(&quot;£&quot;* \(#,##0\);_(&quot;£&quot;* &quot;-&quot;_);_(@_)"/>
    <numFmt numFmtId="169" formatCode="_(&quot;£&quot;* #,##0.00_);_(&quot;£&quot;* \(#,##0.00\);_(&quot;£&quot;* &quot;-&quot;??_);_(@_)"/>
    <numFmt numFmtId="170" formatCode="[&gt;0.5]#,##0;[&lt;-0.5]\-#,##0;\-"/>
    <numFmt numFmtId="171" formatCode="0_)"/>
    <numFmt numFmtId="172" formatCode="#,##0.00%;[Red]\(#,##0.00%\);&quot;-&quot;"/>
    <numFmt numFmtId="173" formatCode="#,##0;[Red]\(#,##0\);&quot;-&quot;"/>
    <numFmt numFmtId="174" formatCode="#,##0.00;[Red]\(#,##0.00\);&quot;-&quot;"/>
    <numFmt numFmtId="175" formatCode="_(* #,##0_);_(* \(#,##0\)"/>
    <numFmt numFmtId="176" formatCode="mmm\-yyyy"/>
    <numFmt numFmtId="177" formatCode="dd\ mmm\ yy"/>
    <numFmt numFmtId="178" formatCode="#,##0;\(#,##0\)"/>
    <numFmt numFmtId="179" formatCode="#,##0;\-#,##0;\-"/>
    <numFmt numFmtId="180" formatCode="#,##0_ ;[Red]\(#,##0\);\-\ "/>
    <numFmt numFmtId="181" formatCode="#,##0;\(#,##0\);\-"/>
    <numFmt numFmtId="182" formatCode="&quot;þ&quot;;&quot;ý&quot;;&quot;¨&quot;"/>
    <numFmt numFmtId="183" formatCode="&quot;þ&quot;;;&quot;o&quot;;"/>
    <numFmt numFmtId="184" formatCode="#,##0.00\ ;[Red]\(#,##0.00\)"/>
    <numFmt numFmtId="185" formatCode="#,##0_);\(#,##0\);&quot;- &quot;;&quot;  &quot;@"/>
    <numFmt numFmtId="186" formatCode="[Green]&quot;é&quot;;[Red]&quot;ê&quot;;&quot;ù&quot;;"/>
    <numFmt numFmtId="187" formatCode="_([$€-2]* #,##0.00_);_([$€-2]* \(#,##0.00\);_([$€-2]* &quot;-&quot;??_)"/>
    <numFmt numFmtId="188" formatCode="#,##0;\(#,##0\);0"/>
    <numFmt numFmtId="189" formatCode="_(* #,##0.0_%_);_(* \(#,##0.0_%\);_(* &quot; - &quot;_%_);_(@_)"/>
    <numFmt numFmtId="190" formatCode="_(* #,##0.0%_);_(* \(#,##0.0%\);_(* &quot; - &quot;\%_);_(@_)"/>
    <numFmt numFmtId="191" formatCode="_(* #,##0.0_);_(* \(#,##0.0\);_(* &quot; - &quot;_);_(@_)"/>
    <numFmt numFmtId="192" formatCode="_(* #,##0.00_);_(* \(#,##0.00\);_(* &quot; - &quot;_);_(@_)"/>
    <numFmt numFmtId="193" formatCode="_(* #,##0.000_);_(* \(#,##0.000\);_(* &quot; - &quot;_);_(@_)"/>
    <numFmt numFmtId="194" formatCode="#,##0;\(#,##0\);&quot;-&quot;"/>
    <numFmt numFmtId="195" formatCode="#,##0.0000_);\(#,##0.0000\);&quot;- &quot;;&quot;  &quot;@"/>
    <numFmt numFmtId="196" formatCode="#,##0\ ;[Red]\(#,##0\);\-\ "/>
    <numFmt numFmtId="197" formatCode="&quot;Lookup&quot;\ 0"/>
    <numFmt numFmtId="198" formatCode="###0_);\(###0\);&quot;- &quot;;&quot;  &quot;@"/>
    <numFmt numFmtId="199" formatCode="#\ ##0"/>
    <numFmt numFmtId="200" formatCode="_-* #,##0_-;\-* #,##0_-;_-* &quot;-&quot;??_-;_-@_-"/>
    <numFmt numFmtId="201" formatCode="_(* #,##0_);_(* \(#,##0\);_(* &quot;-&quot;??_);_(@_)"/>
    <numFmt numFmtId="202" formatCode="0.000"/>
  </numFmts>
  <fonts count="142">
    <font>
      <sz val="12"/>
      <color theme="1"/>
      <name val="Arial"/>
      <family val="2"/>
    </font>
    <font>
      <sz val="12"/>
      <color theme="1"/>
      <name val="Arial"/>
      <family val="2"/>
    </font>
    <font>
      <u/>
      <sz val="12"/>
      <color theme="10"/>
      <name val="Arial"/>
      <family val="2"/>
    </font>
    <font>
      <sz val="10"/>
      <name val="Arial"/>
      <family val="2"/>
    </font>
    <font>
      <sz val="11"/>
      <color theme="1"/>
      <name val="Calibri"/>
      <family val="2"/>
      <scheme val="minor"/>
    </font>
    <font>
      <sz val="14"/>
      <name val="Arial"/>
      <family val="2"/>
    </font>
    <font>
      <u/>
      <sz val="10"/>
      <color indexed="12"/>
      <name val="Arial"/>
      <family val="2"/>
    </font>
    <font>
      <sz val="10"/>
      <name val="Times New Roman"/>
      <family val="1"/>
    </font>
    <font>
      <b/>
      <sz val="10"/>
      <name val="Arial"/>
      <family val="2"/>
    </font>
    <font>
      <b/>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9"/>
      <color indexed="8"/>
      <name val="Tahoma"/>
      <family val="2"/>
    </font>
    <font>
      <b/>
      <sz val="11"/>
      <color rgb="FF3F3F3F"/>
      <name val="Calibri"/>
      <family val="2"/>
      <scheme val="minor"/>
    </font>
    <font>
      <sz val="11"/>
      <color rgb="FFFF0000"/>
      <name val="Calibri"/>
      <family val="2"/>
      <scheme val="minor"/>
    </font>
    <font>
      <sz val="10"/>
      <name val="Arial"/>
      <family val="2"/>
    </font>
    <font>
      <sz val="12"/>
      <color indexed="8"/>
      <name val="Arial"/>
      <family val="2"/>
    </font>
    <font>
      <sz val="12"/>
      <color indexed="9"/>
      <name val="Arial"/>
      <family val="2"/>
    </font>
    <font>
      <sz val="12"/>
      <color indexed="20"/>
      <name val="Arial"/>
      <family val="2"/>
    </font>
    <font>
      <b/>
      <sz val="12"/>
      <color indexed="10"/>
      <name val="Arial"/>
      <family val="2"/>
    </font>
    <font>
      <b/>
      <sz val="12"/>
      <color indexed="9"/>
      <name val="Arial"/>
      <family val="2"/>
    </font>
    <font>
      <i/>
      <sz val="12"/>
      <color indexed="23"/>
      <name val="Arial"/>
      <family val="2"/>
    </font>
    <font>
      <sz val="12"/>
      <color indexed="17"/>
      <name val="Arial"/>
      <family val="2"/>
    </font>
    <font>
      <b/>
      <sz val="15"/>
      <color indexed="62"/>
      <name val="Arial"/>
      <family val="2"/>
    </font>
    <font>
      <b/>
      <sz val="13"/>
      <color indexed="62"/>
      <name val="Arial"/>
      <family val="2"/>
    </font>
    <font>
      <b/>
      <sz val="11"/>
      <color indexed="62"/>
      <name val="Arial"/>
      <family val="2"/>
    </font>
    <font>
      <sz val="12"/>
      <color indexed="62"/>
      <name val="Arial"/>
      <family val="2"/>
    </font>
    <font>
      <sz val="12"/>
      <color indexed="10"/>
      <name val="Arial"/>
      <family val="2"/>
    </font>
    <font>
      <sz val="12"/>
      <color indexed="19"/>
      <name val="Arial"/>
      <family val="2"/>
    </font>
    <font>
      <sz val="12"/>
      <name val="Helv"/>
    </font>
    <font>
      <b/>
      <sz val="12"/>
      <color indexed="63"/>
      <name val="Arial"/>
      <family val="2"/>
    </font>
    <font>
      <b/>
      <sz val="18"/>
      <color indexed="62"/>
      <name val="Cambria"/>
      <family val="2"/>
    </font>
    <font>
      <b/>
      <sz val="12"/>
      <color indexed="8"/>
      <name val="Arial"/>
      <family val="2"/>
    </font>
    <font>
      <sz val="8"/>
      <name val="Arial"/>
      <family val="2"/>
    </font>
    <font>
      <sz val="11"/>
      <color indexed="8"/>
      <name val="Calibri"/>
      <family val="2"/>
    </font>
    <font>
      <b/>
      <sz val="10"/>
      <name val="Times New Roman"/>
      <family val="1"/>
    </font>
    <font>
      <sz val="11"/>
      <name val="Times New Roman"/>
      <family val="1"/>
    </font>
    <font>
      <sz val="11"/>
      <name val="Arial"/>
      <family val="2"/>
    </font>
    <font>
      <sz val="10"/>
      <name val="Book Antiqua"/>
      <family val="1"/>
    </font>
    <font>
      <b/>
      <sz val="9"/>
      <name val="Helv"/>
    </font>
    <font>
      <sz val="10"/>
      <color indexed="12"/>
      <name val="Arial"/>
      <family val="2"/>
    </font>
    <font>
      <sz val="10"/>
      <name val="MS Sans Serif"/>
      <family val="2"/>
    </font>
    <font>
      <sz val="9"/>
      <color indexed="12"/>
      <name val="Arial"/>
      <family val="2"/>
    </font>
    <font>
      <b/>
      <sz val="11"/>
      <name val="Arial"/>
      <family val="2"/>
    </font>
    <font>
      <sz val="10"/>
      <name val="ZapfDingbats"/>
      <family val="2"/>
    </font>
    <font>
      <sz val="10"/>
      <color indexed="9"/>
      <name val="Arial"/>
      <family val="2"/>
    </font>
    <font>
      <sz val="10"/>
      <color indexed="40"/>
      <name val="Arial"/>
      <family val="2"/>
    </font>
    <font>
      <sz val="14"/>
      <name val="Wingdings"/>
      <charset val="2"/>
    </font>
    <font>
      <sz val="22"/>
      <color indexed="12"/>
      <name val="Wingdings"/>
      <charset val="2"/>
    </font>
    <font>
      <sz val="22"/>
      <name val="Wingdings"/>
      <charset val="2"/>
    </font>
    <font>
      <b/>
      <u val="singleAccounting"/>
      <sz val="11"/>
      <name val="Arial"/>
      <family val="2"/>
    </font>
    <font>
      <b/>
      <sz val="8"/>
      <color indexed="10"/>
      <name val="Arial"/>
      <family val="2"/>
    </font>
    <font>
      <b/>
      <sz val="16"/>
      <color indexed="9"/>
      <name val="Arial"/>
      <family val="2"/>
    </font>
    <font>
      <b/>
      <sz val="16"/>
      <name val="Arial"/>
      <family val="2"/>
    </font>
    <font>
      <sz val="10"/>
      <name val="BERNHARD"/>
    </font>
    <font>
      <sz val="10"/>
      <color indexed="50"/>
      <name val="Arial"/>
      <family val="2"/>
    </font>
    <font>
      <sz val="16"/>
      <name val="Wingdings"/>
      <charset val="2"/>
    </font>
    <font>
      <b/>
      <sz val="32"/>
      <name val="Helvetica"/>
      <family val="2"/>
    </font>
    <font>
      <sz val="12"/>
      <name val="Times New Roman"/>
      <family val="1"/>
    </font>
    <font>
      <i/>
      <sz val="8"/>
      <name val="Times New Roman"/>
      <family val="1"/>
    </font>
    <font>
      <sz val="9"/>
      <name val="Times New Roman"/>
      <family val="1"/>
    </font>
    <font>
      <b/>
      <u val="singleAccounting"/>
      <sz val="9"/>
      <name val="Times New Roman"/>
      <family val="1"/>
    </font>
    <font>
      <b/>
      <sz val="11"/>
      <name val="Times New Roman"/>
      <family val="1"/>
    </font>
    <font>
      <b/>
      <i/>
      <sz val="9.5"/>
      <name val="Times New Roman"/>
      <family val="1"/>
    </font>
    <font>
      <sz val="10"/>
      <name val="Helvetica"/>
      <family val="2"/>
    </font>
    <font>
      <sz val="10"/>
      <color indexed="18"/>
      <name val="Arial"/>
      <family val="2"/>
    </font>
    <font>
      <sz val="10"/>
      <color indexed="23"/>
      <name val="Arial"/>
      <family val="2"/>
    </font>
    <font>
      <b/>
      <sz val="12"/>
      <name val="Arial"/>
      <family val="2"/>
    </font>
    <font>
      <b/>
      <u/>
      <sz val="16"/>
      <color indexed="10"/>
      <name val="Palatino"/>
      <family val="1"/>
    </font>
    <font>
      <sz val="8"/>
      <color indexed="12"/>
      <name val="Helv"/>
    </font>
    <font>
      <b/>
      <sz val="8"/>
      <color indexed="12"/>
      <name val="Arial"/>
      <family val="2"/>
    </font>
    <font>
      <sz val="10"/>
      <color indexed="12"/>
      <name val="Times New Roman"/>
      <family val="1"/>
    </font>
    <font>
      <sz val="10"/>
      <color indexed="24"/>
      <name val="Arial"/>
      <family val="2"/>
    </font>
    <font>
      <sz val="8"/>
      <color indexed="17"/>
      <name val="Arial"/>
      <family val="2"/>
    </font>
    <font>
      <sz val="18"/>
      <name val="Times New Roman"/>
      <family val="1"/>
    </font>
    <font>
      <b/>
      <sz val="13"/>
      <name val="Times New Roman"/>
      <family val="1"/>
    </font>
    <font>
      <b/>
      <i/>
      <sz val="12"/>
      <name val="Times New Roman"/>
      <family val="1"/>
    </font>
    <font>
      <i/>
      <sz val="12"/>
      <name val="Times New Roman"/>
      <family val="1"/>
    </font>
    <font>
      <b/>
      <sz val="10"/>
      <color indexed="18"/>
      <name val="Arial"/>
      <family val="2"/>
    </font>
    <font>
      <b/>
      <sz val="18"/>
      <name val="Helvetica"/>
      <family val="2"/>
    </font>
    <font>
      <sz val="8"/>
      <color indexed="47"/>
      <name val="Arial"/>
      <family val="2"/>
    </font>
    <font>
      <sz val="14"/>
      <name val="Helvetica"/>
      <family val="2"/>
    </font>
    <font>
      <sz val="8"/>
      <color indexed="40"/>
      <name val="Arial"/>
      <family val="2"/>
    </font>
    <font>
      <sz val="8"/>
      <color indexed="10"/>
      <name val="Arial"/>
      <family val="2"/>
    </font>
    <font>
      <sz val="10"/>
      <color indexed="54"/>
      <name val="Arial"/>
      <family val="2"/>
    </font>
    <font>
      <sz val="9"/>
      <color indexed="8"/>
      <name val="Arial"/>
      <family val="2"/>
    </font>
    <font>
      <sz val="8"/>
      <name val="Helvetica"/>
      <family val="2"/>
    </font>
    <font>
      <sz val="10"/>
      <color indexed="19"/>
      <name val="Arial"/>
      <family val="2"/>
    </font>
    <font>
      <b/>
      <sz val="16"/>
      <color indexed="24"/>
      <name val="Univers 45 Light"/>
      <family val="2"/>
    </font>
    <font>
      <b/>
      <sz val="14"/>
      <name val="Arial"/>
      <family val="2"/>
    </font>
    <font>
      <b/>
      <sz val="10"/>
      <name val="Helv"/>
    </font>
    <font>
      <sz val="10"/>
      <color indexed="10"/>
      <name val="Arial"/>
      <family val="2"/>
    </font>
    <font>
      <b/>
      <sz val="10"/>
      <color indexed="57"/>
      <name val="Arial"/>
      <family val="2"/>
    </font>
    <font>
      <b/>
      <sz val="24"/>
      <name val="Helvetica"/>
      <family val="2"/>
    </font>
    <font>
      <sz val="10"/>
      <name val="Arial"/>
      <family val="2"/>
    </font>
    <font>
      <u/>
      <sz val="10"/>
      <color theme="10"/>
      <name val="Arial"/>
      <family val="2"/>
    </font>
    <font>
      <sz val="10"/>
      <name val="System"/>
      <family val="2"/>
    </font>
    <font>
      <sz val="10"/>
      <name val="Arial"/>
      <family val="2"/>
    </font>
    <font>
      <sz val="12"/>
      <color rgb="FFFF0000"/>
      <name val="Arial"/>
      <family val="2"/>
    </font>
    <font>
      <sz val="12"/>
      <color rgb="FF3333CC"/>
      <name val="Arial"/>
      <family val="2"/>
    </font>
    <font>
      <sz val="14"/>
      <color rgb="FF3333CC"/>
      <name val="Arial"/>
      <family val="2"/>
    </font>
    <font>
      <sz val="12"/>
      <color rgb="FF000080"/>
      <name val="Arial"/>
      <family val="2"/>
    </font>
    <font>
      <sz val="14"/>
      <color rgb="FFFF0000"/>
      <name val="Arial"/>
      <family val="2"/>
    </font>
    <font>
      <b/>
      <sz val="12"/>
      <color rgb="FFFF0000"/>
      <name val="Arial"/>
      <family val="2"/>
    </font>
    <font>
      <sz val="18"/>
      <color rgb="FF3333CC"/>
      <name val="Arial"/>
      <family val="2"/>
    </font>
    <font>
      <sz val="11"/>
      <color theme="1"/>
      <name val="Arial"/>
      <family val="2"/>
    </font>
    <font>
      <sz val="12"/>
      <color rgb="FF000F9F"/>
      <name val="Arial"/>
      <family val="2"/>
    </font>
    <font>
      <sz val="12"/>
      <name val="Arial"/>
      <family val="2"/>
    </font>
    <font>
      <sz val="14"/>
      <color rgb="FFEE0000"/>
      <name val="Arial"/>
      <family val="2"/>
    </font>
    <font>
      <b/>
      <sz val="12"/>
      <color theme="1"/>
      <name val="Arial"/>
      <family val="2"/>
    </font>
    <font>
      <sz val="12"/>
      <color theme="0"/>
      <name val="Arial"/>
      <family val="2"/>
    </font>
    <font>
      <b/>
      <i/>
      <sz val="12"/>
      <color theme="1"/>
      <name val="Arial"/>
      <family val="2"/>
    </font>
    <font>
      <b/>
      <sz val="14"/>
      <color theme="1"/>
      <name val="Arial"/>
      <family val="2"/>
    </font>
    <font>
      <b/>
      <sz val="16"/>
      <color theme="1"/>
      <name val="Arial"/>
      <family val="2"/>
    </font>
    <font>
      <u/>
      <sz val="14"/>
      <color theme="10"/>
      <name val="Arial"/>
      <family val="2"/>
    </font>
    <font>
      <b/>
      <sz val="12"/>
      <color theme="0"/>
      <name val="Arial"/>
      <family val="2"/>
    </font>
    <font>
      <b/>
      <sz val="20"/>
      <name val="Arial"/>
      <family val="2"/>
    </font>
    <font>
      <b/>
      <sz val="18"/>
      <name val="Arial"/>
      <family val="2"/>
    </font>
    <font>
      <u/>
      <sz val="14"/>
      <color rgb="FF3333CC"/>
      <name val="Arial"/>
      <family val="2"/>
    </font>
    <font>
      <u/>
      <sz val="12"/>
      <color rgb="FF3333CC"/>
      <name val="Arial"/>
      <family val="2"/>
    </font>
    <font>
      <sz val="16"/>
      <name val="Arial"/>
      <family val="2"/>
    </font>
    <font>
      <sz val="12"/>
      <color theme="6" tint="0.59999389629810485"/>
      <name val="Arial"/>
      <family val="2"/>
    </font>
    <font>
      <sz val="12"/>
      <color theme="0" tint="-0.14999847407452621"/>
      <name val="Arial"/>
      <family val="2"/>
    </font>
    <font>
      <sz val="14"/>
      <color theme="0"/>
      <name val="Arial"/>
      <family val="2"/>
    </font>
    <font>
      <b/>
      <sz val="12"/>
      <color rgb="FF3333CC"/>
      <name val="Arial"/>
      <family val="2"/>
    </font>
    <font>
      <u/>
      <sz val="12"/>
      <color rgb="FF332288"/>
      <name val="Arial"/>
      <family val="2"/>
    </font>
    <font>
      <sz val="12"/>
      <color rgb="FF0000FF"/>
      <name val="Arial"/>
      <family val="2"/>
    </font>
    <font>
      <u/>
      <sz val="14"/>
      <color rgb="FF0000FF"/>
      <name val="Arial"/>
      <family val="2"/>
    </font>
    <font>
      <u/>
      <sz val="12"/>
      <color theme="1"/>
      <name val="Arial"/>
      <family val="2"/>
    </font>
    <font>
      <u/>
      <sz val="14"/>
      <name val="Arial"/>
      <family val="2"/>
    </font>
    <font>
      <sz val="14"/>
      <color rgb="FF000000"/>
      <name val="Arial"/>
      <family val="2"/>
    </font>
    <font>
      <sz val="14"/>
      <color theme="1"/>
      <name val="Arial"/>
      <family val="2"/>
    </font>
  </fonts>
  <fills count="74">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3"/>
        <bgColor indexed="64"/>
      </patternFill>
    </fill>
    <fill>
      <patternFill patternType="solid">
        <fgColor indexed="13"/>
        <bgColor indexed="64"/>
      </patternFill>
    </fill>
    <fill>
      <patternFill patternType="solid">
        <fgColor indexed="62"/>
        <bgColor indexed="64"/>
      </patternFill>
    </fill>
    <fill>
      <patternFill patternType="solid">
        <fgColor indexed="27"/>
        <bgColor indexed="64"/>
      </patternFill>
    </fill>
    <fill>
      <patternFill patternType="solid">
        <fgColor indexed="26"/>
        <bgColor indexed="64"/>
      </patternFill>
    </fill>
    <fill>
      <patternFill patternType="solid">
        <fgColor indexed="28"/>
        <bgColor indexed="64"/>
      </patternFill>
    </fill>
    <fill>
      <patternFill patternType="solid">
        <fgColor indexed="22"/>
        <bgColor indexed="22"/>
      </patternFill>
    </fill>
    <fill>
      <patternFill patternType="solid">
        <fgColor indexed="31"/>
        <bgColor indexed="64"/>
      </patternFill>
    </fill>
    <fill>
      <patternFill patternType="solid">
        <fgColor indexed="29"/>
        <bgColor indexed="64"/>
      </patternFill>
    </fill>
    <fill>
      <patternFill patternType="solid">
        <fgColor indexed="14"/>
        <bgColor indexed="64"/>
      </patternFill>
    </fill>
    <fill>
      <patternFill patternType="solid">
        <fgColor indexed="51"/>
        <bgColor indexed="64"/>
      </patternFill>
    </fill>
    <fill>
      <patternFill patternType="solid">
        <fgColor indexed="42"/>
        <bgColor indexed="64"/>
      </patternFill>
    </fill>
    <fill>
      <patternFill patternType="gray0625">
        <fgColor indexed="23"/>
        <bgColor indexed="9"/>
      </patternFill>
    </fill>
    <fill>
      <patternFill patternType="solid">
        <fgColor indexed="30"/>
        <bgColor indexed="64"/>
      </patternFill>
    </fill>
    <fill>
      <patternFill patternType="mediumGray">
        <fgColor indexed="11"/>
      </patternFill>
    </fill>
    <fill>
      <patternFill patternType="solid">
        <fgColor indexed="61"/>
        <bgColor indexed="64"/>
      </patternFill>
    </fill>
    <fill>
      <patternFill patternType="solid">
        <fgColor indexed="11"/>
        <bgColor indexed="64"/>
      </patternFill>
    </fill>
    <fill>
      <patternFill patternType="solid">
        <fgColor indexed="58"/>
        <bgColor indexed="64"/>
      </patternFill>
    </fill>
    <fill>
      <patternFill patternType="solid">
        <fgColor indexed="24"/>
        <bgColor indexed="64"/>
      </patternFill>
    </fill>
    <fill>
      <patternFill patternType="darkUp">
        <fgColor indexed="8"/>
        <bgColor indexed="13"/>
      </patternFill>
    </fill>
    <fill>
      <patternFill patternType="solid">
        <fgColor indexed="11"/>
      </patternFill>
    </fill>
    <fill>
      <patternFill patternType="solid">
        <fgColor rgb="FFFFFFFF"/>
        <bgColor rgb="FF000000"/>
      </patternFill>
    </fill>
    <fill>
      <patternFill patternType="solid">
        <fgColor rgb="FFFFFFFF"/>
        <bgColor indexed="64"/>
      </patternFill>
    </fill>
    <fill>
      <patternFill patternType="solid">
        <fgColor theme="6" tint="0.59999389629810485"/>
        <bgColor indexed="64"/>
      </patternFill>
    </fill>
  </fills>
  <borders count="54">
    <border>
      <left/>
      <right/>
      <top/>
      <bottom/>
      <diagonal/>
    </border>
    <border>
      <left/>
      <right/>
      <top style="thin">
        <color indexed="64"/>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dashed">
        <color indexed="63"/>
      </left>
      <right style="dashed">
        <color indexed="63"/>
      </right>
      <top style="dashed">
        <color indexed="63"/>
      </top>
      <bottom style="dashed">
        <color indexed="63"/>
      </bottom>
      <diagonal/>
    </border>
    <border>
      <left style="dashed">
        <color indexed="28"/>
      </left>
      <right style="dashed">
        <color indexed="28"/>
      </right>
      <top style="dashed">
        <color indexed="28"/>
      </top>
      <bottom style="dashed">
        <color indexed="28"/>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style="medium">
        <color indexed="64"/>
      </bottom>
      <diagonal/>
    </border>
    <border>
      <left style="dotted">
        <color indexed="28"/>
      </left>
      <right style="dotted">
        <color indexed="28"/>
      </right>
      <top style="dotted">
        <color indexed="28"/>
      </top>
      <bottom style="dotted">
        <color indexed="28"/>
      </bottom>
      <diagonal/>
    </border>
    <border>
      <left style="dashed">
        <color indexed="55"/>
      </left>
      <right style="dashed">
        <color indexed="55"/>
      </right>
      <top style="dashed">
        <color indexed="55"/>
      </top>
      <bottom style="dashed">
        <color indexed="55"/>
      </bottom>
      <diagonal/>
    </border>
    <border>
      <left style="hair">
        <color indexed="12"/>
      </left>
      <right style="hair">
        <color indexed="12"/>
      </right>
      <top style="hair">
        <color indexed="12"/>
      </top>
      <bottom style="hair">
        <color indexed="12"/>
      </bottom>
      <diagonal/>
    </border>
    <border>
      <left style="thin">
        <color indexed="54"/>
      </left>
      <right style="thin">
        <color indexed="54"/>
      </right>
      <top style="thin">
        <color indexed="54"/>
      </top>
      <bottom style="thin">
        <color indexed="54"/>
      </bottom>
      <diagonal/>
    </border>
    <border>
      <left style="dotted">
        <color indexed="10"/>
      </left>
      <right style="dotted">
        <color indexed="10"/>
      </right>
      <top style="dotted">
        <color indexed="10"/>
      </top>
      <bottom style="dotted">
        <color indexed="10"/>
      </bottom>
      <diagonal/>
    </border>
    <border>
      <left style="thin">
        <color indexed="64"/>
      </left>
      <right style="thin">
        <color indexed="64"/>
      </right>
      <top style="thick">
        <color indexed="64"/>
      </top>
      <bottom style="hair">
        <color indexed="64"/>
      </bottom>
      <diagonal/>
    </border>
    <border>
      <left/>
      <right/>
      <top style="thin">
        <color indexed="19"/>
      </top>
      <bottom/>
      <diagonal/>
    </border>
    <border>
      <left style="thin">
        <color indexed="64"/>
      </left>
      <right style="thin">
        <color indexed="64"/>
      </right>
      <top style="hair">
        <color indexed="64"/>
      </top>
      <bottom style="hair">
        <color indexed="64"/>
      </bottom>
      <diagonal/>
    </border>
    <border>
      <left/>
      <right/>
      <top style="thin">
        <color indexed="19"/>
      </top>
      <bottom style="double">
        <color indexed="19"/>
      </bottom>
      <diagonal/>
    </border>
    <border>
      <left/>
      <right/>
      <top style="thin">
        <color indexed="64"/>
      </top>
      <bottom style="double">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s>
  <cellStyleXfs count="342">
    <xf numFmtId="0" fontId="0" fillId="0" borderId="0"/>
    <xf numFmtId="0" fontId="2" fillId="0" borderId="0" applyNumberFormat="0" applyFill="0" applyBorder="0" applyAlignment="0" applyProtection="0">
      <alignment vertical="top"/>
      <protection locked="0"/>
    </xf>
    <xf numFmtId="167" fontId="3" fillId="0" borderId="0" applyFont="0" applyFill="0" applyBorder="0" applyAlignment="0" applyProtection="0"/>
    <xf numFmtId="167" fontId="4" fillId="0" borderId="0" applyFont="0" applyFill="0" applyBorder="0" applyAlignment="0" applyProtection="0"/>
    <xf numFmtId="170" fontId="5" fillId="0" borderId="0">
      <alignment horizontal="left" vertical="center"/>
    </xf>
    <xf numFmtId="0" fontId="6"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3" fillId="0" borderId="0"/>
    <xf numFmtId="0" fontId="1"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170" fontId="7" fillId="0" borderId="0" applyFill="0" applyBorder="0" applyAlignment="0" applyProtection="0"/>
    <xf numFmtId="0" fontId="3" fillId="0" borderId="0"/>
    <xf numFmtId="0" fontId="8" fillId="0" borderId="0"/>
    <xf numFmtId="9" fontId="1" fillId="0" borderId="0" applyFont="0" applyFill="0" applyBorder="0" applyAlignment="0" applyProtection="0"/>
    <xf numFmtId="0" fontId="2" fillId="0" borderId="0" applyNumberFormat="0" applyFill="0" applyBorder="0" applyAlignment="0" applyProtection="0">
      <alignment vertical="top"/>
      <protection locked="0"/>
    </xf>
    <xf numFmtId="167" fontId="1" fillId="0" borderId="0" applyFont="0" applyFill="0" applyBorder="0" applyAlignment="0" applyProtection="0"/>
    <xf numFmtId="9" fontId="1" fillId="0" borderId="0" applyFont="0" applyFill="0" applyBorder="0" applyAlignment="0" applyProtection="0"/>
    <xf numFmtId="0" fontId="4" fillId="0" borderId="0"/>
    <xf numFmtId="9" fontId="4" fillId="0" borderId="0" applyFont="0" applyFill="0" applyBorder="0" applyAlignment="0" applyProtection="0"/>
    <xf numFmtId="165" fontId="3"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5" fillId="4" borderId="0" applyNumberFormat="0" applyBorder="0" applyAlignment="0" applyProtection="0"/>
    <xf numFmtId="0" fontId="11" fillId="5" borderId="0" applyNumberFormat="0" applyBorder="0" applyAlignment="0" applyProtection="0"/>
    <xf numFmtId="0" fontId="21" fillId="6" borderId="0" applyNumberFormat="0" applyBorder="0" applyAlignment="0" applyProtection="0"/>
    <xf numFmtId="0" fontId="19" fillId="7" borderId="6" applyNumberFormat="0" applyAlignment="0" applyProtection="0"/>
    <xf numFmtId="0" fontId="23" fillId="8" borderId="7" applyNumberFormat="0" applyAlignment="0" applyProtection="0"/>
    <xf numFmtId="0" fontId="12" fillId="8" borderId="6" applyNumberFormat="0" applyAlignment="0" applyProtection="0"/>
    <xf numFmtId="0" fontId="20" fillId="0" borderId="8" applyNumberFormat="0" applyFill="0" applyAlignment="0" applyProtection="0"/>
    <xf numFmtId="0" fontId="13" fillId="9" borderId="9" applyNumberFormat="0" applyAlignment="0" applyProtection="0"/>
    <xf numFmtId="0" fontId="24" fillId="0" borderId="0" applyNumberFormat="0" applyFill="0" applyBorder="0" applyAlignment="0" applyProtection="0"/>
    <xf numFmtId="0" fontId="14" fillId="0" borderId="0" applyNumberFormat="0" applyFill="0" applyBorder="0" applyAlignment="0" applyProtection="0"/>
    <xf numFmtId="0" fontId="9" fillId="0" borderId="10" applyNumberFormat="0" applyFill="0" applyAlignment="0" applyProtection="0"/>
    <xf numFmtId="0" fontId="10"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0" fillId="33" borderId="0" applyNumberFormat="0" applyBorder="0" applyAlignment="0" applyProtection="0"/>
    <xf numFmtId="0" fontId="22" fillId="3" borderId="11">
      <alignment vertical="center"/>
    </xf>
    <xf numFmtId="167" fontId="3" fillId="0" borderId="0" applyFont="0" applyFill="0" applyBorder="0" applyAlignment="0" applyProtection="0"/>
    <xf numFmtId="166" fontId="3" fillId="0" borderId="0" applyFont="0" applyFill="0" applyBorder="0" applyAlignment="0" applyProtection="0"/>
    <xf numFmtId="0" fontId="25" fillId="0" borderId="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5"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38" borderId="0" applyNumberFormat="0" applyBorder="0" applyAlignment="0" applyProtection="0"/>
    <xf numFmtId="0" fontId="26" fillId="36" borderId="0" applyNumberFormat="0" applyBorder="0" applyAlignment="0" applyProtection="0"/>
    <xf numFmtId="0" fontId="27" fillId="38"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0" borderId="0" applyNumberFormat="0" applyBorder="0" applyAlignment="0" applyProtection="0"/>
    <xf numFmtId="0" fontId="27" fillId="38" borderId="0" applyNumberFormat="0" applyBorder="0" applyAlignment="0" applyProtection="0"/>
    <xf numFmtId="0" fontId="27" fillId="35" borderId="0" applyNumberFormat="0" applyBorder="0" applyAlignment="0" applyProtection="0"/>
    <xf numFmtId="0" fontId="27" fillId="43"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4"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8" fillId="47" borderId="0" applyNumberFormat="0" applyBorder="0" applyAlignment="0" applyProtection="0"/>
    <xf numFmtId="0" fontId="29" fillId="48" borderId="12" applyNumberFormat="0" applyAlignment="0" applyProtection="0"/>
    <xf numFmtId="0" fontId="30" fillId="49" borderId="13" applyNumberFormat="0" applyAlignment="0" applyProtection="0"/>
    <xf numFmtId="167" fontId="25" fillId="0" borderId="0" applyFont="0" applyFill="0" applyBorder="0" applyAlignment="0" applyProtection="0"/>
    <xf numFmtId="0" fontId="31" fillId="0" borderId="0" applyNumberFormat="0" applyFill="0" applyBorder="0" applyAlignment="0" applyProtection="0"/>
    <xf numFmtId="0" fontId="32" fillId="38" borderId="0" applyNumberFormat="0" applyBorder="0" applyAlignment="0" applyProtection="0"/>
    <xf numFmtId="0" fontId="33" fillId="0" borderId="14" applyNumberFormat="0" applyFill="0" applyAlignment="0" applyProtection="0"/>
    <xf numFmtId="0" fontId="34" fillId="0" borderId="15" applyNumberFormat="0" applyFill="0" applyAlignment="0" applyProtection="0"/>
    <xf numFmtId="0" fontId="35" fillId="0" borderId="16" applyNumberFormat="0" applyFill="0" applyAlignment="0" applyProtection="0"/>
    <xf numFmtId="0" fontId="35" fillId="0" borderId="0" applyNumberFormat="0" applyFill="0" applyBorder="0" applyAlignment="0" applyProtection="0"/>
    <xf numFmtId="0" fontId="36" fillId="39" borderId="12" applyNumberFormat="0" applyAlignment="0" applyProtection="0"/>
    <xf numFmtId="0" fontId="37" fillId="0" borderId="17" applyNumberFormat="0" applyFill="0" applyAlignment="0" applyProtection="0"/>
    <xf numFmtId="0" fontId="38" fillId="39" borderId="0" applyNumberFormat="0" applyBorder="0" applyAlignment="0" applyProtection="0"/>
    <xf numFmtId="0" fontId="26" fillId="0" borderId="0"/>
    <xf numFmtId="0" fontId="39" fillId="36" borderId="11" applyNumberFormat="0" applyFont="0" applyAlignment="0" applyProtection="0"/>
    <xf numFmtId="0" fontId="40" fillId="48" borderId="18" applyNumberFormat="0" applyAlignment="0" applyProtection="0"/>
    <xf numFmtId="9" fontId="25" fillId="0" borderId="0" applyFont="0" applyFill="0" applyBorder="0" applyAlignment="0" applyProtection="0"/>
    <xf numFmtId="0" fontId="41" fillId="0" borderId="0" applyNumberFormat="0" applyFill="0" applyBorder="0" applyAlignment="0" applyProtection="0"/>
    <xf numFmtId="0" fontId="42" fillId="0" borderId="19" applyNumberFormat="0" applyFill="0" applyAlignment="0" applyProtection="0"/>
    <xf numFmtId="0" fontId="37" fillId="0" borderId="0" applyNumberFormat="0" applyFill="0" applyBorder="0" applyAlignment="0" applyProtection="0"/>
    <xf numFmtId="171" fontId="39" fillId="0" borderId="0"/>
    <xf numFmtId="9" fontId="39" fillId="0" borderId="0" applyFont="0" applyFill="0" applyBorder="0" applyAlignment="0" applyProtection="0"/>
    <xf numFmtId="167" fontId="25" fillId="0" borderId="0" applyFont="0" applyFill="0" applyBorder="0" applyAlignment="0" applyProtection="0"/>
    <xf numFmtId="0" fontId="29" fillId="48" borderId="20" applyNumberFormat="0" applyAlignment="0" applyProtection="0"/>
    <xf numFmtId="167" fontId="25" fillId="0" borderId="0" applyFont="0" applyFill="0" applyBorder="0" applyAlignment="0" applyProtection="0"/>
    <xf numFmtId="0" fontId="36" fillId="39" borderId="20" applyNumberFormat="0" applyAlignment="0" applyProtection="0"/>
    <xf numFmtId="0" fontId="39" fillId="36" borderId="21" applyNumberFormat="0" applyFont="0" applyAlignment="0" applyProtection="0"/>
    <xf numFmtId="0" fontId="40" fillId="48" borderId="22" applyNumberFormat="0" applyAlignment="0" applyProtection="0"/>
    <xf numFmtId="167" fontId="3" fillId="0" borderId="0" applyFont="0" applyFill="0" applyBorder="0" applyAlignment="0" applyProtection="0"/>
    <xf numFmtId="0" fontId="42" fillId="0" borderId="23" applyNumberFormat="0" applyFill="0" applyAlignment="0" applyProtection="0"/>
    <xf numFmtId="167" fontId="3" fillId="0" borderId="0" applyFont="0" applyFill="0" applyBorder="0" applyAlignment="0" applyProtection="0"/>
    <xf numFmtId="9"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29" fillId="48" borderId="12" applyNumberFormat="0" applyAlignment="0" applyProtection="0"/>
    <xf numFmtId="167" fontId="3" fillId="0" borderId="0" applyFont="0" applyFill="0" applyBorder="0" applyAlignment="0" applyProtection="0"/>
    <xf numFmtId="0" fontId="36" fillId="39" borderId="12" applyNumberFormat="0" applyAlignment="0" applyProtection="0"/>
    <xf numFmtId="0" fontId="39" fillId="36" borderId="11" applyNumberFormat="0" applyFont="0" applyAlignment="0" applyProtection="0"/>
    <xf numFmtId="0" fontId="40" fillId="48" borderId="18" applyNumberFormat="0" applyAlignment="0" applyProtection="0"/>
    <xf numFmtId="0" fontId="42" fillId="0" borderId="19" applyNumberFormat="0" applyFill="0" applyAlignment="0" applyProtection="0"/>
    <xf numFmtId="0" fontId="29" fillId="48" borderId="20" applyNumberFormat="0" applyAlignment="0" applyProtection="0"/>
    <xf numFmtId="0" fontId="36" fillId="39" borderId="20" applyNumberFormat="0" applyAlignment="0" applyProtection="0"/>
    <xf numFmtId="0" fontId="39" fillId="36" borderId="21" applyNumberFormat="0" applyFont="0" applyAlignment="0" applyProtection="0"/>
    <xf numFmtId="0" fontId="40" fillId="48" borderId="22" applyNumberFormat="0" applyAlignment="0" applyProtection="0"/>
    <xf numFmtId="0" fontId="42" fillId="0" borderId="23" applyNumberFormat="0" applyFill="0" applyAlignment="0" applyProtection="0"/>
    <xf numFmtId="0" fontId="29" fillId="48" borderId="20" applyNumberFormat="0" applyAlignment="0" applyProtection="0"/>
    <xf numFmtId="0" fontId="36" fillId="39" borderId="20" applyNumberFormat="0" applyAlignment="0" applyProtection="0"/>
    <xf numFmtId="0" fontId="39" fillId="36" borderId="21" applyNumberFormat="0" applyFont="0" applyAlignment="0" applyProtection="0"/>
    <xf numFmtId="0" fontId="40" fillId="48" borderId="22" applyNumberFormat="0" applyAlignment="0" applyProtection="0"/>
    <xf numFmtId="0" fontId="42" fillId="0" borderId="23" applyNumberFormat="0" applyFill="0" applyAlignment="0" applyProtection="0"/>
    <xf numFmtId="0" fontId="29" fillId="48" borderId="20" applyNumberFormat="0" applyAlignment="0" applyProtection="0"/>
    <xf numFmtId="0" fontId="36" fillId="39" borderId="20" applyNumberFormat="0" applyAlignment="0" applyProtection="0"/>
    <xf numFmtId="0" fontId="39" fillId="36" borderId="21" applyNumberFormat="0" applyFont="0" applyAlignment="0" applyProtection="0"/>
    <xf numFmtId="0" fontId="40" fillId="48" borderId="22" applyNumberFormat="0" applyAlignment="0" applyProtection="0"/>
    <xf numFmtId="0" fontId="42" fillId="0" borderId="23" applyNumberFormat="0" applyFill="0" applyAlignment="0" applyProtection="0"/>
    <xf numFmtId="0" fontId="29" fillId="48" borderId="20" applyNumberFormat="0" applyAlignment="0" applyProtection="0"/>
    <xf numFmtId="0" fontId="36" fillId="39" borderId="20" applyNumberFormat="0" applyAlignment="0" applyProtection="0"/>
    <xf numFmtId="0" fontId="39" fillId="36" borderId="21" applyNumberFormat="0" applyFont="0" applyAlignment="0" applyProtection="0"/>
    <xf numFmtId="0" fontId="40" fillId="48" borderId="22" applyNumberFormat="0" applyAlignment="0" applyProtection="0"/>
    <xf numFmtId="0" fontId="42" fillId="0" borderId="23" applyNumberFormat="0" applyFill="0" applyAlignment="0" applyProtection="0"/>
    <xf numFmtId="0" fontId="29" fillId="48" borderId="20" applyNumberFormat="0" applyAlignment="0" applyProtection="0"/>
    <xf numFmtId="0" fontId="36" fillId="39" borderId="20" applyNumberFormat="0" applyAlignment="0" applyProtection="0"/>
    <xf numFmtId="0" fontId="39" fillId="36" borderId="21" applyNumberFormat="0" applyFont="0" applyAlignment="0" applyProtection="0"/>
    <xf numFmtId="0" fontId="40" fillId="48" borderId="22" applyNumberFormat="0" applyAlignment="0" applyProtection="0"/>
    <xf numFmtId="0" fontId="42" fillId="0" borderId="23" applyNumberFormat="0" applyFill="0" applyAlignment="0" applyProtection="0"/>
    <xf numFmtId="167" fontId="43" fillId="0" borderId="0" applyFont="0" applyFill="0" applyBorder="0" applyAlignment="0" applyProtection="0"/>
    <xf numFmtId="167" fontId="44" fillId="0" borderId="0" applyFont="0" applyFill="0" applyBorder="0" applyAlignment="0" applyProtection="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172" fontId="46" fillId="51" borderId="0" applyBorder="0">
      <alignment horizontal="center"/>
      <protection locked="0"/>
    </xf>
    <xf numFmtId="172" fontId="46" fillId="0" borderId="0" applyFill="0" applyBorder="0">
      <alignment horizontal="center"/>
    </xf>
    <xf numFmtId="0" fontId="3" fillId="0" borderId="0" applyNumberFormat="0" applyFill="0" applyBorder="0" applyAlignment="0" applyProtection="0"/>
    <xf numFmtId="0" fontId="48" fillId="0" borderId="0" applyFont="0" applyFill="0" applyBorder="0" applyAlignment="0" applyProtection="0"/>
    <xf numFmtId="0" fontId="3" fillId="0" borderId="0" applyFont="0" applyFill="0" applyBorder="0" applyAlignment="0" applyProtection="0"/>
    <xf numFmtId="173" fontId="46" fillId="51" borderId="0" applyBorder="0">
      <alignment horizontal="center"/>
      <protection locked="0"/>
    </xf>
    <xf numFmtId="173" fontId="46" fillId="0" borderId="0" applyFill="0" applyBorder="0">
      <alignment horizontal="center"/>
    </xf>
    <xf numFmtId="174" fontId="46" fillId="51" borderId="0" applyBorder="0">
      <alignment horizontal="center"/>
      <protection locked="0"/>
    </xf>
    <xf numFmtId="174" fontId="46" fillId="0" borderId="0" applyFill="0" applyBorder="0">
      <alignment horizontal="center"/>
    </xf>
    <xf numFmtId="0" fontId="3" fillId="0" borderId="0"/>
    <xf numFmtId="0" fontId="49" fillId="0" borderId="25">
      <alignment horizontal="center" vertical="center"/>
    </xf>
    <xf numFmtId="0" fontId="50" fillId="50" borderId="25"/>
    <xf numFmtId="0" fontId="51" fillId="0" borderId="0" applyFont="0" applyFill="0" applyBorder="0" applyAlignment="0" applyProtection="0"/>
    <xf numFmtId="175" fontId="52" fillId="50" borderId="25" applyBorder="0"/>
    <xf numFmtId="0" fontId="50" fillId="50" borderId="25">
      <alignment horizontal="center"/>
      <protection locked="0"/>
    </xf>
    <xf numFmtId="176" fontId="53" fillId="0" borderId="0" applyNumberFormat="0" applyFont="0" applyAlignment="0">
      <alignment vertical="top"/>
    </xf>
    <xf numFmtId="0" fontId="54" fillId="0" borderId="0"/>
    <xf numFmtId="177" fontId="55" fillId="52" borderId="24">
      <alignment horizontal="center"/>
    </xf>
    <xf numFmtId="178" fontId="3" fillId="53" borderId="26" applyNumberFormat="0">
      <alignment vertical="center"/>
    </xf>
    <xf numFmtId="179" fontId="3" fillId="54" borderId="26" applyNumberFormat="0">
      <alignment vertical="center"/>
    </xf>
    <xf numFmtId="1" fontId="3" fillId="55" borderId="26" applyNumberFormat="0">
      <alignment vertical="center"/>
    </xf>
    <xf numFmtId="178" fontId="3" fillId="55" borderId="26" applyNumberFormat="0">
      <alignment vertical="center"/>
    </xf>
    <xf numFmtId="178" fontId="3" fillId="3" borderId="26" applyNumberFormat="0">
      <alignment vertical="center"/>
    </xf>
    <xf numFmtId="180" fontId="56" fillId="0" borderId="0"/>
    <xf numFmtId="3" fontId="3" fillId="0" borderId="26" applyNumberFormat="0">
      <alignment vertical="center"/>
    </xf>
    <xf numFmtId="181" fontId="47" fillId="56" borderId="26" applyNumberFormat="0" applyFont="0" applyAlignment="0">
      <alignment vertical="center"/>
    </xf>
    <xf numFmtId="178" fontId="47" fillId="57" borderId="26" applyNumberFormat="0">
      <alignment vertical="center"/>
    </xf>
    <xf numFmtId="182" fontId="57" fillId="0" borderId="0" applyFill="0" applyBorder="0" applyProtection="0">
      <alignment horizontal="center" vertical="center"/>
    </xf>
    <xf numFmtId="183" fontId="58" fillId="51" borderId="27">
      <alignment horizontal="center" vertical="center"/>
      <protection locked="0"/>
    </xf>
    <xf numFmtId="183" fontId="59" fillId="0" borderId="0" applyFill="0" applyBorder="0">
      <alignment horizontal="center" vertical="center"/>
    </xf>
    <xf numFmtId="0" fontId="60" fillId="0" borderId="0" applyNumberFormat="0">
      <alignment horizontal="center" wrapText="1"/>
    </xf>
    <xf numFmtId="184" fontId="3" fillId="0" borderId="0" applyFont="0" applyFill="0" applyBorder="0" applyAlignment="0" applyProtection="0"/>
    <xf numFmtId="0" fontId="3" fillId="0" borderId="28" applyFont="0" applyFill="0" applyBorder="0" applyAlignment="0" applyProtection="0">
      <alignment horizontal="right"/>
    </xf>
    <xf numFmtId="0" fontId="61" fillId="0" borderId="0" applyFill="0" applyBorder="0"/>
    <xf numFmtId="178" fontId="62" fillId="58" borderId="0" applyFont="0" applyAlignment="0">
      <alignment vertical="center" wrapText="1"/>
    </xf>
    <xf numFmtId="178" fontId="63" fillId="58" borderId="24" applyNumberFormat="0" applyBorder="0" applyAlignment="0">
      <alignment vertical="center" wrapText="1"/>
    </xf>
    <xf numFmtId="0" fontId="64" fillId="0" borderId="0"/>
    <xf numFmtId="0" fontId="64" fillId="0" borderId="0"/>
    <xf numFmtId="38" fontId="65" fillId="50" borderId="29"/>
    <xf numFmtId="0" fontId="3" fillId="0" borderId="0" applyFont="0" applyFill="0" applyBorder="0" applyAlignment="0" applyProtection="0"/>
    <xf numFmtId="185" fontId="3" fillId="59" borderId="0" applyNumberFormat="0" applyFont="0" applyBorder="0" applyAlignment="0" applyProtection="0"/>
    <xf numFmtId="165" fontId="3" fillId="0" borderId="0" applyFont="0" applyFill="0" applyBorder="0" applyAlignment="0" applyProtection="0"/>
    <xf numFmtId="167" fontId="3" fillId="0" borderId="0" applyFont="0" applyFill="0" applyBorder="0" applyAlignment="0" applyProtection="0"/>
    <xf numFmtId="186" fontId="66" fillId="0" borderId="0" applyFill="0" applyBorder="0">
      <alignment horizontal="center" vertical="center"/>
    </xf>
    <xf numFmtId="187" fontId="3" fillId="0" borderId="0" applyFont="0" applyFill="0" applyBorder="0" applyAlignment="0" applyProtection="0"/>
    <xf numFmtId="0" fontId="3" fillId="60" borderId="30" applyNumberFormat="0">
      <alignment vertical="center"/>
    </xf>
    <xf numFmtId="188" fontId="3" fillId="61" borderId="0" applyNumberFormat="0" applyFont="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189" fontId="69" fillId="0" borderId="0">
      <alignment horizontal="right" vertical="top"/>
    </xf>
    <xf numFmtId="190" fontId="70" fillId="0" borderId="0">
      <alignment horizontal="right" vertical="top"/>
    </xf>
    <xf numFmtId="0" fontId="69" fillId="0" borderId="0">
      <alignment horizontal="right" vertical="top"/>
    </xf>
    <xf numFmtId="0" fontId="70" fillId="0" borderId="0" applyFill="0" applyBorder="0">
      <alignment horizontal="right" vertical="top"/>
    </xf>
    <xf numFmtId="191" fontId="70" fillId="0" borderId="0" applyFill="0" applyBorder="0">
      <alignment horizontal="right" vertical="top"/>
    </xf>
    <xf numFmtId="192" fontId="70" fillId="0" borderId="0" applyFill="0" applyBorder="0">
      <alignment horizontal="right" vertical="top"/>
    </xf>
    <xf numFmtId="193" fontId="70" fillId="0" borderId="0" applyFill="0" applyBorder="0">
      <alignment horizontal="right" vertical="top"/>
    </xf>
    <xf numFmtId="0" fontId="71" fillId="0" borderId="0">
      <alignment horizontal="center" wrapText="1"/>
    </xf>
    <xf numFmtId="194" fontId="72" fillId="0" borderId="0" applyFill="0" applyBorder="0">
      <alignment vertical="top"/>
    </xf>
    <xf numFmtId="194" fontId="45" fillId="0" borderId="0" applyFill="0" applyBorder="0" applyProtection="0">
      <alignment vertical="top"/>
    </xf>
    <xf numFmtId="194" fontId="73" fillId="0" borderId="0">
      <alignment vertical="top"/>
    </xf>
    <xf numFmtId="165" fontId="70" fillId="0" borderId="0" applyFill="0" applyBorder="0" applyAlignment="0" applyProtection="0">
      <alignment horizontal="right" vertical="top"/>
    </xf>
    <xf numFmtId="194" fontId="63" fillId="0" borderId="0"/>
    <xf numFmtId="0" fontId="70" fillId="0" borderId="0" applyFill="0" applyBorder="0">
      <alignment horizontal="left" vertical="top"/>
    </xf>
    <xf numFmtId="195" fontId="3" fillId="0" borderId="0" applyFont="0" applyFill="0" applyBorder="0" applyAlignment="0" applyProtection="0"/>
    <xf numFmtId="181" fontId="8" fillId="0" borderId="0">
      <alignment vertical="top"/>
    </xf>
    <xf numFmtId="0" fontId="3" fillId="3" borderId="22" applyNumberFormat="0">
      <alignment vertical="center"/>
    </xf>
    <xf numFmtId="0" fontId="74" fillId="0" borderId="0" applyNumberFormat="0" applyFill="0" applyBorder="0" applyAlignment="0" applyProtection="0"/>
    <xf numFmtId="0" fontId="64" fillId="0" borderId="0"/>
    <xf numFmtId="185" fontId="75" fillId="0" borderId="0" applyNumberFormat="0" applyFill="0" applyBorder="0" applyAlignment="0" applyProtection="0"/>
    <xf numFmtId="0" fontId="47" fillId="0" borderId="0"/>
    <xf numFmtId="180" fontId="47" fillId="0" borderId="0"/>
    <xf numFmtId="0" fontId="76" fillId="3" borderId="31" applyNumberFormat="0">
      <alignment vertical="center"/>
    </xf>
    <xf numFmtId="188" fontId="77" fillId="0" borderId="0" applyNumberFormat="0" applyFill="0" applyBorder="0" applyAlignment="0" applyProtection="0"/>
    <xf numFmtId="0" fontId="78" fillId="62" borderId="0"/>
    <xf numFmtId="0" fontId="79" fillId="0" borderId="0" applyFill="0" applyBorder="0" applyProtection="0">
      <alignment horizontal="right"/>
    </xf>
    <xf numFmtId="196" fontId="68" fillId="0" borderId="0" applyFont="0" applyBorder="0" applyAlignment="0"/>
    <xf numFmtId="181" fontId="80" fillId="0" borderId="0">
      <alignment vertical="top"/>
    </xf>
    <xf numFmtId="0" fontId="81" fillId="50" borderId="32"/>
    <xf numFmtId="178" fontId="82" fillId="50" borderId="27" applyNumberFormat="0">
      <alignment vertical="center"/>
      <protection locked="0"/>
    </xf>
    <xf numFmtId="0" fontId="82" fillId="63" borderId="27" applyNumberFormat="0">
      <alignment vertical="center"/>
      <protection locked="0"/>
    </xf>
    <xf numFmtId="0" fontId="3" fillId="50" borderId="33" applyNumberFormat="0" applyAlignment="0">
      <protection locked="0"/>
    </xf>
    <xf numFmtId="0" fontId="83" fillId="0" borderId="0" applyNumberFormat="0" applyFill="0" applyBorder="0" applyProtection="0">
      <alignment horizontal="centerContinuous" wrapText="1"/>
    </xf>
    <xf numFmtId="38" fontId="84" fillId="0" borderId="0"/>
    <xf numFmtId="38" fontId="85" fillId="0" borderId="0"/>
    <xf numFmtId="38" fontId="86" fillId="0" borderId="0"/>
    <xf numFmtId="38" fontId="87" fillId="0" borderId="0"/>
    <xf numFmtId="0" fontId="46" fillId="0" borderId="0"/>
    <xf numFmtId="0" fontId="46" fillId="0" borderId="0"/>
    <xf numFmtId="181" fontId="88" fillId="0" borderId="0" applyFont="0">
      <alignment vertical="top"/>
    </xf>
    <xf numFmtId="0" fontId="89" fillId="0" borderId="0" applyNumberFormat="0" applyFill="0" applyBorder="0" applyAlignment="0" applyProtection="0"/>
    <xf numFmtId="197" fontId="90" fillId="0" borderId="0" applyFill="0">
      <alignment horizontal="center"/>
    </xf>
    <xf numFmtId="0" fontId="91" fillId="0" borderId="0" applyNumberFormat="0" applyFill="0" applyBorder="0" applyAlignment="0" applyProtection="0"/>
    <xf numFmtId="165" fontId="3" fillId="0" borderId="0" applyFont="0" applyFill="0" applyBorder="0" applyAlignment="0" applyProtection="0"/>
    <xf numFmtId="167" fontId="3" fillId="0" borderId="0" applyFont="0" applyFill="0" applyBorder="0" applyAlignment="0" applyProtection="0"/>
    <xf numFmtId="0" fontId="92" fillId="0" borderId="0" applyNumberFormat="0" applyFill="0">
      <alignment vertical="center"/>
    </xf>
    <xf numFmtId="0" fontId="3" fillId="0" borderId="0" applyFont="0" applyFill="0" applyBorder="0" applyAlignment="0" applyProtection="0"/>
    <xf numFmtId="0" fontId="3" fillId="0" borderId="0" applyFont="0" applyFill="0" applyBorder="0" applyAlignment="0" applyProtection="0"/>
    <xf numFmtId="0" fontId="82" fillId="53" borderId="34" applyNumberFormat="0" applyFont="0" applyFill="0" applyAlignment="0" applyProtection="0">
      <alignment vertical="center"/>
      <protection locked="0"/>
    </xf>
    <xf numFmtId="0" fontId="93" fillId="0" borderId="0" applyNumberFormat="0" applyBorder="0">
      <alignment horizontal="left" vertical="top"/>
    </xf>
    <xf numFmtId="0" fontId="82" fillId="53" borderId="34" applyNumberFormat="0" applyFont="0" applyFill="0" applyAlignment="0" applyProtection="0">
      <alignment vertical="center"/>
      <protection locked="0"/>
    </xf>
    <xf numFmtId="0" fontId="3" fillId="0" borderId="0"/>
    <xf numFmtId="188" fontId="94" fillId="0" borderId="0" applyNumberFormat="0" applyFill="0" applyBorder="0" applyAlignment="0" applyProtection="0"/>
    <xf numFmtId="198" fontId="3" fillId="0" borderId="0" applyFont="0" applyFill="0" applyBorder="0" applyAlignment="0" applyProtection="0"/>
    <xf numFmtId="0" fontId="3" fillId="0" borderId="25"/>
    <xf numFmtId="0" fontId="3" fillId="0" borderId="0" applyFont="0" applyFill="0" applyBorder="0" applyAlignment="0" applyProtection="0"/>
    <xf numFmtId="14" fontId="3" fillId="0" borderId="0" applyFont="0" applyFill="0" applyBorder="0" applyAlignment="0" applyProtection="0"/>
    <xf numFmtId="0" fontId="3" fillId="0" borderId="0" applyFont="0" applyFill="0" applyBorder="0" applyAlignment="0" applyProtection="0"/>
    <xf numFmtId="175" fontId="95" fillId="0" borderId="25" applyBorder="0"/>
    <xf numFmtId="1" fontId="3" fillId="0" borderId="0" applyFont="0" applyFill="0" applyBorder="0" applyAlignment="0" applyProtection="0"/>
    <xf numFmtId="0" fontId="64" fillId="0" borderId="0"/>
    <xf numFmtId="9" fontId="7" fillId="0" borderId="0" applyFont="0" applyFill="0" applyBorder="0" applyAlignment="0" applyProtection="0"/>
    <xf numFmtId="10" fontId="7" fillId="0" borderId="0" applyFont="0" applyFill="0" applyBorder="0" applyAlignment="0" applyProtection="0"/>
    <xf numFmtId="9" fontId="7" fillId="0" borderId="0" applyFont="0" applyFill="0" applyBorder="0" applyAlignment="0" applyProtection="0"/>
    <xf numFmtId="0" fontId="43" fillId="64" borderId="35" applyNumberFormat="0" applyFont="0" applyBorder="0" applyAlignment="0" applyProtection="0"/>
    <xf numFmtId="0" fontId="3" fillId="0" borderId="0" applyFill="0" applyBorder="0" applyProtection="0">
      <alignment vertical="center"/>
    </xf>
    <xf numFmtId="178" fontId="62" fillId="58" borderId="0">
      <alignment vertical="center"/>
    </xf>
    <xf numFmtId="178" fontId="53" fillId="65" borderId="0"/>
    <xf numFmtId="0" fontId="96" fillId="0" borderId="0" applyNumberFormat="0" applyFill="0" applyBorder="0" applyAlignment="0" applyProtection="0"/>
    <xf numFmtId="0" fontId="47" fillId="66" borderId="26" applyNumberFormat="0">
      <alignment horizontal="center" vertical="center"/>
      <protection locked="0"/>
    </xf>
    <xf numFmtId="0" fontId="3" fillId="67" borderId="0"/>
    <xf numFmtId="0" fontId="3" fillId="0" borderId="0" applyNumberFormat="0" applyFill="0" applyBorder="0" applyAlignment="0" applyProtection="0"/>
    <xf numFmtId="0" fontId="68" fillId="0" borderId="2" applyFont="0" applyFill="0" applyAlignment="0" applyProtection="0"/>
    <xf numFmtId="188" fontId="97" fillId="0" borderId="36" applyNumberFormat="0" applyFont="0" applyFill="0" applyAlignment="0" applyProtection="0"/>
    <xf numFmtId="0" fontId="43" fillId="0" borderId="37" applyNumberFormat="0" applyFont="0" applyFill="0" applyAlignment="0" applyProtection="0">
      <alignment horizontal="right"/>
    </xf>
    <xf numFmtId="0" fontId="68" fillId="0" borderId="0" applyFont="0" applyFill="0" applyBorder="0" applyAlignment="0" applyProtection="0"/>
    <xf numFmtId="178" fontId="62" fillId="68" borderId="0" applyNumberFormat="0">
      <alignment vertical="center"/>
    </xf>
    <xf numFmtId="178" fontId="98" fillId="53" borderId="0" applyNumberFormat="0">
      <alignment vertical="center"/>
    </xf>
    <xf numFmtId="178" fontId="99" fillId="0" borderId="0" applyNumberFormat="0">
      <alignment vertical="center"/>
    </xf>
    <xf numFmtId="178" fontId="53" fillId="0" borderId="0" applyNumberFormat="0">
      <alignment vertical="center"/>
    </xf>
    <xf numFmtId="0" fontId="100" fillId="0" borderId="0">
      <alignment vertical="center"/>
    </xf>
    <xf numFmtId="185" fontId="101" fillId="0" borderId="0" applyNumberFormat="0" applyFill="0" applyBorder="0" applyAlignment="0" applyProtection="0"/>
    <xf numFmtId="188" fontId="97" fillId="0" borderId="38" applyNumberFormat="0" applyFont="0" applyFill="0" applyAlignment="0" applyProtection="0"/>
    <xf numFmtId="0" fontId="68" fillId="0" borderId="39" applyFont="0" applyFill="0" applyAlignment="0" applyProtection="0"/>
    <xf numFmtId="178" fontId="47" fillId="69" borderId="0" applyNumberFormat="0" applyFont="0" applyBorder="0" applyAlignment="0" applyProtection="0"/>
    <xf numFmtId="0" fontId="102" fillId="0" borderId="0">
      <alignment vertical="center"/>
    </xf>
    <xf numFmtId="0" fontId="103" fillId="0" borderId="0" applyNumberFormat="0" applyFill="0" applyBorder="0" applyAlignment="0" applyProtection="0"/>
    <xf numFmtId="168" fontId="3" fillId="0" borderId="0" applyFont="0" applyFill="0" applyBorder="0" applyAlignment="0" applyProtection="0"/>
    <xf numFmtId="169" fontId="3" fillId="0" borderId="0" applyFont="0" applyFill="0" applyBorder="0" applyAlignment="0" applyProtection="0"/>
    <xf numFmtId="0" fontId="51" fillId="0" borderId="0"/>
    <xf numFmtId="0" fontId="3" fillId="70" borderId="0" applyNumberFormat="0" applyFont="0" applyBorder="0" applyAlignment="0" applyProtection="0"/>
    <xf numFmtId="9" fontId="4" fillId="0" borderId="0" applyFont="0" applyFill="0" applyBorder="0" applyAlignment="0" applyProtection="0"/>
    <xf numFmtId="9" fontId="4" fillId="0" borderId="0" applyFont="0" applyFill="0" applyBorder="0" applyAlignment="0" applyProtection="0"/>
    <xf numFmtId="170" fontId="5" fillId="0" borderId="0">
      <alignment horizontal="left" vertical="center"/>
    </xf>
    <xf numFmtId="9" fontId="3" fillId="0" borderId="0" applyFont="0" applyFill="0" applyBorder="0" applyAlignment="0" applyProtection="0"/>
    <xf numFmtId="9" fontId="3" fillId="0" borderId="0" applyFont="0" applyFill="0" applyBorder="0" applyAlignment="0" applyProtection="0"/>
    <xf numFmtId="0" fontId="3" fillId="0" borderId="0"/>
    <xf numFmtId="167" fontId="3" fillId="0" borderId="0" applyFont="0" applyFill="0" applyBorder="0" applyAlignment="0" applyProtection="0"/>
    <xf numFmtId="167" fontId="1" fillId="0" borderId="0" applyFont="0" applyFill="0" applyBorder="0" applyAlignment="0" applyProtection="0"/>
    <xf numFmtId="171" fontId="39" fillId="0" borderId="0"/>
    <xf numFmtId="0" fontId="1" fillId="0" borderId="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0" fontId="105" fillId="0" borderId="0" applyNumberFormat="0" applyFill="0" applyBorder="0" applyAlignment="0" applyProtection="0">
      <alignment vertical="top"/>
      <protection locked="0"/>
    </xf>
    <xf numFmtId="0" fontId="104" fillId="0" borderId="0"/>
    <xf numFmtId="9" fontId="3" fillId="0" borderId="0" applyFont="0" applyFill="0" applyBorder="0" applyAlignment="0" applyProtection="0"/>
    <xf numFmtId="167" fontId="1" fillId="0" borderId="0" applyFont="0" applyFill="0" applyBorder="0" applyAlignment="0" applyProtection="0"/>
    <xf numFmtId="199" fontId="106" fillId="0" borderId="0"/>
    <xf numFmtId="0" fontId="3" fillId="0" borderId="0"/>
    <xf numFmtId="0" fontId="68" fillId="0" borderId="40" applyFont="0" applyFill="0" applyAlignment="0" applyProtection="0"/>
    <xf numFmtId="0" fontId="107" fillId="0" borderId="0"/>
    <xf numFmtId="9"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117" fillId="0" borderId="0"/>
    <xf numFmtId="167" fontId="117" fillId="0" borderId="0" applyFont="0" applyFill="0" applyBorder="0" applyAlignment="0" applyProtection="0"/>
    <xf numFmtId="9" fontId="117" fillId="0" borderId="0" applyFont="0" applyFill="0" applyBorder="0" applyAlignment="0" applyProtection="0"/>
    <xf numFmtId="167" fontId="1" fillId="0" borderId="0" applyFont="0" applyFill="0" applyBorder="0" applyAlignment="0" applyProtection="0"/>
  </cellStyleXfs>
  <cellXfs count="363">
    <xf numFmtId="0" fontId="0" fillId="0" borderId="0" xfId="0"/>
    <xf numFmtId="0" fontId="109" fillId="2" borderId="0" xfId="0" applyFont="1" applyFill="1" applyAlignment="1">
      <alignment vertical="center"/>
    </xf>
    <xf numFmtId="0" fontId="110" fillId="2" borderId="0" xfId="7" applyFont="1" applyFill="1" applyAlignment="1">
      <alignment vertical="center"/>
    </xf>
    <xf numFmtId="0" fontId="111" fillId="2" borderId="0" xfId="0" applyFont="1" applyFill="1" applyAlignment="1">
      <alignment vertical="center"/>
    </xf>
    <xf numFmtId="0" fontId="5" fillId="2" borderId="0" xfId="7" applyFont="1" applyFill="1" applyAlignment="1">
      <alignment vertical="center"/>
    </xf>
    <xf numFmtId="0" fontId="109" fillId="0" borderId="0" xfId="0" applyFont="1" applyAlignment="1">
      <alignment vertical="center"/>
    </xf>
    <xf numFmtId="0" fontId="112" fillId="2" borderId="0" xfId="7" applyFont="1" applyFill="1" applyAlignment="1">
      <alignment vertical="center"/>
    </xf>
    <xf numFmtId="0" fontId="5" fillId="2" borderId="0" xfId="7" applyFont="1" applyFill="1" applyAlignment="1">
      <alignment horizontal="center" vertical="center" wrapText="1"/>
    </xf>
    <xf numFmtId="0" fontId="109" fillId="2" borderId="0" xfId="0" applyFont="1" applyFill="1" applyAlignment="1">
      <alignment horizontal="center" vertical="center"/>
    </xf>
    <xf numFmtId="0" fontId="110" fillId="2" borderId="0" xfId="7" applyFont="1" applyFill="1" applyAlignment="1">
      <alignment horizontal="center" vertical="center"/>
    </xf>
    <xf numFmtId="0" fontId="108" fillId="2" borderId="0" xfId="0" applyFont="1" applyFill="1" applyAlignment="1">
      <alignment vertical="center"/>
    </xf>
    <xf numFmtId="0" fontId="5" fillId="2" borderId="0" xfId="7" applyFont="1" applyFill="1" applyAlignment="1">
      <alignment horizontal="center" vertical="center"/>
    </xf>
    <xf numFmtId="0" fontId="112" fillId="0" borderId="0" xfId="7" applyFont="1" applyAlignment="1">
      <alignment vertical="center"/>
    </xf>
    <xf numFmtId="0" fontId="110" fillId="2" borderId="0" xfId="0" applyFont="1" applyFill="1" applyAlignment="1">
      <alignment vertical="center"/>
    </xf>
    <xf numFmtId="0" fontId="8" fillId="0" borderId="0" xfId="0" applyFont="1" applyAlignment="1">
      <alignment horizontal="center" wrapText="1"/>
    </xf>
    <xf numFmtId="0" fontId="3" fillId="0" borderId="0" xfId="0" applyFont="1" applyAlignment="1">
      <alignment horizontal="center"/>
    </xf>
    <xf numFmtId="1" fontId="3" fillId="0" borderId="0" xfId="0" applyNumberFormat="1" applyFont="1" applyAlignment="1">
      <alignment horizontal="center"/>
    </xf>
    <xf numFmtId="1" fontId="3" fillId="0" borderId="0" xfId="18" applyNumberFormat="1" applyFont="1" applyFill="1" applyBorder="1" applyAlignment="1">
      <alignment horizontal="center"/>
    </xf>
    <xf numFmtId="0" fontId="108" fillId="0" borderId="0" xfId="0" applyFont="1" applyAlignment="1">
      <alignment vertical="center"/>
    </xf>
    <xf numFmtId="0" fontId="113" fillId="0" borderId="0" xfId="0" applyFont="1" applyAlignment="1">
      <alignment vertical="center"/>
    </xf>
    <xf numFmtId="0" fontId="109" fillId="2" borderId="0" xfId="0" applyFont="1" applyFill="1"/>
    <xf numFmtId="0" fontId="110" fillId="2" borderId="0" xfId="1" applyFont="1" applyFill="1" applyAlignment="1" applyProtection="1">
      <alignment vertical="center"/>
    </xf>
    <xf numFmtId="0" fontId="110" fillId="0" borderId="0" xfId="0" applyFont="1"/>
    <xf numFmtId="0" fontId="110" fillId="2" borderId="0" xfId="0" applyFont="1" applyFill="1"/>
    <xf numFmtId="0" fontId="115" fillId="0" borderId="0" xfId="0" applyFont="1" applyAlignment="1">
      <alignment horizontal="left" vertical="center" indent="1"/>
    </xf>
    <xf numFmtId="0" fontId="115" fillId="0" borderId="0" xfId="0" applyFont="1" applyAlignment="1">
      <alignment horizontal="left" vertical="center" indent="2"/>
    </xf>
    <xf numFmtId="0" fontId="109" fillId="0" borderId="0" xfId="0" applyFont="1"/>
    <xf numFmtId="0" fontId="110" fillId="0" borderId="0" xfId="0" applyFont="1" applyAlignment="1">
      <alignment vertical="center"/>
    </xf>
    <xf numFmtId="1" fontId="3" fillId="2" borderId="0" xfId="0" applyNumberFormat="1" applyFont="1" applyFill="1" applyAlignment="1">
      <alignment horizontal="center"/>
    </xf>
    <xf numFmtId="0" fontId="5" fillId="0" borderId="0" xfId="7" applyFont="1" applyAlignment="1">
      <alignment vertical="center"/>
    </xf>
    <xf numFmtId="9" fontId="109" fillId="2" borderId="0" xfId="18" applyFont="1" applyFill="1" applyAlignment="1">
      <alignment vertical="center"/>
    </xf>
    <xf numFmtId="1" fontId="109" fillId="2" borderId="0" xfId="0" applyNumberFormat="1" applyFont="1" applyFill="1" applyAlignment="1">
      <alignment vertical="center"/>
    </xf>
    <xf numFmtId="0" fontId="0" fillId="2" borderId="0" xfId="0" applyFill="1"/>
    <xf numFmtId="0" fontId="116" fillId="2" borderId="0" xfId="0" applyFont="1" applyFill="1"/>
    <xf numFmtId="9" fontId="117" fillId="71" borderId="41" xfId="0" applyNumberFormat="1" applyFont="1" applyFill="1" applyBorder="1" applyAlignment="1">
      <alignment horizontal="center"/>
    </xf>
    <xf numFmtId="9" fontId="117" fillId="2" borderId="0" xfId="18" applyFont="1" applyFill="1" applyAlignment="1">
      <alignment vertical="center"/>
    </xf>
    <xf numFmtId="0" fontId="118" fillId="2" borderId="0" xfId="0" applyFont="1" applyFill="1" applyAlignment="1">
      <alignment vertical="center"/>
    </xf>
    <xf numFmtId="1" fontId="109" fillId="0" borderId="0" xfId="0" applyNumberFormat="1" applyFont="1" applyAlignment="1">
      <alignment vertical="center"/>
    </xf>
    <xf numFmtId="0" fontId="117" fillId="2" borderId="0" xfId="338" applyFill="1"/>
    <xf numFmtId="9" fontId="5" fillId="2" borderId="0" xfId="18" applyFont="1" applyFill="1" applyAlignment="1">
      <alignment vertical="center"/>
    </xf>
    <xf numFmtId="9" fontId="5" fillId="2" borderId="0" xfId="7" applyNumberFormat="1" applyFont="1" applyFill="1" applyAlignment="1">
      <alignment vertical="center"/>
    </xf>
    <xf numFmtId="3" fontId="0" fillId="2" borderId="0" xfId="0" applyNumberFormat="1" applyFill="1"/>
    <xf numFmtId="0" fontId="110" fillId="2" borderId="0" xfId="0" applyFont="1" applyFill="1" applyAlignment="1">
      <alignment horizontal="center" vertical="center"/>
    </xf>
    <xf numFmtId="0" fontId="117" fillId="0" borderId="41" xfId="341" applyNumberFormat="1" applyFont="1" applyFill="1" applyBorder="1" applyAlignment="1">
      <alignment horizontal="right"/>
    </xf>
    <xf numFmtId="0" fontId="124" fillId="2" borderId="0" xfId="1" applyFont="1" applyFill="1" applyAlignment="1" applyProtection="1">
      <alignment vertical="center"/>
    </xf>
    <xf numFmtId="200" fontId="117" fillId="0" borderId="0" xfId="341" applyNumberFormat="1" applyFont="1" applyFill="1" applyBorder="1" applyAlignment="1">
      <alignment horizontal="center"/>
    </xf>
    <xf numFmtId="200" fontId="117" fillId="0" borderId="24" xfId="341" applyNumberFormat="1" applyFont="1" applyFill="1" applyBorder="1" applyAlignment="1">
      <alignment horizontal="right" vertical="center"/>
    </xf>
    <xf numFmtId="0" fontId="110" fillId="2" borderId="0" xfId="0" applyFont="1" applyFill="1" applyAlignment="1">
      <alignment horizontal="center"/>
    </xf>
    <xf numFmtId="0" fontId="99" fillId="72" borderId="0" xfId="0" applyFont="1" applyFill="1" applyAlignment="1">
      <alignment vertical="center"/>
    </xf>
    <xf numFmtId="0" fontId="114" fillId="2" borderId="0" xfId="0" applyFont="1" applyFill="1" applyAlignment="1">
      <alignment wrapText="1"/>
    </xf>
    <xf numFmtId="0" fontId="123" fillId="2" borderId="0" xfId="0" applyFont="1" applyFill="1"/>
    <xf numFmtId="0" fontId="63" fillId="2" borderId="0" xfId="0" applyFont="1" applyFill="1" applyAlignment="1">
      <alignment wrapText="1"/>
    </xf>
    <xf numFmtId="0" fontId="5" fillId="2" borderId="0" xfId="0" applyFont="1" applyFill="1" applyAlignment="1">
      <alignment wrapText="1"/>
    </xf>
    <xf numFmtId="0" fontId="122" fillId="2" borderId="0" xfId="0" applyFont="1" applyFill="1"/>
    <xf numFmtId="14" fontId="121" fillId="2" borderId="0" xfId="0" applyNumberFormat="1" applyFont="1" applyFill="1"/>
    <xf numFmtId="0" fontId="127" fillId="2" borderId="0" xfId="0" applyFont="1" applyFill="1" applyAlignment="1">
      <alignment vertical="center" wrapText="1"/>
    </xf>
    <xf numFmtId="0" fontId="5" fillId="0" borderId="0" xfId="7" applyFont="1" applyAlignment="1">
      <alignment horizontal="left"/>
    </xf>
    <xf numFmtId="0" fontId="5" fillId="0" borderId="0" xfId="1" applyFont="1" applyFill="1" applyAlignment="1" applyProtection="1">
      <alignment vertical="center" wrapText="1"/>
    </xf>
    <xf numFmtId="0" fontId="126" fillId="2" borderId="0" xfId="0" applyFont="1" applyFill="1" applyAlignment="1">
      <alignment vertical="center" wrapText="1"/>
    </xf>
    <xf numFmtId="0" fontId="126" fillId="2" borderId="0" xfId="0" applyFont="1" applyFill="1" applyAlignment="1">
      <alignment vertical="center"/>
    </xf>
    <xf numFmtId="0" fontId="130" fillId="0" borderId="0" xfId="0" applyFont="1" applyAlignment="1">
      <alignment vertical="center"/>
    </xf>
    <xf numFmtId="0" fontId="5" fillId="2" borderId="0" xfId="0" applyFont="1" applyFill="1"/>
    <xf numFmtId="0" fontId="128" fillId="2" borderId="0" xfId="1" applyFont="1" applyFill="1" applyAlignment="1" applyProtection="1"/>
    <xf numFmtId="0" fontId="77" fillId="0" borderId="42" xfId="0" applyFont="1" applyBorder="1" applyAlignment="1">
      <alignment horizontal="left"/>
    </xf>
    <xf numFmtId="200" fontId="117" fillId="0" borderId="42" xfId="341" applyNumberFormat="1" applyFont="1" applyFill="1" applyBorder="1" applyAlignment="1">
      <alignment horizontal="center" vertical="center"/>
    </xf>
    <xf numFmtId="0" fontId="120" fillId="0" borderId="24" xfId="7" applyFont="1" applyBorder="1" applyAlignment="1">
      <alignment horizontal="right" vertical="center"/>
    </xf>
    <xf numFmtId="0" fontId="120" fillId="0" borderId="41" xfId="7" applyFont="1" applyBorder="1" applyAlignment="1">
      <alignment horizontal="left" vertical="center"/>
    </xf>
    <xf numFmtId="0" fontId="77" fillId="0" borderId="41" xfId="0" applyFont="1" applyBorder="1" applyAlignment="1">
      <alignment horizontal="left"/>
    </xf>
    <xf numFmtId="200" fontId="117" fillId="0" borderId="41" xfId="341" applyNumberFormat="1" applyFont="1" applyFill="1" applyBorder="1" applyAlignment="1">
      <alignment horizontal="center" vertical="center"/>
    </xf>
    <xf numFmtId="9" fontId="117" fillId="0" borderId="49" xfId="18" applyFont="1" applyFill="1" applyBorder="1" applyAlignment="1">
      <alignment horizontal="right"/>
    </xf>
    <xf numFmtId="0" fontId="117" fillId="0" borderId="44" xfId="7" applyFont="1" applyBorder="1" applyAlignment="1">
      <alignment horizontal="left" vertical="center"/>
    </xf>
    <xf numFmtId="0" fontId="117" fillId="0" borderId="41" xfId="7" applyFont="1" applyBorder="1" applyAlignment="1">
      <alignment horizontal="left" vertical="center"/>
    </xf>
    <xf numFmtId="200" fontId="117" fillId="0" borderId="44" xfId="341" applyNumberFormat="1" applyFont="1" applyFill="1" applyBorder="1" applyAlignment="1">
      <alignment horizontal="center" vertical="center"/>
    </xf>
    <xf numFmtId="9" fontId="117" fillId="0" borderId="47" xfId="18" applyFont="1" applyFill="1" applyBorder="1" applyAlignment="1">
      <alignment horizontal="right"/>
    </xf>
    <xf numFmtId="0" fontId="77" fillId="0" borderId="44" xfId="0" applyFont="1" applyBorder="1" applyAlignment="1">
      <alignment horizontal="left"/>
    </xf>
    <xf numFmtId="0" fontId="77" fillId="0" borderId="50" xfId="0" applyFont="1" applyBorder="1" applyAlignment="1">
      <alignment horizontal="left"/>
    </xf>
    <xf numFmtId="200" fontId="120" fillId="0" borderId="49" xfId="341" applyNumberFormat="1" applyFont="1" applyFill="1" applyBorder="1" applyAlignment="1">
      <alignment horizontal="center" vertical="center"/>
    </xf>
    <xf numFmtId="200" fontId="117" fillId="0" borderId="46" xfId="341" applyNumberFormat="1" applyFont="1" applyFill="1" applyBorder="1" applyAlignment="1">
      <alignment horizontal="center" vertical="center"/>
    </xf>
    <xf numFmtId="0" fontId="125" fillId="0" borderId="42" xfId="0" applyFont="1" applyBorder="1" applyAlignment="1">
      <alignment horizontal="left" wrapText="1"/>
    </xf>
    <xf numFmtId="0" fontId="125" fillId="0" borderId="46" xfId="0" applyFont="1" applyBorder="1" applyAlignment="1">
      <alignment horizontal="left" wrapText="1"/>
    </xf>
    <xf numFmtId="0" fontId="125" fillId="0" borderId="48" xfId="0" applyFont="1" applyBorder="1" applyAlignment="1">
      <alignment horizontal="left" wrapText="1"/>
    </xf>
    <xf numFmtId="0" fontId="77" fillId="73" borderId="42" xfId="0" applyFont="1" applyFill="1" applyBorder="1" applyAlignment="1">
      <alignment horizontal="left" wrapText="1"/>
    </xf>
    <xf numFmtId="0" fontId="131" fillId="73" borderId="24" xfId="7" applyFont="1" applyFill="1" applyBorder="1" applyAlignment="1">
      <alignment horizontal="right" vertical="center"/>
    </xf>
    <xf numFmtId="0" fontId="131" fillId="73" borderId="41" xfId="7" applyFont="1" applyFill="1" applyBorder="1" applyAlignment="1">
      <alignment horizontal="left" vertical="center"/>
    </xf>
    <xf numFmtId="0" fontId="99" fillId="2" borderId="0" xfId="0" applyFont="1" applyFill="1" applyAlignment="1">
      <alignment vertical="center"/>
    </xf>
    <xf numFmtId="200" fontId="117" fillId="0" borderId="24" xfId="341" applyNumberFormat="1" applyFont="1" applyFill="1" applyBorder="1" applyAlignment="1">
      <alignment horizontal="center"/>
    </xf>
    <xf numFmtId="200" fontId="117" fillId="0" borderId="41" xfId="341" applyNumberFormat="1" applyFont="1" applyFill="1" applyBorder="1" applyAlignment="1">
      <alignment horizontal="center"/>
    </xf>
    <xf numFmtId="0" fontId="125" fillId="0" borderId="49" xfId="0" applyFont="1" applyBorder="1" applyAlignment="1">
      <alignment horizontal="left" wrapText="1"/>
    </xf>
    <xf numFmtId="0" fontId="77" fillId="0" borderId="43" xfId="0" applyFont="1" applyBorder="1" applyAlignment="1">
      <alignment horizontal="left"/>
    </xf>
    <xf numFmtId="1" fontId="117" fillId="0" borderId="24" xfId="0" applyNumberFormat="1" applyFont="1" applyBorder="1" applyAlignment="1">
      <alignment horizontal="right"/>
    </xf>
    <xf numFmtId="0" fontId="132" fillId="0" borderId="24" xfId="7" applyFont="1" applyBorder="1" applyAlignment="1">
      <alignment horizontal="right" vertical="center"/>
    </xf>
    <xf numFmtId="0" fontId="132" fillId="0" borderId="41" xfId="7" applyFont="1" applyBorder="1" applyAlignment="1">
      <alignment horizontal="left" vertical="center"/>
    </xf>
    <xf numFmtId="0" fontId="128" fillId="2" borderId="0" xfId="1" applyFont="1" applyFill="1" applyAlignment="1" applyProtection="1">
      <alignment vertical="center"/>
    </xf>
    <xf numFmtId="9" fontId="117" fillId="0" borderId="40" xfId="0" applyNumberFormat="1" applyFont="1" applyBorder="1" applyAlignment="1">
      <alignment horizontal="center"/>
    </xf>
    <xf numFmtId="0" fontId="129" fillId="2" borderId="0" xfId="0" applyFont="1" applyFill="1" applyAlignment="1">
      <alignment vertical="center"/>
    </xf>
    <xf numFmtId="9" fontId="117" fillId="0" borderId="40" xfId="18" applyFont="1" applyFill="1" applyBorder="1" applyAlignment="1">
      <alignment horizontal="center" vertical="center"/>
    </xf>
    <xf numFmtId="0" fontId="117" fillId="0" borderId="41" xfId="0" applyFont="1" applyBorder="1" applyAlignment="1">
      <alignment horizontal="right"/>
    </xf>
    <xf numFmtId="1" fontId="117" fillId="0" borderId="41" xfId="0" applyNumberFormat="1" applyFont="1" applyBorder="1" applyAlignment="1">
      <alignment horizontal="center"/>
    </xf>
    <xf numFmtId="9" fontId="117" fillId="0" borderId="1" xfId="18" applyFont="1" applyFill="1" applyBorder="1" applyAlignment="1">
      <alignment horizontal="center" vertical="center"/>
    </xf>
    <xf numFmtId="0" fontId="117" fillId="0" borderId="44" xfId="0" applyFont="1" applyBorder="1" applyAlignment="1">
      <alignment horizontal="right"/>
    </xf>
    <xf numFmtId="9" fontId="117" fillId="0" borderId="41" xfId="18" applyFont="1" applyFill="1" applyBorder="1" applyAlignment="1">
      <alignment horizontal="center" vertical="center"/>
    </xf>
    <xf numFmtId="1" fontId="117" fillId="0" borderId="42" xfId="0" applyNumberFormat="1" applyFont="1" applyBorder="1" applyAlignment="1">
      <alignment horizontal="center"/>
    </xf>
    <xf numFmtId="1" fontId="117" fillId="0" borderId="48" xfId="0" applyNumberFormat="1" applyFont="1" applyBorder="1" applyAlignment="1">
      <alignment horizontal="right"/>
    </xf>
    <xf numFmtId="1" fontId="117" fillId="0" borderId="44" xfId="0" applyNumberFormat="1" applyFont="1" applyBorder="1" applyAlignment="1">
      <alignment horizontal="center"/>
    </xf>
    <xf numFmtId="1" fontId="117" fillId="73" borderId="24" xfId="0" applyNumberFormat="1" applyFont="1" applyFill="1" applyBorder="1" applyAlignment="1">
      <alignment horizontal="right"/>
    </xf>
    <xf numFmtId="1" fontId="117" fillId="73" borderId="41" xfId="0" applyNumberFormat="1" applyFont="1" applyFill="1" applyBorder="1" applyAlignment="1">
      <alignment horizontal="center"/>
    </xf>
    <xf numFmtId="0" fontId="128" fillId="2" borderId="0" xfId="7" applyFont="1" applyFill="1" applyAlignment="1">
      <alignment vertical="center"/>
    </xf>
    <xf numFmtId="0" fontId="99" fillId="0" borderId="0" xfId="0" applyFont="1" applyAlignment="1">
      <alignment vertical="center"/>
    </xf>
    <xf numFmtId="1" fontId="77" fillId="0" borderId="24" xfId="0" applyNumberFormat="1" applyFont="1" applyBorder="1" applyAlignment="1">
      <alignment horizontal="right"/>
    </xf>
    <xf numFmtId="1" fontId="117" fillId="73" borderId="45" xfId="0" applyNumberFormat="1" applyFont="1" applyFill="1" applyBorder="1" applyAlignment="1">
      <alignment horizontal="right"/>
    </xf>
    <xf numFmtId="0" fontId="125" fillId="0" borderId="53" xfId="0" applyFont="1" applyBorder="1" applyAlignment="1">
      <alignment horizontal="left" wrapText="1"/>
    </xf>
    <xf numFmtId="0" fontId="77" fillId="0" borderId="43" xfId="0" applyFont="1" applyBorder="1" applyAlignment="1">
      <alignment horizontal="left" wrapText="1"/>
    </xf>
    <xf numFmtId="0" fontId="77" fillId="73" borderId="51" xfId="0" applyFont="1" applyFill="1" applyBorder="1" applyAlignment="1">
      <alignment horizontal="left" wrapText="1"/>
    </xf>
    <xf numFmtId="0" fontId="77" fillId="0" borderId="51" xfId="0" applyFont="1" applyBorder="1" applyAlignment="1">
      <alignment horizontal="left" wrapText="1"/>
    </xf>
    <xf numFmtId="9" fontId="117" fillId="0" borderId="45" xfId="18" applyFont="1" applyFill="1" applyBorder="1" applyAlignment="1">
      <alignment horizontal="center"/>
    </xf>
    <xf numFmtId="0" fontId="77" fillId="0" borderId="51" xfId="0" applyFont="1" applyBorder="1" applyAlignment="1">
      <alignment horizontal="left"/>
    </xf>
    <xf numFmtId="9" fontId="117" fillId="0" borderId="24" xfId="18" applyFont="1" applyFill="1" applyBorder="1" applyAlignment="1">
      <alignment horizontal="right"/>
    </xf>
    <xf numFmtId="9" fontId="77" fillId="0" borderId="24" xfId="18" applyFont="1" applyFill="1" applyBorder="1" applyAlignment="1">
      <alignment horizontal="right"/>
    </xf>
    <xf numFmtId="9" fontId="117" fillId="0" borderId="24" xfId="18" applyFont="1" applyFill="1" applyBorder="1" applyAlignment="1">
      <alignment horizontal="left"/>
    </xf>
    <xf numFmtId="0" fontId="77" fillId="0" borderId="45" xfId="7" applyFont="1" applyBorder="1" applyAlignment="1">
      <alignment horizontal="left"/>
    </xf>
    <xf numFmtId="1" fontId="117" fillId="73" borderId="45" xfId="0" applyNumberFormat="1" applyFont="1" applyFill="1" applyBorder="1" applyAlignment="1">
      <alignment horizontal="left"/>
    </xf>
    <xf numFmtId="9" fontId="117" fillId="0" borderId="41" xfId="18" applyFont="1" applyFill="1" applyBorder="1" applyAlignment="1">
      <alignment horizontal="right"/>
    </xf>
    <xf numFmtId="9" fontId="77" fillId="0" borderId="41" xfId="18" applyFont="1" applyFill="1" applyBorder="1" applyAlignment="1">
      <alignment horizontal="right"/>
    </xf>
    <xf numFmtId="1" fontId="117" fillId="73" borderId="44" xfId="0" applyNumberFormat="1" applyFont="1" applyFill="1" applyBorder="1" applyAlignment="1">
      <alignment horizontal="right"/>
    </xf>
    <xf numFmtId="0" fontId="130" fillId="2" borderId="0" xfId="0" applyFont="1" applyFill="1" applyAlignment="1">
      <alignment vertical="center"/>
    </xf>
    <xf numFmtId="0" fontId="117" fillId="0" borderId="0" xfId="7" applyFont="1" applyAlignment="1">
      <alignment vertical="center"/>
    </xf>
    <xf numFmtId="9" fontId="117" fillId="0" borderId="1" xfId="0" applyNumberFormat="1" applyFont="1" applyBorder="1" applyAlignment="1">
      <alignment horizontal="right"/>
    </xf>
    <xf numFmtId="0" fontId="117" fillId="0" borderId="0" xfId="7" applyFont="1" applyAlignment="1">
      <alignment horizontal="right" vertical="center"/>
    </xf>
    <xf numFmtId="0" fontId="117" fillId="0" borderId="0" xfId="7" applyFont="1" applyAlignment="1">
      <alignment horizontal="left" vertical="center"/>
    </xf>
    <xf numFmtId="0" fontId="117" fillId="0" borderId="51" xfId="7" applyFont="1" applyBorder="1" applyAlignment="1">
      <alignment horizontal="left"/>
    </xf>
    <xf numFmtId="200" fontId="117" fillId="0" borderId="45" xfId="341" applyNumberFormat="1" applyFont="1" applyFill="1" applyBorder="1" applyAlignment="1">
      <alignment horizontal="center"/>
    </xf>
    <xf numFmtId="9" fontId="117" fillId="0" borderId="0" xfId="18" applyFont="1" applyFill="1" applyAlignment="1">
      <alignment vertical="center"/>
    </xf>
    <xf numFmtId="0" fontId="133" fillId="2" borderId="0" xfId="7" applyFont="1" applyFill="1" applyAlignment="1">
      <alignment vertical="center"/>
    </xf>
    <xf numFmtId="0" fontId="133" fillId="2" borderId="0" xfId="7" applyFont="1" applyFill="1" applyAlignment="1">
      <alignment horizontal="left" vertical="center"/>
    </xf>
    <xf numFmtId="9" fontId="117" fillId="0" borderId="0" xfId="18" applyFont="1" applyFill="1" applyAlignment="1">
      <alignment horizontal="right" vertical="center"/>
    </xf>
    <xf numFmtId="0" fontId="77" fillId="0" borderId="1" xfId="0" applyFont="1" applyBorder="1" applyAlignment="1">
      <alignment horizontal="left"/>
    </xf>
    <xf numFmtId="0" fontId="77" fillId="73" borderId="49" xfId="0" applyFont="1" applyFill="1" applyBorder="1" applyAlignment="1">
      <alignment horizontal="left"/>
    </xf>
    <xf numFmtId="0" fontId="77" fillId="0" borderId="0" xfId="0" applyFont="1" applyAlignment="1">
      <alignment horizontal="left"/>
    </xf>
    <xf numFmtId="0" fontId="129" fillId="0" borderId="0" xfId="0" applyFont="1" applyAlignment="1">
      <alignment vertical="center"/>
    </xf>
    <xf numFmtId="0" fontId="117" fillId="0" borderId="24" xfId="341" applyNumberFormat="1" applyFont="1" applyFill="1" applyBorder="1" applyAlignment="1">
      <alignment horizontal="right"/>
    </xf>
    <xf numFmtId="0" fontId="117" fillId="0" borderId="45" xfId="341" applyNumberFormat="1" applyFont="1" applyFill="1" applyBorder="1" applyAlignment="1">
      <alignment horizontal="right"/>
    </xf>
    <xf numFmtId="200" fontId="117" fillId="0" borderId="24" xfId="341" applyNumberFormat="1" applyFont="1" applyFill="1" applyBorder="1" applyAlignment="1">
      <alignment horizontal="right"/>
    </xf>
    <xf numFmtId="9" fontId="117" fillId="0" borderId="45" xfId="18" applyFont="1" applyFill="1" applyBorder="1" applyAlignment="1">
      <alignment horizontal="right"/>
    </xf>
    <xf numFmtId="9" fontId="117" fillId="0" borderId="44" xfId="18" applyFont="1" applyFill="1" applyBorder="1" applyAlignment="1">
      <alignment horizontal="right"/>
    </xf>
    <xf numFmtId="200" fontId="117" fillId="0" borderId="45" xfId="341" applyNumberFormat="1" applyFont="1" applyFill="1" applyBorder="1" applyAlignment="1">
      <alignment horizontal="left"/>
    </xf>
    <xf numFmtId="0" fontId="120" fillId="0" borderId="0" xfId="0" applyFont="1" applyAlignment="1">
      <alignment vertical="center"/>
    </xf>
    <xf numFmtId="0" fontId="120" fillId="2" borderId="0" xfId="0" applyFont="1" applyFill="1" applyAlignment="1">
      <alignment vertical="center"/>
    </xf>
    <xf numFmtId="0" fontId="0" fillId="0" borderId="0" xfId="0" applyAlignment="1">
      <alignment vertical="center"/>
    </xf>
    <xf numFmtId="0" fontId="0" fillId="0" borderId="0" xfId="0" applyAlignment="1">
      <alignment horizontal="center" vertical="center"/>
    </xf>
    <xf numFmtId="9" fontId="0" fillId="0" borderId="0" xfId="18" applyFont="1" applyFill="1" applyAlignment="1">
      <alignment vertical="center"/>
    </xf>
    <xf numFmtId="9" fontId="0" fillId="0" borderId="0" xfId="18" applyFont="1" applyFill="1" applyAlignment="1">
      <alignment horizontal="right" vertical="center"/>
    </xf>
    <xf numFmtId="0" fontId="0" fillId="0" borderId="0" xfId="0" applyAlignment="1">
      <alignment horizontal="left" vertical="center"/>
    </xf>
    <xf numFmtId="0" fontId="120" fillId="0" borderId="0" xfId="0" applyFont="1" applyAlignment="1">
      <alignment vertical="center" wrapText="1"/>
    </xf>
    <xf numFmtId="0" fontId="0" fillId="0" borderId="40" xfId="7" applyFont="1" applyBorder="1" applyAlignment="1">
      <alignment vertical="center"/>
    </xf>
    <xf numFmtId="0" fontId="0" fillId="73" borderId="0" xfId="0" applyFill="1" applyAlignment="1">
      <alignment vertical="center"/>
    </xf>
    <xf numFmtId="1" fontId="0" fillId="73" borderId="0" xfId="0" applyNumberFormat="1" applyFill="1" applyAlignment="1">
      <alignment horizontal="right" vertical="center"/>
    </xf>
    <xf numFmtId="0" fontId="0" fillId="73" borderId="0" xfId="0" applyFill="1" applyAlignment="1">
      <alignment horizontal="right" vertical="center"/>
    </xf>
    <xf numFmtId="0" fontId="125" fillId="0" borderId="0" xfId="0" applyFont="1" applyAlignment="1">
      <alignment horizontal="left" vertical="center"/>
    </xf>
    <xf numFmtId="0" fontId="120" fillId="0" borderId="0" xfId="7" applyFont="1" applyAlignment="1">
      <alignment horizontal="left" vertical="center"/>
    </xf>
    <xf numFmtId="0" fontId="120" fillId="0" borderId="0" xfId="0" applyFont="1" applyAlignment="1">
      <alignment horizontal="left" vertical="center"/>
    </xf>
    <xf numFmtId="0" fontId="77" fillId="0" borderId="0" xfId="0" applyFont="1" applyAlignment="1">
      <alignment vertical="center"/>
    </xf>
    <xf numFmtId="0" fontId="117" fillId="0" borderId="0" xfId="0" applyFont="1" applyAlignment="1">
      <alignment vertical="center"/>
    </xf>
    <xf numFmtId="0" fontId="117" fillId="0" borderId="0" xfId="0" applyFont="1" applyAlignment="1">
      <alignment horizontal="right" vertical="center"/>
    </xf>
    <xf numFmtId="0" fontId="77" fillId="73" borderId="0" xfId="0" applyFont="1" applyFill="1" applyAlignment="1">
      <alignment vertical="center"/>
    </xf>
    <xf numFmtId="0" fontId="117" fillId="73" borderId="0" xfId="7" applyFont="1" applyFill="1" applyAlignment="1">
      <alignment vertical="center"/>
    </xf>
    <xf numFmtId="0" fontId="117" fillId="73" borderId="0" xfId="7" applyFont="1" applyFill="1" applyAlignment="1">
      <alignment horizontal="right" vertical="center"/>
    </xf>
    <xf numFmtId="0" fontId="117" fillId="0" borderId="51" xfId="7" applyFont="1" applyBorder="1" applyAlignment="1">
      <alignment vertical="center"/>
    </xf>
    <xf numFmtId="0" fontId="77" fillId="2" borderId="0" xfId="0" applyFont="1" applyFill="1" applyAlignment="1">
      <alignment vertical="center"/>
    </xf>
    <xf numFmtId="0" fontId="125" fillId="0" borderId="0" xfId="0" applyFont="1" applyAlignment="1">
      <alignment vertical="center"/>
    </xf>
    <xf numFmtId="0" fontId="120" fillId="0" borderId="0" xfId="7" applyFont="1" applyAlignment="1">
      <alignment vertical="center"/>
    </xf>
    <xf numFmtId="9" fontId="117" fillId="73" borderId="0" xfId="18" applyFont="1" applyFill="1" applyAlignment="1">
      <alignment horizontal="right" vertical="center"/>
    </xf>
    <xf numFmtId="0" fontId="117" fillId="73" borderId="0" xfId="7" applyFont="1" applyFill="1" applyAlignment="1">
      <alignment horizontal="left" vertical="center"/>
    </xf>
    <xf numFmtId="0" fontId="117" fillId="0" borderId="45" xfId="7" applyFont="1" applyBorder="1" applyAlignment="1">
      <alignment vertical="center"/>
    </xf>
    <xf numFmtId="0" fontId="135" fillId="2" borderId="0" xfId="7" applyFont="1" applyFill="1" applyAlignment="1">
      <alignment vertical="center"/>
    </xf>
    <xf numFmtId="0" fontId="77" fillId="0" borderId="0" xfId="0" applyFont="1" applyAlignment="1">
      <alignment horizontal="left" wrapText="1"/>
    </xf>
    <xf numFmtId="0" fontId="117" fillId="0" borderId="0" xfId="341" applyNumberFormat="1" applyFont="1" applyFill="1" applyBorder="1" applyAlignment="1">
      <alignment horizontal="right"/>
    </xf>
    <xf numFmtId="9" fontId="117" fillId="0" borderId="0" xfId="18" applyFont="1" applyFill="1" applyBorder="1" applyAlignment="1">
      <alignment horizontal="right"/>
    </xf>
    <xf numFmtId="200" fontId="117" fillId="0" borderId="0" xfId="341" applyNumberFormat="1" applyFont="1" applyFill="1" applyBorder="1" applyAlignment="1">
      <alignment horizontal="left"/>
    </xf>
    <xf numFmtId="9" fontId="117" fillId="0" borderId="0" xfId="18" applyFont="1" applyFill="1" applyBorder="1" applyAlignment="1">
      <alignment horizontal="left"/>
    </xf>
    <xf numFmtId="0" fontId="136" fillId="2" borderId="0" xfId="0" applyFont="1" applyFill="1" applyAlignment="1">
      <alignment vertical="center"/>
    </xf>
    <xf numFmtId="0" fontId="137" fillId="2" borderId="0" xfId="1" applyFont="1" applyFill="1" applyAlignment="1" applyProtection="1">
      <alignment vertical="center"/>
    </xf>
    <xf numFmtId="0" fontId="120" fillId="2" borderId="0" xfId="7" applyFont="1" applyFill="1" applyAlignment="1">
      <alignment vertical="center"/>
    </xf>
    <xf numFmtId="1" fontId="117" fillId="0" borderId="0" xfId="0" applyNumberFormat="1" applyFont="1" applyAlignment="1">
      <alignment vertical="center"/>
    </xf>
    <xf numFmtId="1" fontId="117" fillId="0" borderId="0" xfId="0" applyNumberFormat="1" applyFont="1" applyAlignment="1">
      <alignment horizontal="center" vertical="center"/>
    </xf>
    <xf numFmtId="1" fontId="117" fillId="73" borderId="0" xfId="0" applyNumberFormat="1" applyFont="1" applyFill="1" applyAlignment="1">
      <alignment vertical="center"/>
    </xf>
    <xf numFmtId="0" fontId="117" fillId="73" borderId="0" xfId="0" applyFont="1" applyFill="1" applyAlignment="1">
      <alignment horizontal="right" vertical="center"/>
    </xf>
    <xf numFmtId="0" fontId="117" fillId="2" borderId="0" xfId="0" applyFont="1" applyFill="1" applyAlignment="1">
      <alignment vertical="center"/>
    </xf>
    <xf numFmtId="200" fontId="117" fillId="0" borderId="44" xfId="341" applyNumberFormat="1" applyFont="1" applyFill="1" applyBorder="1" applyAlignment="1">
      <alignment horizontal="center"/>
    </xf>
    <xf numFmtId="0" fontId="120" fillId="2" borderId="0" xfId="0" applyFont="1" applyFill="1" applyAlignment="1">
      <alignment horizontal="left" vertical="center"/>
    </xf>
    <xf numFmtId="0" fontId="127" fillId="2" borderId="0" xfId="0" applyFont="1" applyFill="1" applyAlignment="1">
      <alignment vertical="center"/>
    </xf>
    <xf numFmtId="0" fontId="117" fillId="2" borderId="0" xfId="0" applyFont="1" applyFill="1"/>
    <xf numFmtId="0" fontId="138" fillId="2" borderId="0" xfId="0" applyFont="1" applyFill="1"/>
    <xf numFmtId="0" fontId="138" fillId="2" borderId="0" xfId="0" applyFont="1" applyFill="1" applyAlignment="1">
      <alignment vertical="center"/>
    </xf>
    <xf numFmtId="0" fontId="117" fillId="2" borderId="51" xfId="338" applyFill="1" applyBorder="1" applyAlignment="1">
      <alignment vertical="top"/>
    </xf>
    <xf numFmtId="0" fontId="117" fillId="2" borderId="45" xfId="338" applyFill="1" applyBorder="1" applyAlignment="1">
      <alignment vertical="top"/>
    </xf>
    <xf numFmtId="0" fontId="77" fillId="2" borderId="45" xfId="338" applyFont="1" applyFill="1" applyBorder="1" applyAlignment="1">
      <alignment vertical="top"/>
    </xf>
    <xf numFmtId="0" fontId="77" fillId="2" borderId="45" xfId="338" applyFont="1" applyFill="1" applyBorder="1"/>
    <xf numFmtId="3" fontId="77" fillId="2" borderId="45" xfId="338" applyNumberFormat="1" applyFont="1" applyFill="1" applyBorder="1"/>
    <xf numFmtId="0" fontId="117" fillId="0" borderId="43" xfId="338" applyBorder="1" applyAlignment="1">
      <alignment vertical="top"/>
    </xf>
    <xf numFmtId="0" fontId="117" fillId="0" borderId="24" xfId="338" applyBorder="1" applyAlignment="1">
      <alignment vertical="top"/>
    </xf>
    <xf numFmtId="0" fontId="117" fillId="0" borderId="24" xfId="338" applyBorder="1"/>
    <xf numFmtId="3" fontId="117" fillId="0" borderId="24" xfId="338" applyNumberFormat="1" applyBorder="1"/>
    <xf numFmtId="9" fontId="117" fillId="0" borderId="41" xfId="18" applyFont="1" applyFill="1" applyBorder="1"/>
    <xf numFmtId="0" fontId="77" fillId="0" borderId="24" xfId="338" applyFont="1" applyBorder="1"/>
    <xf numFmtId="3" fontId="77" fillId="0" borderId="24" xfId="338" applyNumberFormat="1" applyFont="1" applyBorder="1"/>
    <xf numFmtId="0" fontId="77" fillId="0" borderId="24" xfId="338" applyFont="1" applyBorder="1" applyAlignment="1">
      <alignment vertical="top"/>
    </xf>
    <xf numFmtId="0" fontId="77" fillId="0" borderId="43" xfId="338" applyFont="1" applyBorder="1" applyAlignment="1">
      <alignment vertical="top"/>
    </xf>
    <xf numFmtId="0" fontId="117" fillId="0" borderId="51" xfId="338" applyBorder="1" applyAlignment="1">
      <alignment vertical="top"/>
    </xf>
    <xf numFmtId="0" fontId="117" fillId="0" borderId="45" xfId="338" applyBorder="1" applyAlignment="1">
      <alignment vertical="top"/>
    </xf>
    <xf numFmtId="0" fontId="77" fillId="0" borderId="45" xfId="338" applyFont="1" applyBorder="1" applyAlignment="1">
      <alignment vertical="top"/>
    </xf>
    <xf numFmtId="0" fontId="77" fillId="0" borderId="45" xfId="338" applyFont="1" applyBorder="1"/>
    <xf numFmtId="3" fontId="77" fillId="0" borderId="45" xfId="338" applyNumberFormat="1" applyFont="1" applyBorder="1"/>
    <xf numFmtId="9" fontId="117" fillId="0" borderId="44" xfId="18" applyFont="1" applyFill="1" applyBorder="1"/>
    <xf numFmtId="1" fontId="117" fillId="73" borderId="24" xfId="338" applyNumberFormat="1" applyFill="1" applyBorder="1"/>
    <xf numFmtId="1" fontId="77" fillId="73" borderId="24" xfId="338" applyNumberFormat="1" applyFont="1" applyFill="1" applyBorder="1"/>
    <xf numFmtId="0" fontId="117" fillId="73" borderId="24" xfId="338" applyFill="1" applyBorder="1"/>
    <xf numFmtId="0" fontId="77" fillId="73" borderId="24" xfId="338" applyFont="1" applyFill="1" applyBorder="1"/>
    <xf numFmtId="0" fontId="77" fillId="73" borderId="45" xfId="338" applyFont="1" applyFill="1" applyBorder="1"/>
    <xf numFmtId="3" fontId="77" fillId="2" borderId="44" xfId="338" applyNumberFormat="1" applyFont="1" applyFill="1" applyBorder="1"/>
    <xf numFmtId="3" fontId="77" fillId="2" borderId="40" xfId="338" applyNumberFormat="1" applyFont="1" applyFill="1" applyBorder="1"/>
    <xf numFmtId="1" fontId="77" fillId="2" borderId="40" xfId="338" applyNumberFormat="1" applyFont="1" applyFill="1" applyBorder="1"/>
    <xf numFmtId="9" fontId="117" fillId="2" borderId="40" xfId="18" applyFont="1" applyFill="1" applyBorder="1"/>
    <xf numFmtId="0" fontId="117" fillId="0" borderId="43" xfId="338" applyBorder="1"/>
    <xf numFmtId="9" fontId="0" fillId="0" borderId="24" xfId="340" applyFont="1" applyFill="1" applyBorder="1"/>
    <xf numFmtId="9" fontId="0" fillId="0" borderId="41" xfId="340" applyFont="1" applyFill="1" applyBorder="1"/>
    <xf numFmtId="0" fontId="77" fillId="0" borderId="43" xfId="338" applyFont="1" applyBorder="1"/>
    <xf numFmtId="9" fontId="77" fillId="0" borderId="24" xfId="340" applyFont="1" applyFill="1" applyBorder="1"/>
    <xf numFmtId="9" fontId="119" fillId="0" borderId="41" xfId="340" applyFont="1" applyFill="1" applyBorder="1"/>
    <xf numFmtId="3" fontId="117" fillId="0" borderId="45" xfId="338" applyNumberFormat="1" applyBorder="1"/>
    <xf numFmtId="9" fontId="0" fillId="0" borderId="45" xfId="340" applyFont="1" applyFill="1" applyBorder="1"/>
    <xf numFmtId="9" fontId="0" fillId="0" borderId="44" xfId="340" applyFont="1" applyFill="1" applyBorder="1"/>
    <xf numFmtId="0" fontId="99" fillId="2" borderId="0" xfId="338" applyFont="1" applyFill="1" applyAlignment="1">
      <alignment vertical="center"/>
    </xf>
    <xf numFmtId="0" fontId="120" fillId="0" borderId="0" xfId="338" applyFont="1" applyAlignment="1">
      <alignment horizontal="left"/>
    </xf>
    <xf numFmtId="0" fontId="99" fillId="2" borderId="0" xfId="0" applyFont="1" applyFill="1" applyAlignment="1">
      <alignment horizontal="left" vertical="center"/>
    </xf>
    <xf numFmtId="0" fontId="117" fillId="2" borderId="0" xfId="338" applyFill="1" applyAlignment="1">
      <alignment horizontal="left"/>
    </xf>
    <xf numFmtId="0" fontId="120" fillId="2" borderId="0" xfId="338" applyFont="1" applyFill="1" applyAlignment="1">
      <alignment horizontal="left"/>
    </xf>
    <xf numFmtId="0" fontId="125" fillId="0" borderId="52" xfId="0" applyFont="1" applyBorder="1" applyAlignment="1">
      <alignment horizontal="left" wrapText="1"/>
    </xf>
    <xf numFmtId="0" fontId="77" fillId="0" borderId="43" xfId="338" applyFont="1" applyBorder="1" applyAlignment="1">
      <alignment horizontal="left" vertical="top"/>
    </xf>
    <xf numFmtId="200" fontId="77" fillId="0" borderId="24" xfId="341" applyNumberFormat="1" applyFont="1" applyFill="1" applyBorder="1"/>
    <xf numFmtId="9" fontId="77" fillId="0" borderId="41" xfId="340" applyFont="1" applyFill="1" applyBorder="1"/>
    <xf numFmtId="0" fontId="117" fillId="0" borderId="43" xfId="338" applyBorder="1" applyAlignment="1">
      <alignment horizontal="left" vertical="top"/>
    </xf>
    <xf numFmtId="200" fontId="117" fillId="0" borderId="24" xfId="341" applyNumberFormat="1" applyFont="1" applyFill="1" applyBorder="1"/>
    <xf numFmtId="9" fontId="117" fillId="0" borderId="24" xfId="340" applyFont="1" applyFill="1" applyBorder="1"/>
    <xf numFmtId="9" fontId="117" fillId="0" borderId="41" xfId="340" applyFont="1" applyFill="1" applyBorder="1"/>
    <xf numFmtId="0" fontId="117" fillId="0" borderId="51" xfId="338" applyBorder="1" applyAlignment="1">
      <alignment horizontal="left" vertical="top"/>
    </xf>
    <xf numFmtId="0" fontId="117" fillId="0" borderId="45" xfId="338" applyBorder="1"/>
    <xf numFmtId="200" fontId="117" fillId="0" borderId="45" xfId="341" applyNumberFormat="1" applyFont="1" applyFill="1" applyBorder="1"/>
    <xf numFmtId="9" fontId="117" fillId="0" borderId="45" xfId="340" applyFont="1" applyFill="1" applyBorder="1"/>
    <xf numFmtId="9" fontId="117" fillId="0" borderId="44" xfId="340" applyFont="1" applyFill="1" applyBorder="1"/>
    <xf numFmtId="0" fontId="0" fillId="2" borderId="0" xfId="0" applyFill="1" applyAlignment="1">
      <alignment horizontal="left"/>
    </xf>
    <xf numFmtId="0" fontId="0" fillId="2" borderId="0" xfId="0" applyFill="1" applyAlignment="1">
      <alignment horizontal="right"/>
    </xf>
    <xf numFmtId="0" fontId="117" fillId="0" borderId="43" xfId="338" applyBorder="1" applyAlignment="1">
      <alignment horizontal="left"/>
    </xf>
    <xf numFmtId="0" fontId="119" fillId="0" borderId="0" xfId="0" applyFont="1" applyAlignment="1">
      <alignment horizontal="left"/>
    </xf>
    <xf numFmtId="3" fontId="117" fillId="0" borderId="24" xfId="338" applyNumberFormat="1" applyBorder="1" applyAlignment="1">
      <alignment horizontal="right"/>
    </xf>
    <xf numFmtId="9" fontId="0" fillId="0" borderId="41" xfId="340" applyFont="1" applyFill="1" applyBorder="1" applyAlignment="1">
      <alignment horizontal="right"/>
    </xf>
    <xf numFmtId="0" fontId="117" fillId="0" borderId="24" xfId="338" applyBorder="1" applyAlignment="1">
      <alignment horizontal="left"/>
    </xf>
    <xf numFmtId="0" fontId="77" fillId="0" borderId="48" xfId="338" applyFont="1" applyBorder="1" applyAlignment="1">
      <alignment horizontal="left"/>
    </xf>
    <xf numFmtId="0" fontId="77" fillId="0" borderId="43" xfId="338" applyFont="1" applyBorder="1" applyAlignment="1">
      <alignment horizontal="left"/>
    </xf>
    <xf numFmtId="3" fontId="77" fillId="0" borderId="24" xfId="338" applyNumberFormat="1" applyFont="1" applyBorder="1" applyAlignment="1">
      <alignment horizontal="right"/>
    </xf>
    <xf numFmtId="0" fontId="77" fillId="0" borderId="24" xfId="338" applyFont="1" applyBorder="1" applyAlignment="1">
      <alignment horizontal="left"/>
    </xf>
    <xf numFmtId="0" fontId="0" fillId="0" borderId="24" xfId="0" applyBorder="1" applyAlignment="1">
      <alignment horizontal="right"/>
    </xf>
    <xf numFmtId="0" fontId="117" fillId="0" borderId="24" xfId="338" applyBorder="1" applyAlignment="1">
      <alignment horizontal="right"/>
    </xf>
    <xf numFmtId="0" fontId="117" fillId="0" borderId="45" xfId="338" applyBorder="1" applyAlignment="1">
      <alignment horizontal="left"/>
    </xf>
    <xf numFmtId="3" fontId="117" fillId="0" borderId="45" xfId="338" applyNumberFormat="1" applyBorder="1" applyAlignment="1">
      <alignment horizontal="right"/>
    </xf>
    <xf numFmtId="0" fontId="117" fillId="0" borderId="45" xfId="338" applyBorder="1" applyAlignment="1">
      <alignment horizontal="right"/>
    </xf>
    <xf numFmtId="9" fontId="0" fillId="0" borderId="44" xfId="340" applyFont="1" applyFill="1" applyBorder="1" applyAlignment="1">
      <alignment horizontal="right"/>
    </xf>
    <xf numFmtId="0" fontId="125" fillId="0" borderId="53" xfId="0" applyFont="1" applyBorder="1" applyAlignment="1">
      <alignment wrapText="1"/>
    </xf>
    <xf numFmtId="0" fontId="125" fillId="0" borderId="46" xfId="0" applyFont="1" applyBorder="1" applyAlignment="1">
      <alignment wrapText="1"/>
    </xf>
    <xf numFmtId="0" fontId="125" fillId="0" borderId="42" xfId="0" applyFont="1" applyBorder="1" applyAlignment="1">
      <alignment wrapText="1"/>
    </xf>
    <xf numFmtId="0" fontId="120" fillId="2" borderId="0" xfId="0" applyFont="1" applyFill="1"/>
    <xf numFmtId="200" fontId="117" fillId="0" borderId="43" xfId="341" applyNumberFormat="1" applyFont="1" applyFill="1" applyBorder="1" applyAlignment="1">
      <alignment horizontal="left" wrapText="1"/>
    </xf>
    <xf numFmtId="200" fontId="117" fillId="0" borderId="51" xfId="341" applyNumberFormat="1" applyFont="1" applyFill="1" applyBorder="1" applyAlignment="1">
      <alignment horizontal="left" wrapText="1"/>
    </xf>
    <xf numFmtId="200" fontId="117" fillId="0" borderId="45" xfId="341" applyNumberFormat="1" applyFont="1" applyFill="1" applyBorder="1" applyAlignment="1">
      <alignment horizontal="left" wrapText="1"/>
    </xf>
    <xf numFmtId="0" fontId="128" fillId="2" borderId="0" xfId="0" applyFont="1" applyFill="1" applyAlignment="1">
      <alignment vertical="center"/>
    </xf>
    <xf numFmtId="200" fontId="117" fillId="0" borderId="24" xfId="341" applyNumberFormat="1" applyFont="1" applyFill="1" applyBorder="1" applyAlignment="1">
      <alignment horizontal="right" wrapText="1"/>
    </xf>
    <xf numFmtId="200" fontId="117" fillId="0" borderId="43" xfId="341" applyNumberFormat="1" applyFont="1" applyFill="1" applyBorder="1" applyAlignment="1">
      <alignment horizontal="right" wrapText="1"/>
    </xf>
    <xf numFmtId="9" fontId="117" fillId="0" borderId="43" xfId="0" applyNumberFormat="1" applyFont="1" applyBorder="1" applyAlignment="1">
      <alignment horizontal="right" wrapText="1"/>
    </xf>
    <xf numFmtId="9" fontId="117" fillId="0" borderId="1" xfId="0" applyNumberFormat="1" applyFont="1" applyBorder="1" applyAlignment="1">
      <alignment horizontal="right" wrapText="1"/>
    </xf>
    <xf numFmtId="200" fontId="117" fillId="0" borderId="45" xfId="341" applyNumberFormat="1" applyFont="1" applyFill="1" applyBorder="1" applyAlignment="1">
      <alignment horizontal="right" wrapText="1"/>
    </xf>
    <xf numFmtId="200" fontId="117" fillId="0" borderId="51" xfId="341" applyNumberFormat="1" applyFont="1" applyFill="1" applyBorder="1" applyAlignment="1">
      <alignment horizontal="right" wrapText="1"/>
    </xf>
    <xf numFmtId="9" fontId="117" fillId="0" borderId="40" xfId="0" applyNumberFormat="1" applyFont="1" applyBorder="1" applyAlignment="1">
      <alignment horizontal="right" wrapText="1"/>
    </xf>
    <xf numFmtId="0" fontId="139" fillId="2" borderId="0" xfId="7" applyFont="1" applyFill="1" applyAlignment="1">
      <alignment vertical="center"/>
    </xf>
    <xf numFmtId="200" fontId="117" fillId="0" borderId="43" xfId="341" applyNumberFormat="1" applyFont="1" applyFill="1" applyBorder="1" applyAlignment="1">
      <alignment horizontal="center"/>
    </xf>
    <xf numFmtId="200" fontId="117" fillId="0" borderId="51" xfId="341" applyNumberFormat="1" applyFont="1" applyFill="1" applyBorder="1" applyAlignment="1">
      <alignment horizontal="center"/>
    </xf>
    <xf numFmtId="2" fontId="117" fillId="0" borderId="24" xfId="0" applyNumberFormat="1" applyFont="1" applyBorder="1" applyAlignment="1">
      <alignment horizontal="right"/>
    </xf>
    <xf numFmtId="2" fontId="117" fillId="0" borderId="41" xfId="0" applyNumberFormat="1" applyFont="1" applyBorder="1" applyAlignment="1">
      <alignment horizontal="right"/>
    </xf>
    <xf numFmtId="2" fontId="117" fillId="0" borderId="45" xfId="0" applyNumberFormat="1" applyFont="1" applyBorder="1" applyAlignment="1">
      <alignment horizontal="right"/>
    </xf>
    <xf numFmtId="2" fontId="117" fillId="0" borderId="44" xfId="0" applyNumberFormat="1" applyFont="1" applyBorder="1" applyAlignment="1">
      <alignment horizontal="right"/>
    </xf>
    <xf numFmtId="9" fontId="117" fillId="0" borderId="40" xfId="0" applyNumberFormat="1" applyFont="1" applyBorder="1" applyAlignment="1">
      <alignment horizontal="right"/>
    </xf>
    <xf numFmtId="200" fontId="77" fillId="73" borderId="42" xfId="341" applyNumberFormat="1" applyFont="1" applyFill="1" applyBorder="1" applyAlignment="1">
      <alignment horizontal="center" vertical="center"/>
    </xf>
    <xf numFmtId="0" fontId="119" fillId="0" borderId="0" xfId="0" applyFont="1" applyAlignment="1">
      <alignment vertical="center"/>
    </xf>
    <xf numFmtId="0" fontId="119" fillId="73" borderId="0" xfId="0" applyFont="1" applyFill="1" applyAlignment="1">
      <alignment vertical="center"/>
    </xf>
    <xf numFmtId="0" fontId="77" fillId="73" borderId="41" xfId="0" applyFont="1" applyFill="1" applyBorder="1" applyAlignment="1">
      <alignment horizontal="right"/>
    </xf>
    <xf numFmtId="9" fontId="119" fillId="0" borderId="0" xfId="18" applyFont="1" applyFill="1" applyAlignment="1">
      <alignment vertical="center"/>
    </xf>
    <xf numFmtId="0" fontId="77" fillId="0" borderId="0" xfId="7" applyFont="1" applyAlignment="1">
      <alignment vertical="center"/>
    </xf>
    <xf numFmtId="9" fontId="77" fillId="0" borderId="0" xfId="18" applyFont="1" applyFill="1" applyAlignment="1">
      <alignment horizontal="right" vertical="center"/>
    </xf>
    <xf numFmtId="0" fontId="77" fillId="0" borderId="0" xfId="7" applyFont="1" applyAlignment="1">
      <alignment horizontal="left" vertical="center"/>
    </xf>
    <xf numFmtId="0" fontId="99" fillId="2" borderId="0" xfId="7" applyFont="1" applyFill="1" applyAlignment="1">
      <alignment vertical="center"/>
    </xf>
    <xf numFmtId="1" fontId="117" fillId="73" borderId="0" xfId="7" applyNumberFormat="1" applyFont="1" applyFill="1" applyAlignment="1">
      <alignment vertical="center"/>
    </xf>
    <xf numFmtId="9" fontId="77" fillId="0" borderId="0" xfId="18" applyFont="1" applyFill="1" applyAlignment="1">
      <alignment vertical="center"/>
    </xf>
    <xf numFmtId="201" fontId="117" fillId="0" borderId="0" xfId="341" applyNumberFormat="1" applyFont="1" applyFill="1" applyAlignment="1">
      <alignment vertical="center"/>
    </xf>
    <xf numFmtId="201" fontId="77" fillId="0" borderId="0" xfId="341" applyNumberFormat="1" applyFont="1" applyFill="1" applyAlignment="1">
      <alignment vertical="center"/>
    </xf>
    <xf numFmtId="201" fontId="117" fillId="73" borderId="0" xfId="341" applyNumberFormat="1" applyFont="1" applyFill="1" applyAlignment="1">
      <alignment vertical="center"/>
    </xf>
    <xf numFmtId="201" fontId="117" fillId="0" borderId="0" xfId="341" applyNumberFormat="1" applyFont="1" applyFill="1" applyAlignment="1">
      <alignment horizontal="right" vertical="center"/>
    </xf>
    <xf numFmtId="0" fontId="134" fillId="2" borderId="0" xfId="0" applyFont="1" applyFill="1" applyAlignment="1">
      <alignment vertical="center"/>
    </xf>
    <xf numFmtId="1" fontId="77" fillId="0" borderId="0" xfId="0" applyNumberFormat="1" applyFont="1" applyAlignment="1">
      <alignment vertical="center"/>
    </xf>
    <xf numFmtId="1" fontId="117" fillId="0" borderId="0" xfId="0" applyNumberFormat="1" applyFont="1" applyAlignment="1">
      <alignment horizontal="right" vertical="center"/>
    </xf>
    <xf numFmtId="1" fontId="117" fillId="0" borderId="0" xfId="0" applyNumberFormat="1" applyFont="1" applyAlignment="1">
      <alignment horizontal="right"/>
    </xf>
    <xf numFmtId="1" fontId="77" fillId="0" borderId="0" xfId="0" applyNumberFormat="1" applyFont="1" applyAlignment="1">
      <alignment horizontal="right" vertical="center"/>
    </xf>
    <xf numFmtId="1" fontId="117" fillId="73" borderId="0" xfId="0" applyNumberFormat="1" applyFont="1" applyFill="1" applyAlignment="1">
      <alignment horizontal="right" vertical="center"/>
    </xf>
    <xf numFmtId="9" fontId="119" fillId="0" borderId="41" xfId="340" applyFont="1" applyFill="1" applyBorder="1" applyAlignment="1">
      <alignment horizontal="right"/>
    </xf>
    <xf numFmtId="9" fontId="117" fillId="0" borderId="51" xfId="7" applyNumberFormat="1" applyFont="1" applyBorder="1" applyAlignment="1">
      <alignment horizontal="right" wrapText="1"/>
    </xf>
    <xf numFmtId="1" fontId="120" fillId="0" borderId="48" xfId="0" applyNumberFormat="1" applyFont="1" applyBorder="1" applyAlignment="1">
      <alignment horizontal="right"/>
    </xf>
    <xf numFmtId="200" fontId="117" fillId="73" borderId="24" xfId="341" applyNumberFormat="1" applyFont="1" applyFill="1" applyBorder="1" applyAlignment="1">
      <alignment horizontal="right" vertical="center"/>
    </xf>
    <xf numFmtId="0" fontId="128" fillId="2" borderId="0" xfId="0" applyFont="1" applyFill="1" applyAlignment="1">
      <alignment wrapText="1"/>
    </xf>
    <xf numFmtId="200" fontId="117" fillId="0" borderId="45" xfId="341" applyNumberFormat="1" applyFont="1" applyFill="1" applyBorder="1" applyAlignment="1">
      <alignment horizontal="right"/>
    </xf>
    <xf numFmtId="200" fontId="117" fillId="0" borderId="44" xfId="341" applyNumberFormat="1" applyFont="1" applyFill="1" applyBorder="1" applyAlignment="1">
      <alignment horizontal="left"/>
    </xf>
    <xf numFmtId="200" fontId="117" fillId="0" borderId="40" xfId="341" applyNumberFormat="1" applyFont="1" applyFill="1" applyBorder="1" applyAlignment="1">
      <alignment horizontal="center"/>
    </xf>
    <xf numFmtId="9" fontId="117" fillId="0" borderId="40" xfId="18" applyFont="1" applyFill="1" applyBorder="1" applyAlignment="1">
      <alignment horizontal="right"/>
    </xf>
    <xf numFmtId="200" fontId="117" fillId="0" borderId="40" xfId="341" applyNumberFormat="1" applyFont="1" applyFill="1" applyBorder="1" applyAlignment="1">
      <alignment horizontal="left"/>
    </xf>
    <xf numFmtId="9" fontId="117" fillId="0" borderId="40" xfId="18" applyFont="1" applyFill="1" applyBorder="1" applyAlignment="1">
      <alignment horizontal="left"/>
    </xf>
    <xf numFmtId="0" fontId="129" fillId="2" borderId="0" xfId="0" applyFont="1" applyFill="1"/>
    <xf numFmtId="0" fontId="128" fillId="0" borderId="0" xfId="1" applyFont="1" applyFill="1" applyAlignment="1" applyProtection="1">
      <alignment wrapText="1"/>
    </xf>
    <xf numFmtId="201" fontId="0" fillId="0" borderId="0" xfId="341" applyNumberFormat="1" applyFont="1" applyFill="1" applyAlignment="1">
      <alignment vertical="center"/>
    </xf>
    <xf numFmtId="201" fontId="0" fillId="0" borderId="0" xfId="341" applyNumberFormat="1" applyFont="1" applyFill="1" applyAlignment="1">
      <alignment horizontal="center" vertical="center"/>
    </xf>
    <xf numFmtId="201" fontId="0" fillId="0" borderId="0" xfId="341" applyNumberFormat="1" applyFont="1" applyFill="1" applyAlignment="1">
      <alignment horizontal="right" vertical="center"/>
    </xf>
    <xf numFmtId="201" fontId="119" fillId="0" borderId="0" xfId="341" applyNumberFormat="1" applyFont="1" applyFill="1" applyAlignment="1">
      <alignment vertical="center"/>
    </xf>
    <xf numFmtId="201" fontId="119" fillId="0" borderId="0" xfId="341" applyNumberFormat="1" applyFont="1" applyFill="1" applyAlignment="1">
      <alignment horizontal="center" vertical="center"/>
    </xf>
    <xf numFmtId="201" fontId="0" fillId="73" borderId="0" xfId="341" applyNumberFormat="1" applyFont="1" applyFill="1" applyAlignment="1">
      <alignment vertical="center"/>
    </xf>
    <xf numFmtId="201" fontId="0" fillId="73" borderId="0" xfId="341" applyNumberFormat="1" applyFont="1" applyFill="1" applyAlignment="1">
      <alignment horizontal="center" vertical="center"/>
    </xf>
    <xf numFmtId="1" fontId="117" fillId="0" borderId="24" xfId="338" applyNumberFormat="1" applyBorder="1" applyAlignment="1">
      <alignment horizontal="right"/>
    </xf>
    <xf numFmtId="1" fontId="77" fillId="0" borderId="24" xfId="338" applyNumberFormat="1" applyFont="1" applyBorder="1" applyAlignment="1">
      <alignment horizontal="right"/>
    </xf>
    <xf numFmtId="1" fontId="117" fillId="0" borderId="24" xfId="18" applyNumberFormat="1" applyFont="1" applyFill="1" applyBorder="1" applyAlignment="1">
      <alignment horizontal="right"/>
    </xf>
    <xf numFmtId="1" fontId="77" fillId="0" borderId="45" xfId="338" applyNumberFormat="1" applyFont="1" applyBorder="1" applyAlignment="1">
      <alignment horizontal="right"/>
    </xf>
    <xf numFmtId="0" fontId="2" fillId="2" borderId="0" xfId="1" applyFill="1" applyAlignment="1" applyProtection="1">
      <alignment horizontal="left"/>
    </xf>
    <xf numFmtId="0" fontId="124" fillId="2" borderId="0" xfId="1" applyFont="1" applyFill="1" applyAlignment="1" applyProtection="1">
      <alignment wrapText="1"/>
    </xf>
    <xf numFmtId="0" fontId="124" fillId="0" borderId="0" xfId="1" applyFont="1" applyAlignment="1" applyProtection="1"/>
    <xf numFmtId="0" fontId="77" fillId="0" borderId="0" xfId="7" applyFont="1" applyAlignment="1">
      <alignment horizontal="right" vertical="center"/>
    </xf>
    <xf numFmtId="0" fontId="77" fillId="0" borderId="0" xfId="0" applyFont="1" applyAlignment="1">
      <alignment horizontal="right" vertical="center"/>
    </xf>
    <xf numFmtId="201" fontId="0" fillId="73" borderId="0" xfId="341" applyNumberFormat="1" applyFont="1" applyFill="1" applyAlignment="1">
      <alignment horizontal="right" vertical="center"/>
    </xf>
    <xf numFmtId="201" fontId="119" fillId="73" borderId="0" xfId="341" applyNumberFormat="1" applyFont="1" applyFill="1" applyAlignment="1">
      <alignment vertical="center"/>
    </xf>
    <xf numFmtId="0" fontId="77" fillId="73" borderId="0" xfId="7" applyFont="1" applyFill="1" applyAlignment="1">
      <alignment vertical="center"/>
    </xf>
    <xf numFmtId="201" fontId="117" fillId="73" borderId="0" xfId="341" applyNumberFormat="1" applyFont="1" applyFill="1" applyAlignment="1">
      <alignment horizontal="right" vertical="center"/>
    </xf>
    <xf numFmtId="201" fontId="77" fillId="73" borderId="0" xfId="341" applyNumberFormat="1" applyFont="1" applyFill="1" applyAlignment="1">
      <alignment vertical="center"/>
    </xf>
    <xf numFmtId="1" fontId="77" fillId="73" borderId="0" xfId="0" applyNumberFormat="1" applyFont="1" applyFill="1" applyAlignment="1">
      <alignment vertical="center"/>
    </xf>
    <xf numFmtId="200" fontId="0" fillId="73" borderId="24" xfId="339" applyNumberFormat="1" applyFont="1" applyFill="1" applyBorder="1"/>
    <xf numFmtId="200" fontId="77" fillId="73" borderId="24" xfId="339" applyNumberFormat="1" applyFont="1" applyFill="1" applyBorder="1"/>
    <xf numFmtId="1" fontId="117" fillId="73" borderId="45" xfId="338" applyNumberFormat="1" applyFill="1" applyBorder="1"/>
    <xf numFmtId="9" fontId="117" fillId="0" borderId="24" xfId="18" applyFont="1" applyFill="1" applyBorder="1" applyAlignment="1">
      <alignment horizontal="right" wrapText="1"/>
    </xf>
    <xf numFmtId="9" fontId="117" fillId="0" borderId="45" xfId="18" applyFont="1" applyFill="1" applyBorder="1" applyAlignment="1">
      <alignment horizontal="right" wrapText="1"/>
    </xf>
    <xf numFmtId="0" fontId="141" fillId="2" borderId="0" xfId="0" applyFont="1" applyFill="1"/>
    <xf numFmtId="43" fontId="109" fillId="2" borderId="0" xfId="0" applyNumberFormat="1" applyFont="1" applyFill="1" applyAlignment="1">
      <alignment vertical="center"/>
    </xf>
    <xf numFmtId="0" fontId="109" fillId="0" borderId="52" xfId="0" applyFont="1" applyBorder="1" applyAlignment="1">
      <alignment vertical="center"/>
    </xf>
    <xf numFmtId="1" fontId="117" fillId="0" borderId="45" xfId="0" applyNumberFormat="1" applyFont="1" applyBorder="1" applyAlignment="1">
      <alignment horizontal="right"/>
    </xf>
    <xf numFmtId="0" fontId="117" fillId="0" borderId="51" xfId="0" applyFont="1" applyBorder="1" applyAlignment="1">
      <alignment horizontal="left"/>
    </xf>
    <xf numFmtId="0" fontId="110" fillId="2" borderId="0" xfId="0" applyFont="1" applyFill="1" applyAlignment="1">
      <alignment wrapText="1"/>
    </xf>
    <xf numFmtId="1" fontId="117" fillId="0" borderId="51" xfId="0" applyNumberFormat="1" applyFont="1" applyFill="1" applyBorder="1" applyAlignment="1">
      <alignment horizontal="right"/>
    </xf>
    <xf numFmtId="1" fontId="117" fillId="0" borderId="44" xfId="0" applyNumberFormat="1" applyFont="1" applyFill="1" applyBorder="1" applyAlignment="1">
      <alignment horizontal="right"/>
    </xf>
    <xf numFmtId="1" fontId="117" fillId="0" borderId="44" xfId="0" applyNumberFormat="1" applyFont="1" applyFill="1" applyBorder="1" applyAlignment="1">
      <alignment horizontal="center"/>
    </xf>
    <xf numFmtId="0" fontId="117" fillId="0" borderId="40" xfId="0" applyFont="1" applyFill="1" applyBorder="1" applyAlignment="1">
      <alignment horizontal="left"/>
    </xf>
    <xf numFmtId="202" fontId="5" fillId="2" borderId="0" xfId="7" applyNumberFormat="1" applyFont="1" applyFill="1" applyAlignment="1">
      <alignment vertical="center"/>
    </xf>
    <xf numFmtId="0" fontId="109" fillId="0" borderId="0" xfId="0" applyFont="1" applyAlignment="1">
      <alignment horizontal="center" vertical="center" wrapText="1"/>
    </xf>
    <xf numFmtId="0" fontId="109" fillId="2" borderId="0" xfId="0" applyFont="1" applyFill="1" applyAlignment="1">
      <alignment horizontal="center" vertical="center" wrapText="1"/>
    </xf>
  </cellXfs>
  <cellStyles count="342">
    <cellStyle name="%" xfId="318" xr:uid="{00000000-0005-0000-0000-000000000000}"/>
    <cellStyle name="%_2DP_in" xfId="173" xr:uid="{00000000-0005-0000-0000-000001000000}"/>
    <cellStyle name="%_2DP_out" xfId="174" xr:uid="{00000000-0005-0000-0000-000002000000}"/>
    <cellStyle name="_example template 14" xfId="175" xr:uid="{00000000-0005-0000-0000-000003000000}"/>
    <cellStyle name="£'000" xfId="176" xr:uid="{00000000-0005-0000-0000-000004000000}"/>
    <cellStyle name="£k" xfId="177" xr:uid="{00000000-0005-0000-0000-000005000000}"/>
    <cellStyle name="0_DP_in" xfId="178" xr:uid="{00000000-0005-0000-0000-000006000000}"/>
    <cellStyle name="0_DP_out" xfId="179" xr:uid="{00000000-0005-0000-0000-000007000000}"/>
    <cellStyle name="2_DP_in" xfId="180" xr:uid="{00000000-0005-0000-0000-000008000000}"/>
    <cellStyle name="2_DP_out" xfId="181" xr:uid="{00000000-0005-0000-0000-000009000000}"/>
    <cellStyle name="20% - Accent1 2" xfId="43" xr:uid="{00000000-0005-0000-0000-00000A000000}"/>
    <cellStyle name="20% - Accent1 3" xfId="70" xr:uid="{00000000-0005-0000-0000-00000B000000}"/>
    <cellStyle name="20% - Accent2 2" xfId="47" xr:uid="{00000000-0005-0000-0000-00000C000000}"/>
    <cellStyle name="20% - Accent2 3" xfId="71" xr:uid="{00000000-0005-0000-0000-00000D000000}"/>
    <cellStyle name="20% - Accent3 2" xfId="51" xr:uid="{00000000-0005-0000-0000-00000E000000}"/>
    <cellStyle name="20% - Accent3 3" xfId="72" xr:uid="{00000000-0005-0000-0000-00000F000000}"/>
    <cellStyle name="20% - Accent4 2" xfId="55" xr:uid="{00000000-0005-0000-0000-000010000000}"/>
    <cellStyle name="20% - Accent4 3" xfId="73" xr:uid="{00000000-0005-0000-0000-000011000000}"/>
    <cellStyle name="20% - Accent5 2" xfId="59" xr:uid="{00000000-0005-0000-0000-000012000000}"/>
    <cellStyle name="20% - Accent5 3" xfId="74" xr:uid="{00000000-0005-0000-0000-000013000000}"/>
    <cellStyle name="20% - Accent6 2" xfId="63" xr:uid="{00000000-0005-0000-0000-000014000000}"/>
    <cellStyle name="20% - Accent6 3" xfId="75" xr:uid="{00000000-0005-0000-0000-000015000000}"/>
    <cellStyle name="40% - Accent1 2" xfId="44" xr:uid="{00000000-0005-0000-0000-000016000000}"/>
    <cellStyle name="40% - Accent1 3" xfId="76" xr:uid="{00000000-0005-0000-0000-000017000000}"/>
    <cellStyle name="40% - Accent2 2" xfId="48" xr:uid="{00000000-0005-0000-0000-000018000000}"/>
    <cellStyle name="40% - Accent2 3" xfId="77" xr:uid="{00000000-0005-0000-0000-000019000000}"/>
    <cellStyle name="40% - Accent3 2" xfId="52" xr:uid="{00000000-0005-0000-0000-00001A000000}"/>
    <cellStyle name="40% - Accent3 3" xfId="78" xr:uid="{00000000-0005-0000-0000-00001B000000}"/>
    <cellStyle name="40% - Accent4 2" xfId="56" xr:uid="{00000000-0005-0000-0000-00001C000000}"/>
    <cellStyle name="40% - Accent4 3" xfId="79" xr:uid="{00000000-0005-0000-0000-00001D000000}"/>
    <cellStyle name="40% - Accent5 2" xfId="60" xr:uid="{00000000-0005-0000-0000-00001E000000}"/>
    <cellStyle name="40% - Accent5 3" xfId="80" xr:uid="{00000000-0005-0000-0000-00001F000000}"/>
    <cellStyle name="40% - Accent6 2" xfId="64" xr:uid="{00000000-0005-0000-0000-000020000000}"/>
    <cellStyle name="40% - Accent6 3" xfId="81" xr:uid="{00000000-0005-0000-0000-000021000000}"/>
    <cellStyle name="60% - Accent1 2" xfId="45" xr:uid="{00000000-0005-0000-0000-000022000000}"/>
    <cellStyle name="60% - Accent1 3" xfId="82" xr:uid="{00000000-0005-0000-0000-000023000000}"/>
    <cellStyle name="60% - Accent2 2" xfId="49" xr:uid="{00000000-0005-0000-0000-000024000000}"/>
    <cellStyle name="60% - Accent2 3" xfId="83" xr:uid="{00000000-0005-0000-0000-000025000000}"/>
    <cellStyle name="60% - Accent3 2" xfId="53" xr:uid="{00000000-0005-0000-0000-000026000000}"/>
    <cellStyle name="60% - Accent3 3" xfId="84" xr:uid="{00000000-0005-0000-0000-000027000000}"/>
    <cellStyle name="60% - Accent4 2" xfId="57" xr:uid="{00000000-0005-0000-0000-000028000000}"/>
    <cellStyle name="60% - Accent4 3" xfId="85" xr:uid="{00000000-0005-0000-0000-000029000000}"/>
    <cellStyle name="60% - Accent5 2" xfId="61" xr:uid="{00000000-0005-0000-0000-00002A000000}"/>
    <cellStyle name="60% - Accent5 3" xfId="86" xr:uid="{00000000-0005-0000-0000-00002B000000}"/>
    <cellStyle name="60% - Accent6 2" xfId="65" xr:uid="{00000000-0005-0000-0000-00002C000000}"/>
    <cellStyle name="60% - Accent6 3" xfId="87" xr:uid="{00000000-0005-0000-0000-00002D000000}"/>
    <cellStyle name="AA Nombre" xfId="182" xr:uid="{00000000-0005-0000-0000-00002E000000}"/>
    <cellStyle name="Accent1 2" xfId="42" xr:uid="{00000000-0005-0000-0000-00002F000000}"/>
    <cellStyle name="Accent1 3" xfId="88" xr:uid="{00000000-0005-0000-0000-000030000000}"/>
    <cellStyle name="Accent2 2" xfId="46" xr:uid="{00000000-0005-0000-0000-000031000000}"/>
    <cellStyle name="Accent2 3" xfId="89" xr:uid="{00000000-0005-0000-0000-000032000000}"/>
    <cellStyle name="Accent3 2" xfId="50" xr:uid="{00000000-0005-0000-0000-000033000000}"/>
    <cellStyle name="Accent3 3" xfId="90" xr:uid="{00000000-0005-0000-0000-000034000000}"/>
    <cellStyle name="Accent4 2" xfId="54" xr:uid="{00000000-0005-0000-0000-000035000000}"/>
    <cellStyle name="Accent4 3" xfId="91" xr:uid="{00000000-0005-0000-0000-000036000000}"/>
    <cellStyle name="Accent5 2" xfId="58" xr:uid="{00000000-0005-0000-0000-000037000000}"/>
    <cellStyle name="Accent5 3" xfId="92" xr:uid="{00000000-0005-0000-0000-000038000000}"/>
    <cellStyle name="Accent6 2" xfId="62" xr:uid="{00000000-0005-0000-0000-000039000000}"/>
    <cellStyle name="Accent6 3" xfId="93" xr:uid="{00000000-0005-0000-0000-00003A000000}"/>
    <cellStyle name="Anos" xfId="183" xr:uid="{00000000-0005-0000-0000-00003B000000}"/>
    <cellStyle name="assumption 1" xfId="184" xr:uid="{00000000-0005-0000-0000-00003C000000}"/>
    <cellStyle name="assumption 2" xfId="185" xr:uid="{00000000-0005-0000-0000-00003D000000}"/>
    <cellStyle name="assumption 4" xfId="186" xr:uid="{00000000-0005-0000-0000-00003E000000}"/>
    <cellStyle name="Assumption Date" xfId="187" xr:uid="{00000000-0005-0000-0000-00003F000000}"/>
    <cellStyle name="Bad 2" xfId="32" xr:uid="{00000000-0005-0000-0000-000040000000}"/>
    <cellStyle name="Bad 3" xfId="94" xr:uid="{00000000-0005-0000-0000-000041000000}"/>
    <cellStyle name="BlankRow" xfId="188" xr:uid="{00000000-0005-0000-0000-000042000000}"/>
    <cellStyle name="bullet" xfId="189" xr:uid="{00000000-0005-0000-0000-000043000000}"/>
    <cellStyle name="Calander_heading" xfId="190" xr:uid="{00000000-0005-0000-0000-000044000000}"/>
    <cellStyle name="Calc" xfId="191" xr:uid="{00000000-0005-0000-0000-000045000000}"/>
    <cellStyle name="Calc - Blue" xfId="192" xr:uid="{00000000-0005-0000-0000-000046000000}"/>
    <cellStyle name="Calc - Feed" xfId="193" xr:uid="{00000000-0005-0000-0000-000047000000}"/>
    <cellStyle name="Calc - Green" xfId="194" xr:uid="{00000000-0005-0000-0000-000048000000}"/>
    <cellStyle name="Calc - Grey" xfId="195" xr:uid="{00000000-0005-0000-0000-000049000000}"/>
    <cellStyle name="Calc - Index" xfId="196" xr:uid="{00000000-0005-0000-0000-00004A000000}"/>
    <cellStyle name="Calc - White" xfId="197" xr:uid="{00000000-0005-0000-0000-00004B000000}"/>
    <cellStyle name="Calc - yellow" xfId="198" xr:uid="{00000000-0005-0000-0000-00004C000000}"/>
    <cellStyle name="Calc_BizMo" xfId="199" xr:uid="{00000000-0005-0000-0000-00004D000000}"/>
    <cellStyle name="Calculation 2" xfId="36" xr:uid="{00000000-0005-0000-0000-00004E000000}"/>
    <cellStyle name="Calculation 3" xfId="95" xr:uid="{00000000-0005-0000-0000-00004F000000}"/>
    <cellStyle name="Calculation 3 2" xfId="138" xr:uid="{00000000-0005-0000-0000-000050000000}"/>
    <cellStyle name="Calculation 3 3" xfId="148" xr:uid="{00000000-0005-0000-0000-000051000000}"/>
    <cellStyle name="Calculation 4" xfId="117" xr:uid="{00000000-0005-0000-0000-000052000000}"/>
    <cellStyle name="Calculation 4 2" xfId="132" xr:uid="{00000000-0005-0000-0000-000053000000}"/>
    <cellStyle name="Calculation 4 2 2" xfId="143" xr:uid="{00000000-0005-0000-0000-000054000000}"/>
    <cellStyle name="Calculation 4 2 3" xfId="158" xr:uid="{00000000-0005-0000-0000-000055000000}"/>
    <cellStyle name="Calculation 4 3" xfId="153" xr:uid="{00000000-0005-0000-0000-000056000000}"/>
    <cellStyle name="Check Box" xfId="200" xr:uid="{00000000-0005-0000-0000-000057000000}"/>
    <cellStyle name="Check Box Input" xfId="201" xr:uid="{00000000-0005-0000-0000-000058000000}"/>
    <cellStyle name="Check Box_First Capital Connect Financial Model" xfId="202" xr:uid="{00000000-0005-0000-0000-000059000000}"/>
    <cellStyle name="Check Cell 2" xfId="38" xr:uid="{00000000-0005-0000-0000-00005A000000}"/>
    <cellStyle name="Check Cell 3" xfId="96" xr:uid="{00000000-0005-0000-0000-00005B000000}"/>
    <cellStyle name="Column Title" xfId="203" xr:uid="{00000000-0005-0000-0000-00005C000000}"/>
    <cellStyle name="Comma" xfId="341" builtinId="3"/>
    <cellStyle name="comma (2)" xfId="204" xr:uid="{00000000-0005-0000-0000-00005E000000}"/>
    <cellStyle name="Comma [0] 2" xfId="24" xr:uid="{00000000-0005-0000-0000-00005F000000}"/>
    <cellStyle name="Comma 10" xfId="323" xr:uid="{00000000-0005-0000-0000-000060000000}"/>
    <cellStyle name="Comma 11" xfId="325" xr:uid="{00000000-0005-0000-0000-000061000000}"/>
    <cellStyle name="Comma 12" xfId="339" xr:uid="{73E43086-9322-41B2-9C85-3E076D72FD57}"/>
    <cellStyle name="Comma 13" xfId="337" xr:uid="{40548678-5D01-4E65-8ED9-7E5CDE14A62D}"/>
    <cellStyle name="Comma 2" xfId="2" xr:uid="{00000000-0005-0000-0000-000062000000}"/>
    <cellStyle name="Comma 2 2" xfId="3" xr:uid="{00000000-0005-0000-0000-000063000000}"/>
    <cellStyle name="Comma 2 3" xfId="20" xr:uid="{00000000-0005-0000-0000-000064000000}"/>
    <cellStyle name="Comma 2 4" xfId="163" xr:uid="{00000000-0005-0000-0000-000065000000}"/>
    <cellStyle name="Comma 2 5" xfId="319" xr:uid="{00000000-0005-0000-0000-000066000000}"/>
    <cellStyle name="Comma 2 6" xfId="164" xr:uid="{00000000-0005-0000-0000-000067000000}"/>
    <cellStyle name="Comma 3" xfId="67" xr:uid="{00000000-0005-0000-0000-000068000000}"/>
    <cellStyle name="Comma 3 2" xfId="320" xr:uid="{00000000-0005-0000-0000-000069000000}"/>
    <cellStyle name="Comma 4" xfId="97" xr:uid="{00000000-0005-0000-0000-00006A000000}"/>
    <cellStyle name="Comma 4 2" xfId="129" xr:uid="{00000000-0005-0000-0000-00006B000000}"/>
    <cellStyle name="Comma 4 3" xfId="330" xr:uid="{00000000-0005-0000-0000-00006C000000}"/>
    <cellStyle name="Comma 5" xfId="118" xr:uid="{00000000-0005-0000-0000-00006D000000}"/>
    <cellStyle name="Comma 5 2" xfId="133" xr:uid="{00000000-0005-0000-0000-00006E000000}"/>
    <cellStyle name="Comma 6" xfId="116" xr:uid="{00000000-0005-0000-0000-00006F000000}"/>
    <cellStyle name="Comma 6 2" xfId="131" xr:uid="{00000000-0005-0000-0000-000070000000}"/>
    <cellStyle name="Comma 7" xfId="124" xr:uid="{00000000-0005-0000-0000-000071000000}"/>
    <cellStyle name="Comma 8" xfId="122" xr:uid="{00000000-0005-0000-0000-000072000000}"/>
    <cellStyle name="Comma 9" xfId="127" xr:uid="{00000000-0005-0000-0000-000073000000}"/>
    <cellStyle name="Comma(2)" xfId="205" xr:uid="{00000000-0005-0000-0000-000074000000}"/>
    <cellStyle name="Control Check" xfId="206" xr:uid="{00000000-0005-0000-0000-000075000000}"/>
    <cellStyle name="control table footer 1" xfId="207" xr:uid="{00000000-0005-0000-0000-000076000000}"/>
    <cellStyle name="control table header 1" xfId="208" xr:uid="{00000000-0005-0000-0000-000077000000}"/>
    <cellStyle name="Curren - Style1" xfId="209" xr:uid="{00000000-0005-0000-0000-000078000000}"/>
    <cellStyle name="Curren - Style4" xfId="210" xr:uid="{00000000-0005-0000-0000-000079000000}"/>
    <cellStyle name="Currency [0] 2" xfId="26" xr:uid="{00000000-0005-0000-0000-00007A000000}"/>
    <cellStyle name="Currency 2" xfId="25" xr:uid="{00000000-0005-0000-0000-00007B000000}"/>
    <cellStyle name="Currency 3" xfId="68" xr:uid="{00000000-0005-0000-0000-00007C000000}"/>
    <cellStyle name="Data" xfId="211" xr:uid="{00000000-0005-0000-0000-00007D000000}"/>
    <cellStyle name="Date" xfId="212" xr:uid="{00000000-0005-0000-0000-00007E000000}"/>
    <cellStyle name="Deviant" xfId="213" xr:uid="{00000000-0005-0000-0000-00007F000000}"/>
    <cellStyle name="Dezimal [0]_Compiling Utility Macros" xfId="214" xr:uid="{00000000-0005-0000-0000-000080000000}"/>
    <cellStyle name="Dezimal_Compiling Utility Macros" xfId="215" xr:uid="{00000000-0005-0000-0000-000081000000}"/>
    <cellStyle name="Effect Symbol" xfId="216" xr:uid="{00000000-0005-0000-0000-000082000000}"/>
    <cellStyle name="Euro" xfId="217" xr:uid="{00000000-0005-0000-0000-000083000000}"/>
    <cellStyle name="Exception" xfId="218" xr:uid="{00000000-0005-0000-0000-000084000000}"/>
    <cellStyle name="Explanatory Text 2" xfId="40" xr:uid="{00000000-0005-0000-0000-000085000000}"/>
    <cellStyle name="Explanatory Text 3" xfId="98" xr:uid="{00000000-0005-0000-0000-000086000000}"/>
    <cellStyle name="External Links" xfId="219" xr:uid="{00000000-0005-0000-0000-000087000000}"/>
    <cellStyle name="Extra Large" xfId="220" xr:uid="{00000000-0005-0000-0000-000088000000}"/>
    <cellStyle name="EY House" xfId="221" xr:uid="{00000000-0005-0000-0000-000089000000}"/>
    <cellStyle name="EY%colcalc" xfId="222" xr:uid="{00000000-0005-0000-0000-00008A000000}"/>
    <cellStyle name="EY%input" xfId="223" xr:uid="{00000000-0005-0000-0000-00008B000000}"/>
    <cellStyle name="EY%rowcalc" xfId="224" xr:uid="{00000000-0005-0000-0000-00008C000000}"/>
    <cellStyle name="EY0dp" xfId="225" xr:uid="{00000000-0005-0000-0000-00008D000000}"/>
    <cellStyle name="EY1dp" xfId="226" xr:uid="{00000000-0005-0000-0000-00008E000000}"/>
    <cellStyle name="EY2dp" xfId="227" xr:uid="{00000000-0005-0000-0000-00008F000000}"/>
    <cellStyle name="EY3dp" xfId="228" xr:uid="{00000000-0005-0000-0000-000090000000}"/>
    <cellStyle name="EYColumnHeading" xfId="229" xr:uid="{00000000-0005-0000-0000-000091000000}"/>
    <cellStyle name="EYHeading1" xfId="230" xr:uid="{00000000-0005-0000-0000-000092000000}"/>
    <cellStyle name="EYheading2" xfId="231" xr:uid="{00000000-0005-0000-0000-000093000000}"/>
    <cellStyle name="EYheading3" xfId="232" xr:uid="{00000000-0005-0000-0000-000094000000}"/>
    <cellStyle name="EYnumber" xfId="233" xr:uid="{00000000-0005-0000-0000-000095000000}"/>
    <cellStyle name="EYSheetHeader1" xfId="234" xr:uid="{00000000-0005-0000-0000-000096000000}"/>
    <cellStyle name="EYtext" xfId="235" xr:uid="{00000000-0005-0000-0000-000097000000}"/>
    <cellStyle name="Factor" xfId="236" xr:uid="{00000000-0005-0000-0000-000098000000}"/>
    <cellStyle name="Feed Label" xfId="237" xr:uid="{00000000-0005-0000-0000-000099000000}"/>
    <cellStyle name="Feeder Field" xfId="238" xr:uid="{00000000-0005-0000-0000-00009A000000}"/>
    <cellStyle name="Fine" xfId="239" xr:uid="{00000000-0005-0000-0000-00009B000000}"/>
    <cellStyle name="Fixed3 - Style3" xfId="240" xr:uid="{00000000-0005-0000-0000-00009C000000}"/>
    <cellStyle name="From" xfId="241" xr:uid="{00000000-0005-0000-0000-00009D000000}"/>
    <cellStyle name="FS_reporting" xfId="242" xr:uid="{00000000-0005-0000-0000-00009E000000}"/>
    <cellStyle name="Gap" xfId="243" xr:uid="{00000000-0005-0000-0000-00009F000000}"/>
    <cellStyle name="Good 2" xfId="31" xr:uid="{00000000-0005-0000-0000-0000A0000000}"/>
    <cellStyle name="Good 3" xfId="99" xr:uid="{00000000-0005-0000-0000-0000A1000000}"/>
    <cellStyle name="Greyed out" xfId="244" xr:uid="{00000000-0005-0000-0000-0000A2000000}"/>
    <cellStyle name="Header" xfId="245" xr:uid="{00000000-0005-0000-0000-0000A3000000}"/>
    <cellStyle name="Heading" xfId="4" xr:uid="{00000000-0005-0000-0000-0000A4000000}"/>
    <cellStyle name="Heading 1 2" xfId="27" xr:uid="{00000000-0005-0000-0000-0000A5000000}"/>
    <cellStyle name="Heading 1 3" xfId="100" xr:uid="{00000000-0005-0000-0000-0000A6000000}"/>
    <cellStyle name="Heading 2 2" xfId="28" xr:uid="{00000000-0005-0000-0000-0000A7000000}"/>
    <cellStyle name="Heading 2 3" xfId="101" xr:uid="{00000000-0005-0000-0000-0000A8000000}"/>
    <cellStyle name="Heading 3 2" xfId="29" xr:uid="{00000000-0005-0000-0000-0000A9000000}"/>
    <cellStyle name="Heading 3 3" xfId="102" xr:uid="{00000000-0005-0000-0000-0000AA000000}"/>
    <cellStyle name="Heading 4 2" xfId="30" xr:uid="{00000000-0005-0000-0000-0000AB000000}"/>
    <cellStyle name="Heading 4 3" xfId="103" xr:uid="{00000000-0005-0000-0000-0000AC000000}"/>
    <cellStyle name="Heading 5" xfId="315" xr:uid="{00000000-0005-0000-0000-0000AD000000}"/>
    <cellStyle name="Heading 6" xfId="246" xr:uid="{00000000-0005-0000-0000-0000AE000000}"/>
    <cellStyle name="HELV8BLUE" xfId="247" xr:uid="{00000000-0005-0000-0000-0000AF000000}"/>
    <cellStyle name="hvb mjhgvhgv" xfId="248" xr:uid="{00000000-0005-0000-0000-0000B0000000}"/>
    <cellStyle name="Hyperlink" xfId="1" builtinId="8"/>
    <cellStyle name="Hyperlink 2" xfId="5" xr:uid="{00000000-0005-0000-0000-0000B2000000}"/>
    <cellStyle name="Hyperlink 2 2" xfId="19" xr:uid="{00000000-0005-0000-0000-0000B3000000}"/>
    <cellStyle name="Hyperlink 3" xfId="6" xr:uid="{00000000-0005-0000-0000-0000B4000000}"/>
    <cellStyle name="Hyperlink 4" xfId="327" xr:uid="{00000000-0005-0000-0000-0000B5000000}"/>
    <cellStyle name="Index FITT" xfId="249" xr:uid="{00000000-0005-0000-0000-0000B6000000}"/>
    <cellStyle name="Input (StyleA)" xfId="250" xr:uid="{00000000-0005-0000-0000-0000B7000000}"/>
    <cellStyle name="Input 1" xfId="251" xr:uid="{00000000-0005-0000-0000-0000B8000000}"/>
    <cellStyle name="Input 2" xfId="34" xr:uid="{00000000-0005-0000-0000-0000B9000000}"/>
    <cellStyle name="Input 2 2" xfId="252" xr:uid="{00000000-0005-0000-0000-0000BA000000}"/>
    <cellStyle name="Input 3" xfId="104" xr:uid="{00000000-0005-0000-0000-0000BB000000}"/>
    <cellStyle name="Input 3 2" xfId="139" xr:uid="{00000000-0005-0000-0000-0000BC000000}"/>
    <cellStyle name="Input 3 3" xfId="149" xr:uid="{00000000-0005-0000-0000-0000BD000000}"/>
    <cellStyle name="Input 4" xfId="119" xr:uid="{00000000-0005-0000-0000-0000BE000000}"/>
    <cellStyle name="Input 4 2" xfId="134" xr:uid="{00000000-0005-0000-0000-0000BF000000}"/>
    <cellStyle name="Input 4 2 2" xfId="144" xr:uid="{00000000-0005-0000-0000-0000C0000000}"/>
    <cellStyle name="Input 4 2 3" xfId="159" xr:uid="{00000000-0005-0000-0000-0000C1000000}"/>
    <cellStyle name="Input 4 3" xfId="154" xr:uid="{00000000-0005-0000-0000-0000C2000000}"/>
    <cellStyle name="Input Cell" xfId="253" xr:uid="{00000000-0005-0000-0000-0000C3000000}"/>
    <cellStyle name="Instructions" xfId="254" xr:uid="{00000000-0005-0000-0000-0000C4000000}"/>
    <cellStyle name="KPMG Heading 1" xfId="255" xr:uid="{00000000-0005-0000-0000-0000C5000000}"/>
    <cellStyle name="KPMG Heading 2" xfId="256" xr:uid="{00000000-0005-0000-0000-0000C6000000}"/>
    <cellStyle name="KPMG Heading 3" xfId="257" xr:uid="{00000000-0005-0000-0000-0000C7000000}"/>
    <cellStyle name="KPMG Heading 4" xfId="258" xr:uid="{00000000-0005-0000-0000-0000C8000000}"/>
    <cellStyle name="KPMG Normal" xfId="259" xr:uid="{00000000-0005-0000-0000-0000C9000000}"/>
    <cellStyle name="KPMG Normal Text" xfId="260" xr:uid="{00000000-0005-0000-0000-0000CA000000}"/>
    <cellStyle name="Lable_1" xfId="261" xr:uid="{00000000-0005-0000-0000-0000CB000000}"/>
    <cellStyle name="Large" xfId="262" xr:uid="{00000000-0005-0000-0000-0000CC000000}"/>
    <cellStyle name="Linked Cell 2" xfId="37" xr:uid="{00000000-0005-0000-0000-0000CD000000}"/>
    <cellStyle name="Linked Cell 3" xfId="105" xr:uid="{00000000-0005-0000-0000-0000CE000000}"/>
    <cellStyle name="Lookup References" xfId="263" xr:uid="{00000000-0005-0000-0000-0000CF000000}"/>
    <cellStyle name="Medium" xfId="264" xr:uid="{00000000-0005-0000-0000-0000D0000000}"/>
    <cellStyle name="Milliers [0]_FNMA tasse2" xfId="265" xr:uid="{00000000-0005-0000-0000-0000D1000000}"/>
    <cellStyle name="Milliers_FNMA tasse2" xfId="266" xr:uid="{00000000-0005-0000-0000-0000D2000000}"/>
    <cellStyle name="Modelling References" xfId="267" xr:uid="{00000000-0005-0000-0000-0000D3000000}"/>
    <cellStyle name="Monétaire [0]_FNMA tasse2" xfId="268" xr:uid="{00000000-0005-0000-0000-0000D4000000}"/>
    <cellStyle name="Monétaire_FNMA tasse2" xfId="269" xr:uid="{00000000-0005-0000-0000-0000D5000000}"/>
    <cellStyle name="Named Range" xfId="270" xr:uid="{00000000-0005-0000-0000-0000D6000000}"/>
    <cellStyle name="Named Range Tag" xfId="271" xr:uid="{00000000-0005-0000-0000-0000D7000000}"/>
    <cellStyle name="Named Range_Book2" xfId="272" xr:uid="{00000000-0005-0000-0000-0000D8000000}"/>
    <cellStyle name="Neutral 2" xfId="33" xr:uid="{00000000-0005-0000-0000-0000D9000000}"/>
    <cellStyle name="Neutral 3" xfId="106" xr:uid="{00000000-0005-0000-0000-0000DA000000}"/>
    <cellStyle name="Normal" xfId="0" builtinId="0"/>
    <cellStyle name="Normal 10" xfId="338" xr:uid="{7058C459-D5D9-4873-8DD0-7E3EC812F5E9}"/>
    <cellStyle name="Normal 10 3" xfId="165" xr:uid="{00000000-0005-0000-0000-0000DC000000}"/>
    <cellStyle name="Normal 14" xfId="166" xr:uid="{00000000-0005-0000-0000-0000DD000000}"/>
    <cellStyle name="Normal 16 2" xfId="331" xr:uid="{00000000-0005-0000-0000-0000DE000000}"/>
    <cellStyle name="Normal 2" xfId="7" xr:uid="{00000000-0005-0000-0000-0000DF000000}"/>
    <cellStyle name="Normal 2 2" xfId="8" xr:uid="{00000000-0005-0000-0000-0000E0000000}"/>
    <cellStyle name="Normal 2 3" xfId="22" xr:uid="{00000000-0005-0000-0000-0000E1000000}"/>
    <cellStyle name="Normal 2 4" xfId="114" xr:uid="{00000000-0005-0000-0000-0000E2000000}"/>
    <cellStyle name="Normal 2 5" xfId="126" xr:uid="{00000000-0005-0000-0000-0000E3000000}"/>
    <cellStyle name="Normal 3" xfId="9" xr:uid="{00000000-0005-0000-0000-0000E4000000}"/>
    <cellStyle name="Normal 3 2" xfId="107" xr:uid="{00000000-0005-0000-0000-0000E5000000}"/>
    <cellStyle name="Normal 3 2 2" xfId="168" xr:uid="{00000000-0005-0000-0000-0000E6000000}"/>
    <cellStyle name="Normal 3 3" xfId="169" xr:uid="{00000000-0005-0000-0000-0000E7000000}"/>
    <cellStyle name="Normal 3 4" xfId="170" xr:uid="{00000000-0005-0000-0000-0000E8000000}"/>
    <cellStyle name="Normal 3 5" xfId="171" xr:uid="{00000000-0005-0000-0000-0000E9000000}"/>
    <cellStyle name="Normal 3 6" xfId="167" xr:uid="{00000000-0005-0000-0000-0000EA000000}"/>
    <cellStyle name="Normal 3 7" xfId="172" xr:uid="{00000000-0005-0000-0000-0000EB000000}"/>
    <cellStyle name="Normal 4" xfId="10" xr:uid="{00000000-0005-0000-0000-0000EC000000}"/>
    <cellStyle name="Normal 4 2" xfId="321" xr:uid="{00000000-0005-0000-0000-0000ED000000}"/>
    <cellStyle name="Normal 5" xfId="11" xr:uid="{00000000-0005-0000-0000-0000EE000000}"/>
    <cellStyle name="Normal 5 2" xfId="322" xr:uid="{00000000-0005-0000-0000-0000EF000000}"/>
    <cellStyle name="Normal 6" xfId="12" xr:uid="{00000000-0005-0000-0000-0000F0000000}"/>
    <cellStyle name="Normal 7" xfId="69" xr:uid="{00000000-0005-0000-0000-0000F1000000}"/>
    <cellStyle name="Normal 7 2" xfId="128" xr:uid="{00000000-0005-0000-0000-0000F2000000}"/>
    <cellStyle name="Normal 8" xfId="328" xr:uid="{00000000-0005-0000-0000-0000F3000000}"/>
    <cellStyle name="Normal 8 2" xfId="332" xr:uid="{00000000-0005-0000-0000-0000F4000000}"/>
    <cellStyle name="Normal 9" xfId="334" xr:uid="{00000000-0005-0000-0000-0000F5000000}"/>
    <cellStyle name="Normale_Foglio1" xfId="273" xr:uid="{00000000-0005-0000-0000-0000F8000000}"/>
    <cellStyle name="Note 2" xfId="108" xr:uid="{00000000-0005-0000-0000-0000F9000000}"/>
    <cellStyle name="Note 2 2" xfId="140" xr:uid="{00000000-0005-0000-0000-0000FA000000}"/>
    <cellStyle name="Note 2 3" xfId="150" xr:uid="{00000000-0005-0000-0000-0000FB000000}"/>
    <cellStyle name="Note 3" xfId="120" xr:uid="{00000000-0005-0000-0000-0000FC000000}"/>
    <cellStyle name="Note 3 2" xfId="135" xr:uid="{00000000-0005-0000-0000-0000FD000000}"/>
    <cellStyle name="Note 3 2 2" xfId="145" xr:uid="{00000000-0005-0000-0000-0000FE000000}"/>
    <cellStyle name="Note 3 2 3" xfId="160" xr:uid="{00000000-0005-0000-0000-0000FF000000}"/>
    <cellStyle name="Note 3 3" xfId="155" xr:uid="{00000000-0005-0000-0000-000000010000}"/>
    <cellStyle name="Notes" xfId="274" xr:uid="{00000000-0005-0000-0000-000001010000}"/>
    <cellStyle name="Number" xfId="275" xr:uid="{00000000-0005-0000-0000-000002010000}"/>
    <cellStyle name="Number 1" xfId="276" xr:uid="{00000000-0005-0000-0000-000003010000}"/>
    <cellStyle name="Number Date" xfId="277" xr:uid="{00000000-0005-0000-0000-000004010000}"/>
    <cellStyle name="Number Date (short)" xfId="278" xr:uid="{00000000-0005-0000-0000-000005010000}"/>
    <cellStyle name="Number Date_Green" xfId="279" xr:uid="{00000000-0005-0000-0000-000006010000}"/>
    <cellStyle name="Number II" xfId="280" xr:uid="{00000000-0005-0000-0000-000007010000}"/>
    <cellStyle name="Number Integer" xfId="281" xr:uid="{00000000-0005-0000-0000-000008010000}"/>
    <cellStyle name="OBI_ColHeader" xfId="66" xr:uid="{00000000-0005-0000-0000-000009010000}"/>
    <cellStyle name="Output 2" xfId="35" xr:uid="{00000000-0005-0000-0000-00000A010000}"/>
    <cellStyle name="Output 3" xfId="109" xr:uid="{00000000-0005-0000-0000-00000B010000}"/>
    <cellStyle name="Output 3 2" xfId="141" xr:uid="{00000000-0005-0000-0000-00000C010000}"/>
    <cellStyle name="Output 3 3" xfId="151" xr:uid="{00000000-0005-0000-0000-00000D010000}"/>
    <cellStyle name="Output 4" xfId="121" xr:uid="{00000000-0005-0000-0000-00000E010000}"/>
    <cellStyle name="Output 4 2" xfId="136" xr:uid="{00000000-0005-0000-0000-00000F010000}"/>
    <cellStyle name="Output 4 2 2" xfId="146" xr:uid="{00000000-0005-0000-0000-000010010000}"/>
    <cellStyle name="Output 4 2 3" xfId="161" xr:uid="{00000000-0005-0000-0000-000011010000}"/>
    <cellStyle name="Output 4 3" xfId="156" xr:uid="{00000000-0005-0000-0000-000012010000}"/>
    <cellStyle name="Percen - Style2" xfId="282" xr:uid="{00000000-0005-0000-0000-000013010000}"/>
    <cellStyle name="Percent" xfId="18" builtinId="5"/>
    <cellStyle name="Percent [0%]" xfId="283" xr:uid="{00000000-0005-0000-0000-000015010000}"/>
    <cellStyle name="Percent [0.00%]" xfId="284" xr:uid="{00000000-0005-0000-0000-000016010000}"/>
    <cellStyle name="Percent 2" xfId="13" xr:uid="{00000000-0005-0000-0000-000017010000}"/>
    <cellStyle name="Percent 2 2" xfId="21" xr:uid="{00000000-0005-0000-0000-000018010000}"/>
    <cellStyle name="Percent 2 2 2" xfId="316" xr:uid="{00000000-0005-0000-0000-000019010000}"/>
    <cellStyle name="Percent 2 3" xfId="23" xr:uid="{00000000-0005-0000-0000-00001A010000}"/>
    <cellStyle name="Percent 2 4" xfId="115" xr:uid="{00000000-0005-0000-0000-00001B010000}"/>
    <cellStyle name="Percent 2 5" xfId="125" xr:uid="{00000000-0005-0000-0000-00001C010000}"/>
    <cellStyle name="Percent 2 8" xfId="336" xr:uid="{AC527DA0-57F5-4719-B1E7-D4FBD0BE6980}"/>
    <cellStyle name="Percent 3" xfId="14" xr:uid="{00000000-0005-0000-0000-00001D010000}"/>
    <cellStyle name="Percent 3 2" xfId="313" xr:uid="{00000000-0005-0000-0000-00001E010000}"/>
    <cellStyle name="Percent 37" xfId="329" xr:uid="{00000000-0005-0000-0000-00001F010000}"/>
    <cellStyle name="Percent 4" xfId="110" xr:uid="{00000000-0005-0000-0000-000020010000}"/>
    <cellStyle name="Percent 4 2" xfId="130" xr:uid="{00000000-0005-0000-0000-000021010000}"/>
    <cellStyle name="Percent 4 3" xfId="314" xr:uid="{00000000-0005-0000-0000-000022010000}"/>
    <cellStyle name="Percent 5" xfId="317" xr:uid="{00000000-0005-0000-0000-000023010000}"/>
    <cellStyle name="Percent 6" xfId="324" xr:uid="{00000000-0005-0000-0000-000024010000}"/>
    <cellStyle name="Percent 7" xfId="326" xr:uid="{00000000-0005-0000-0000-000025010000}"/>
    <cellStyle name="Percent 8" xfId="335" xr:uid="{00000000-0005-0000-0000-000026010000}"/>
    <cellStyle name="Percent 9" xfId="340" xr:uid="{7C919C0D-FA1A-4CD6-BBF6-0458114EC356}"/>
    <cellStyle name="Pourcentage_tocmodel_final" xfId="285" xr:uid="{00000000-0005-0000-0000-000027010000}"/>
    <cellStyle name="Profile" xfId="286" xr:uid="{00000000-0005-0000-0000-000028010000}"/>
    <cellStyle name="Publication_style" xfId="15" xr:uid="{00000000-0005-0000-0000-000029010000}"/>
    <cellStyle name="ROA Ref" xfId="287" xr:uid="{00000000-0005-0000-0000-00002A010000}"/>
    <cellStyle name="Row_Headings" xfId="16" xr:uid="{00000000-0005-0000-0000-00002B010000}"/>
    <cellStyle name="Section_End" xfId="288" xr:uid="{00000000-0005-0000-0000-00002C010000}"/>
    <cellStyle name="Sheet Done" xfId="289" xr:uid="{00000000-0005-0000-0000-00002D010000}"/>
    <cellStyle name="Small" xfId="290" xr:uid="{00000000-0005-0000-0000-00002E010000}"/>
    <cellStyle name="Source Field - Green" xfId="291" xr:uid="{00000000-0005-0000-0000-00002F010000}"/>
    <cellStyle name="Standard_Anpassen der Amortisation" xfId="292" xr:uid="{00000000-0005-0000-0000-000030010000}"/>
    <cellStyle name="Style 1" xfId="293" xr:uid="{00000000-0005-0000-0000-000031010000}"/>
    <cellStyle name="Sub totals" xfId="294" xr:uid="{00000000-0005-0000-0000-000032010000}"/>
    <cellStyle name="Sub totals 2" xfId="333" xr:uid="{00000000-0005-0000-0000-000033010000}"/>
    <cellStyle name="Subtotal (line)" xfId="295" xr:uid="{00000000-0005-0000-0000-000034010000}"/>
    <cellStyle name="TableBorder" xfId="296" xr:uid="{00000000-0005-0000-0000-000035010000}"/>
    <cellStyle name="Thousands" xfId="297" xr:uid="{00000000-0005-0000-0000-000036010000}"/>
    <cellStyle name="Title 1" xfId="298" xr:uid="{00000000-0005-0000-0000-000037010000}"/>
    <cellStyle name="Title 2" xfId="111" xr:uid="{00000000-0005-0000-0000-000038010000}"/>
    <cellStyle name="Title 2 2" xfId="299" xr:uid="{00000000-0005-0000-0000-000039010000}"/>
    <cellStyle name="Title 3" xfId="300" xr:uid="{00000000-0005-0000-0000-00003A010000}"/>
    <cellStyle name="Title 4" xfId="301" xr:uid="{00000000-0005-0000-0000-00003B010000}"/>
    <cellStyle name="Titulo" xfId="302" xr:uid="{00000000-0005-0000-0000-00003C010000}"/>
    <cellStyle name="To" xfId="303" xr:uid="{00000000-0005-0000-0000-00003D010000}"/>
    <cellStyle name="Total (line)" xfId="304" xr:uid="{00000000-0005-0000-0000-00003E010000}"/>
    <cellStyle name="Total 2" xfId="41" xr:uid="{00000000-0005-0000-0000-00003F010000}"/>
    <cellStyle name="Total 3" xfId="112" xr:uid="{00000000-0005-0000-0000-000040010000}"/>
    <cellStyle name="Total 3 2" xfId="142" xr:uid="{00000000-0005-0000-0000-000041010000}"/>
    <cellStyle name="Total 3 3" xfId="152" xr:uid="{00000000-0005-0000-0000-000042010000}"/>
    <cellStyle name="Total 4" xfId="123" xr:uid="{00000000-0005-0000-0000-000043010000}"/>
    <cellStyle name="Total 4 2" xfId="137" xr:uid="{00000000-0005-0000-0000-000044010000}"/>
    <cellStyle name="Total 4 2 2" xfId="147" xr:uid="{00000000-0005-0000-0000-000045010000}"/>
    <cellStyle name="Total 4 2 3" xfId="162" xr:uid="{00000000-0005-0000-0000-000046010000}"/>
    <cellStyle name="Total 4 3" xfId="157" xr:uid="{00000000-0005-0000-0000-000047010000}"/>
    <cellStyle name="Totals" xfId="305" xr:uid="{00000000-0005-0000-0000-000048010000}"/>
    <cellStyle name="Under Construction Flag" xfId="306" xr:uid="{00000000-0005-0000-0000-000049010000}"/>
    <cellStyle name="UserInstructions" xfId="307" xr:uid="{00000000-0005-0000-0000-00004A010000}"/>
    <cellStyle name="Very Large" xfId="308" xr:uid="{00000000-0005-0000-0000-00004B010000}"/>
    <cellStyle name="Währung [0]_Compiling Utility Macros" xfId="309" xr:uid="{00000000-0005-0000-0000-00004C010000}"/>
    <cellStyle name="Währung_Compiling Utility Macros" xfId="310" xr:uid="{00000000-0005-0000-0000-00004D010000}"/>
    <cellStyle name="Warning Text 2" xfId="39" xr:uid="{00000000-0005-0000-0000-00004E010000}"/>
    <cellStyle name="Warning Text 3" xfId="113" xr:uid="{00000000-0005-0000-0000-00004F010000}"/>
    <cellStyle name="Warnings" xfId="17" xr:uid="{00000000-0005-0000-0000-000050010000}"/>
    <cellStyle name="WingDings" xfId="311" xr:uid="{00000000-0005-0000-0000-000051010000}"/>
    <cellStyle name="WIP" xfId="312" xr:uid="{00000000-0005-0000-0000-000052010000}"/>
  </cellStyles>
  <dxfs count="331">
    <dxf>
      <font>
        <b val="0"/>
        <i val="0"/>
        <strike val="0"/>
        <condense val="0"/>
        <extend val="0"/>
        <outline val="0"/>
        <shadow val="0"/>
        <u val="none"/>
        <vertAlign val="baseline"/>
        <sz val="12"/>
        <color auto="1"/>
        <name val="Arial"/>
        <family val="2"/>
        <scheme val="none"/>
      </font>
      <numFmt numFmtId="13" formatCode="0%"/>
      <fill>
        <patternFill patternType="none">
          <fgColor indexed="64"/>
          <bgColor auto="1"/>
        </patternFill>
      </fill>
      <alignment horizontal="right" vertical="bottom"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13" formatCode="0%"/>
      <fill>
        <patternFill patternType="none">
          <fgColor indexed="64"/>
          <bgColor auto="1"/>
        </patternFill>
      </fill>
      <alignment horizontal="right" vertical="bottom"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13" formatCode="0%"/>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right"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indent="0" justifyLastLine="0" shrinkToFit="0" readingOrder="0"/>
      <border diagonalUp="0" diagonalDown="0" outline="0">
        <left style="thin">
          <color indexed="64"/>
        </left>
        <right/>
        <top style="thin">
          <color indexed="64"/>
        </top>
        <bottom style="thin">
          <color indexed="64"/>
        </bottom>
      </border>
    </dxf>
    <dxf>
      <numFmt numFmtId="3" formatCode="#,##0"/>
      <fill>
        <patternFill patternType="none">
          <fgColor indexed="64"/>
          <bgColor auto="1"/>
        </patternFill>
      </fill>
      <alignment horizontal="righ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alignment horizontal="righ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alignment horizontal="righ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alignment horizontal="righ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alignment horizontal="righ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alignment horizontal="righ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alignment horizontal="righ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alignment horizontal="righ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0"/>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numFmt numFmtId="201" formatCode="_(* #,##0_);_(* \(#,##0\);_(* &quot;-&quot;??_);_(@_)"/>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0"/>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numFmt numFmtId="201" formatCode="_(* #,##0_);_(* \(#,##0\);_(* &quot;-&quot;??_);_(@_)"/>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0"/>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numFmt numFmtId="201" formatCode="_(* #,##0_);_(* \(#,##0\);_(* &quot;-&quot;??_);_(@_)"/>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0"/>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0"/>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border outline="0">
        <left style="thin">
          <color indexed="64"/>
        </left>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right/>
        <top style="thin">
          <color indexed="64"/>
        </top>
        <bottom style="thin">
          <color indexed="64"/>
        </bottom>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numFmt numFmtId="201" formatCode="_(* #,##0_);_(* \(#,##0\);_(* &quot;-&quot;??_);_(@_)"/>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01" formatCode="_(* #,##0_);_(* \(#,##0\);_(* &quot;-&quot;??_);_(@_)"/>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0"/>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0"/>
        <name val="Arial"/>
        <family val="2"/>
        <scheme val="none"/>
      </font>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00" formatCode="_-* #,##0_-;\-* #,##0_-;_-*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top style="thin">
          <color indexed="64"/>
        </top>
        <bottom/>
      </border>
    </dxf>
    <dxf>
      <border outline="0">
        <right style="thin">
          <color indexed="64"/>
        </right>
        <top style="thin">
          <color indexed="64"/>
        </top>
      </border>
    </dxf>
    <dxf>
      <fill>
        <patternFill patternType="none">
          <fgColor indexed="64"/>
          <bgColor auto="1"/>
        </patternFill>
      </fill>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font>
    </dxf>
  </dxfs>
  <tableStyles count="1" defaultTableStyle="TableStyleMedium9" defaultPivotStyle="PivotStyleLight16">
    <tableStyle name="Table Style 1" pivot="0" count="1" xr9:uid="{7F1CA242-D776-477F-AA21-22B6F4D9E9E7}">
      <tableStyleElement type="headerRow" dxfId="330"/>
    </tableStyle>
  </tableStyles>
  <colors>
    <mruColors>
      <color rgb="FF0000FF"/>
      <color rgb="FF3333CC"/>
      <color rgb="FF117733"/>
      <color rgb="FF332288"/>
      <color rgb="FF521A13"/>
      <color rgb="FFCC6677"/>
      <color rgb="FFDDCC77"/>
      <color rgb="FF88CCEE"/>
      <color rgb="FF882255"/>
      <color rgb="FF44AA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118908084185391E-2"/>
          <c:y val="4.0923937720621625E-2"/>
          <c:w val="0.92662763060997211"/>
          <c:h val="0.75301357878325959"/>
        </c:manualLayout>
      </c:layout>
      <c:barChart>
        <c:barDir val="col"/>
        <c:grouping val="stacked"/>
        <c:varyColors val="0"/>
        <c:ser>
          <c:idx val="1"/>
          <c:order val="0"/>
          <c:tx>
            <c:strRef>
              <c:f>'Table 2'!$A$3</c:f>
              <c:strCache>
                <c:ptCount val="1"/>
                <c:pt idx="0">
                  <c:v>Pedestrians</c:v>
                </c:pt>
              </c:strCache>
            </c:strRef>
          </c:tx>
          <c:spPr>
            <a:solidFill>
              <a:srgbClr val="AA4499"/>
            </a:solidFill>
            <a:ln>
              <a:noFill/>
            </a:ln>
            <a:effectLst/>
          </c:spPr>
          <c:invertIfNegative val="0"/>
          <c:cat>
            <c:strRef>
              <c:extLst>
                <c:ext xmlns:c15="http://schemas.microsoft.com/office/drawing/2012/chart" uri="{02D57815-91ED-43cb-92C2-25804820EDAC}">
                  <c15:fullRef>
                    <c15:sqref>'Table 2'!$B$2:$Q$2</c15:sqref>
                  </c15:fullRef>
                </c:ext>
              </c:extLst>
              <c:f>'Table 2'!$G$2:$Q$2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2'!$B$3:$Q$3</c15:sqref>
                  </c15:fullRef>
                </c:ext>
              </c:extLst>
              <c:f>'Table 2'!$G$3:$Q$3</c:f>
              <c:numCache>
                <c:formatCode>_(* #,##0_);_(* \(#,##0\);_(* "-"??_);_(@_)</c:formatCode>
                <c:ptCount val="11"/>
                <c:pt idx="0">
                  <c:v>1598.2</c:v>
                </c:pt>
                <c:pt idx="1">
                  <c:v>1296.8222090126051</c:v>
                </c:pt>
                <c:pt idx="2">
                  <c:v>1285.627883969936</c:v>
                </c:pt>
                <c:pt idx="3">
                  <c:v>1412</c:v>
                </c:pt>
                <c:pt idx="4">
                  <c:v>1366</c:v>
                </c:pt>
                <c:pt idx="5">
                  <c:v>1350</c:v>
                </c:pt>
                <c:pt idx="6">
                  <c:v>868</c:v>
                </c:pt>
                <c:pt idx="7">
                  <c:v>959</c:v>
                </c:pt>
                <c:pt idx="8">
                  <c:v>1235</c:v>
                </c:pt>
                <c:pt idx="9">
                  <c:v>1274</c:v>
                </c:pt>
                <c:pt idx="10">
                  <c:v>1194</c:v>
                </c:pt>
              </c:numCache>
            </c:numRef>
          </c:val>
          <c:extLst>
            <c:ext xmlns:c16="http://schemas.microsoft.com/office/drawing/2014/chart" uri="{C3380CC4-5D6E-409C-BE32-E72D297353CC}">
              <c16:uniqueId val="{00000001-1161-4E7E-A22E-9C7B5A4BB1E1}"/>
            </c:ext>
          </c:extLst>
        </c:ser>
        <c:ser>
          <c:idx val="3"/>
          <c:order val="1"/>
          <c:tx>
            <c:strRef>
              <c:f>'Table 2'!$A$4</c:f>
              <c:strCache>
                <c:ptCount val="1"/>
                <c:pt idx="0">
                  <c:v>Pedal cyclists</c:v>
                </c:pt>
              </c:strCache>
            </c:strRef>
          </c:tx>
          <c:spPr>
            <a:solidFill>
              <a:srgbClr val="999933"/>
            </a:solidFill>
            <a:ln>
              <a:noFill/>
            </a:ln>
            <a:effectLst/>
          </c:spPr>
          <c:invertIfNegative val="0"/>
          <c:cat>
            <c:strRef>
              <c:extLst>
                <c:ext xmlns:c15="http://schemas.microsoft.com/office/drawing/2012/chart" uri="{02D57815-91ED-43cb-92C2-25804820EDAC}">
                  <c15:fullRef>
                    <c15:sqref>'Table 2'!$B$2:$Q$2</c15:sqref>
                  </c15:fullRef>
                </c:ext>
              </c:extLst>
              <c:f>'Table 2'!$G$2:$Q$2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2'!$B$4:$Q$4</c15:sqref>
                  </c15:fullRef>
                </c:ext>
              </c:extLst>
              <c:f>'Table 2'!$G$4:$Q$4</c:f>
              <c:numCache>
                <c:formatCode>_(* #,##0_);_(* \(#,##0\);_(* "-"??_);_(@_)</c:formatCode>
                <c:ptCount val="11"/>
                <c:pt idx="0">
                  <c:v>923.4</c:v>
                </c:pt>
                <c:pt idx="1">
                  <c:v>702.68172061044231</c:v>
                </c:pt>
                <c:pt idx="2">
                  <c:v>689.32519297514636</c:v>
                </c:pt>
                <c:pt idx="3">
                  <c:v>685</c:v>
                </c:pt>
                <c:pt idx="4">
                  <c:v>782</c:v>
                </c:pt>
                <c:pt idx="5">
                  <c:v>778</c:v>
                </c:pt>
                <c:pt idx="6">
                  <c:v>868</c:v>
                </c:pt>
                <c:pt idx="7">
                  <c:v>999</c:v>
                </c:pt>
                <c:pt idx="8">
                  <c:v>1027</c:v>
                </c:pt>
                <c:pt idx="9">
                  <c:v>941</c:v>
                </c:pt>
                <c:pt idx="10">
                  <c:v>994</c:v>
                </c:pt>
              </c:numCache>
            </c:numRef>
          </c:val>
          <c:extLst>
            <c:ext xmlns:c16="http://schemas.microsoft.com/office/drawing/2014/chart" uri="{C3380CC4-5D6E-409C-BE32-E72D297353CC}">
              <c16:uniqueId val="{00000002-1161-4E7E-A22E-9C7B5A4BB1E1}"/>
            </c:ext>
          </c:extLst>
        </c:ser>
        <c:ser>
          <c:idx val="0"/>
          <c:order val="2"/>
          <c:tx>
            <c:strRef>
              <c:f>'Table 2'!$A$5</c:f>
              <c:strCache>
                <c:ptCount val="1"/>
                <c:pt idx="0">
                  <c:v>Motorcycle users</c:v>
                </c:pt>
              </c:strCache>
            </c:strRef>
          </c:tx>
          <c:spPr>
            <a:solidFill>
              <a:srgbClr val="44AA99"/>
            </a:solidFill>
            <a:ln>
              <a:noFill/>
            </a:ln>
            <a:effectLst/>
          </c:spPr>
          <c:invertIfNegative val="0"/>
          <c:cat>
            <c:strRef>
              <c:extLst>
                <c:ext xmlns:c15="http://schemas.microsoft.com/office/drawing/2012/chart" uri="{02D57815-91ED-43cb-92C2-25804820EDAC}">
                  <c15:fullRef>
                    <c15:sqref>'Table 2'!$B$2:$Q$2</c15:sqref>
                  </c15:fullRef>
                </c:ext>
              </c:extLst>
              <c:f>'Table 2'!$G$2:$Q$2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2'!$B$5:$Q$5</c15:sqref>
                  </c15:fullRef>
                </c:ext>
              </c:extLst>
              <c:f>'Table 2'!$G$5:$Q$5</c:f>
              <c:numCache>
                <c:formatCode>_(* #,##0_);_(* \(#,##0\);_(* "-"??_);_(@_)</c:formatCode>
                <c:ptCount val="11"/>
                <c:pt idx="0">
                  <c:v>1113.4000000000001</c:v>
                </c:pt>
                <c:pt idx="1">
                  <c:v>1056.9321651469529</c:v>
                </c:pt>
                <c:pt idx="2">
                  <c:v>1042.4195175631965</c:v>
                </c:pt>
                <c:pt idx="3">
                  <c:v>1099</c:v>
                </c:pt>
                <c:pt idx="4">
                  <c:v>1080</c:v>
                </c:pt>
                <c:pt idx="5">
                  <c:v>1019</c:v>
                </c:pt>
                <c:pt idx="6">
                  <c:v>768</c:v>
                </c:pt>
                <c:pt idx="7">
                  <c:v>929</c:v>
                </c:pt>
                <c:pt idx="8">
                  <c:v>894</c:v>
                </c:pt>
                <c:pt idx="9">
                  <c:v>767</c:v>
                </c:pt>
                <c:pt idx="10">
                  <c:v>806</c:v>
                </c:pt>
              </c:numCache>
            </c:numRef>
          </c:val>
          <c:extLst>
            <c:ext xmlns:c16="http://schemas.microsoft.com/office/drawing/2014/chart" uri="{C3380CC4-5D6E-409C-BE32-E72D297353CC}">
              <c16:uniqueId val="{00000003-1161-4E7E-A22E-9C7B5A4BB1E1}"/>
            </c:ext>
          </c:extLst>
        </c:ser>
        <c:ser>
          <c:idx val="6"/>
          <c:order val="3"/>
          <c:tx>
            <c:strRef>
              <c:f>'Table 2'!$A$6</c:f>
              <c:strCache>
                <c:ptCount val="1"/>
                <c:pt idx="0">
                  <c:v>Car occupants</c:v>
                </c:pt>
              </c:strCache>
            </c:strRef>
          </c:tx>
          <c:spPr>
            <a:solidFill>
              <a:srgbClr val="882255"/>
            </a:solidFill>
            <a:ln>
              <a:noFill/>
            </a:ln>
            <a:effectLst/>
          </c:spPr>
          <c:invertIfNegative val="0"/>
          <c:cat>
            <c:strRef>
              <c:extLst>
                <c:ext xmlns:c15="http://schemas.microsoft.com/office/drawing/2012/chart" uri="{02D57815-91ED-43cb-92C2-25804820EDAC}">
                  <c15:fullRef>
                    <c15:sqref>'Table 2'!$B$2:$Q$2</c15:sqref>
                  </c15:fullRef>
                </c:ext>
              </c:extLst>
              <c:f>'Table 2'!$G$2:$Q$2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2'!$B$6:$Q$6</c15:sqref>
                  </c15:fullRef>
                </c:ext>
              </c:extLst>
              <c:f>'Table 2'!$G$6:$Q$6</c:f>
              <c:numCache>
                <c:formatCode>_(* #,##0_);_(* \(#,##0\);_(* "-"??_);_(@_)</c:formatCode>
                <c:ptCount val="11"/>
                <c:pt idx="0">
                  <c:v>934.4</c:v>
                </c:pt>
                <c:pt idx="1">
                  <c:v>623.52796011643443</c:v>
                </c:pt>
                <c:pt idx="2">
                  <c:v>591.12525818554843</c:v>
                </c:pt>
                <c:pt idx="3">
                  <c:v>490</c:v>
                </c:pt>
                <c:pt idx="4">
                  <c:v>623</c:v>
                </c:pt>
                <c:pt idx="5">
                  <c:v>574</c:v>
                </c:pt>
                <c:pt idx="6">
                  <c:v>416</c:v>
                </c:pt>
                <c:pt idx="7">
                  <c:v>464</c:v>
                </c:pt>
                <c:pt idx="8">
                  <c:v>526</c:v>
                </c:pt>
                <c:pt idx="9">
                  <c:v>457</c:v>
                </c:pt>
                <c:pt idx="10">
                  <c:v>470</c:v>
                </c:pt>
              </c:numCache>
            </c:numRef>
          </c:val>
          <c:extLst>
            <c:ext xmlns:c16="http://schemas.microsoft.com/office/drawing/2014/chart" uri="{C3380CC4-5D6E-409C-BE32-E72D297353CC}">
              <c16:uniqueId val="{00000004-1161-4E7E-A22E-9C7B5A4BB1E1}"/>
            </c:ext>
          </c:extLst>
        </c:ser>
        <c:ser>
          <c:idx val="7"/>
          <c:order val="4"/>
          <c:tx>
            <c:strRef>
              <c:f>'Table 2'!$A$7</c:f>
              <c:strCache>
                <c:ptCount val="1"/>
                <c:pt idx="0">
                  <c:v>Bus or coach occupants</c:v>
                </c:pt>
              </c:strCache>
            </c:strRef>
          </c:tx>
          <c:spPr>
            <a:solidFill>
              <a:srgbClr val="88CCEE"/>
            </a:solidFill>
            <a:ln>
              <a:noFill/>
            </a:ln>
            <a:effectLst/>
          </c:spPr>
          <c:invertIfNegative val="0"/>
          <c:cat>
            <c:strRef>
              <c:extLst>
                <c:ext xmlns:c15="http://schemas.microsoft.com/office/drawing/2012/chart" uri="{02D57815-91ED-43cb-92C2-25804820EDAC}">
                  <c15:fullRef>
                    <c15:sqref>'Table 2'!$B$2:$Q$2</c15:sqref>
                  </c15:fullRef>
                </c:ext>
              </c:extLst>
              <c:f>'Table 2'!$G$2:$Q$2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2'!$B$7:$Q$7</c15:sqref>
                  </c15:fullRef>
                </c:ext>
              </c:extLst>
              <c:f>'Table 2'!$G$7:$Q$7</c:f>
              <c:numCache>
                <c:formatCode>_(* #,##0_);_(* \(#,##0\);_(* "-"??_);_(@_)</c:formatCode>
                <c:ptCount val="11"/>
                <c:pt idx="0">
                  <c:v>179.4</c:v>
                </c:pt>
                <c:pt idx="1">
                  <c:v>147.16387653119784</c:v>
                </c:pt>
                <c:pt idx="2">
                  <c:v>124.12746009946967</c:v>
                </c:pt>
                <c:pt idx="3">
                  <c:v>108</c:v>
                </c:pt>
                <c:pt idx="4">
                  <c:v>112</c:v>
                </c:pt>
                <c:pt idx="5">
                  <c:v>91</c:v>
                </c:pt>
                <c:pt idx="6">
                  <c:v>46</c:v>
                </c:pt>
                <c:pt idx="7">
                  <c:v>71</c:v>
                </c:pt>
                <c:pt idx="8">
                  <c:v>141</c:v>
                </c:pt>
                <c:pt idx="9">
                  <c:v>124</c:v>
                </c:pt>
                <c:pt idx="10">
                  <c:v>115</c:v>
                </c:pt>
              </c:numCache>
            </c:numRef>
          </c:val>
          <c:extLst>
            <c:ext xmlns:c16="http://schemas.microsoft.com/office/drawing/2014/chart" uri="{C3380CC4-5D6E-409C-BE32-E72D297353CC}">
              <c16:uniqueId val="{00000005-1161-4E7E-A22E-9C7B5A4BB1E1}"/>
            </c:ext>
          </c:extLst>
        </c:ser>
        <c:ser>
          <c:idx val="5"/>
          <c:order val="5"/>
          <c:tx>
            <c:strRef>
              <c:f>'Table 2'!$A$8</c:f>
              <c:strCache>
                <c:ptCount val="1"/>
                <c:pt idx="0">
                  <c:v>Other vehicle occupants</c:v>
                </c:pt>
              </c:strCache>
            </c:strRef>
          </c:tx>
          <c:spPr>
            <a:solidFill>
              <a:srgbClr val="117733"/>
            </a:solidFill>
            <a:ln>
              <a:noFill/>
            </a:ln>
            <a:effectLst/>
          </c:spPr>
          <c:invertIfNegative val="0"/>
          <c:cat>
            <c:strRef>
              <c:extLst>
                <c:ext xmlns:c15="http://schemas.microsoft.com/office/drawing/2012/chart" uri="{02D57815-91ED-43cb-92C2-25804820EDAC}">
                  <c15:fullRef>
                    <c15:sqref>'Table 2'!$B$2:$Q$2</c15:sqref>
                  </c15:fullRef>
                </c:ext>
              </c:extLst>
              <c:f>'Table 2'!$G$2:$Q$2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2'!$B$8:$Q$8</c15:sqref>
                  </c15:fullRef>
                </c:ext>
              </c:extLst>
              <c:f>'Table 2'!$G$8:$Q$8</c:f>
              <c:numCache>
                <c:formatCode>_(* #,##0_);_(* \(#,##0\);_(* "-"??_);_(@_)</c:formatCode>
                <c:ptCount val="11"/>
                <c:pt idx="0">
                  <c:v>23.4</c:v>
                </c:pt>
                <c:pt idx="1">
                  <c:v>12.46510326365367</c:v>
                </c:pt>
                <c:pt idx="2">
                  <c:v>11.523318327987678</c:v>
                </c:pt>
                <c:pt idx="3">
                  <c:v>15</c:v>
                </c:pt>
                <c:pt idx="4">
                  <c:v>16</c:v>
                </c:pt>
                <c:pt idx="5">
                  <c:v>19</c:v>
                </c:pt>
                <c:pt idx="6">
                  <c:v>68</c:v>
                </c:pt>
                <c:pt idx="7">
                  <c:v>115</c:v>
                </c:pt>
                <c:pt idx="8">
                  <c:v>88</c:v>
                </c:pt>
                <c:pt idx="9">
                  <c:v>79</c:v>
                </c:pt>
                <c:pt idx="10">
                  <c:v>70</c:v>
                </c:pt>
              </c:numCache>
            </c:numRef>
          </c:val>
          <c:extLst>
            <c:ext xmlns:c16="http://schemas.microsoft.com/office/drawing/2014/chart" uri="{C3380CC4-5D6E-409C-BE32-E72D297353CC}">
              <c16:uniqueId val="{00000006-1161-4E7E-A22E-9C7B5A4BB1E1}"/>
            </c:ext>
          </c:extLst>
        </c:ser>
        <c:ser>
          <c:idx val="9"/>
          <c:order val="6"/>
          <c:tx>
            <c:strRef>
              <c:f>'Table 2'!$A$9</c:f>
              <c:strCache>
                <c:ptCount val="1"/>
                <c:pt idx="0">
                  <c:v>Goods vehicle occupants</c:v>
                </c:pt>
              </c:strCache>
            </c:strRef>
          </c:tx>
          <c:spPr>
            <a:solidFill>
              <a:srgbClr val="DDCC77"/>
            </a:solidFill>
            <a:ln>
              <a:noFill/>
            </a:ln>
            <a:effectLst/>
          </c:spPr>
          <c:invertIfNegative val="0"/>
          <c:cat>
            <c:strRef>
              <c:extLst>
                <c:ext xmlns:c15="http://schemas.microsoft.com/office/drawing/2012/chart" uri="{02D57815-91ED-43cb-92C2-25804820EDAC}">
                  <c15:fullRef>
                    <c15:sqref>'Table 2'!$B$2:$Q$2</c15:sqref>
                  </c15:fullRef>
                </c:ext>
              </c:extLst>
              <c:f>'Table 2'!$G$2:$Q$2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2'!$B$9:$Q$9</c15:sqref>
                  </c15:fullRef>
                </c:ext>
              </c:extLst>
              <c:f>'Table 2'!$G$9:$Q$9</c:f>
              <c:numCache>
                <c:formatCode>_(* #,##0_);_(* \(#,##0\);_(* "-"??_);_(@_)</c:formatCode>
                <c:ptCount val="11"/>
                <c:pt idx="0">
                  <c:v>56.2</c:v>
                </c:pt>
                <c:pt idx="1">
                  <c:v>41.97378568947002</c:v>
                </c:pt>
                <c:pt idx="2">
                  <c:v>33.255523439676168</c:v>
                </c:pt>
                <c:pt idx="3">
                  <c:v>27</c:v>
                </c:pt>
                <c:pt idx="4">
                  <c:v>40</c:v>
                </c:pt>
                <c:pt idx="5">
                  <c:v>44</c:v>
                </c:pt>
                <c:pt idx="6">
                  <c:v>18</c:v>
                </c:pt>
                <c:pt idx="7">
                  <c:v>27</c:v>
                </c:pt>
                <c:pt idx="8">
                  <c:v>25</c:v>
                </c:pt>
                <c:pt idx="9">
                  <c:v>30</c:v>
                </c:pt>
                <c:pt idx="10">
                  <c:v>34</c:v>
                </c:pt>
              </c:numCache>
            </c:numRef>
          </c:val>
          <c:extLst>
            <c:ext xmlns:c16="http://schemas.microsoft.com/office/drawing/2014/chart" uri="{C3380CC4-5D6E-409C-BE32-E72D297353CC}">
              <c16:uniqueId val="{00000007-1161-4E7E-A22E-9C7B5A4BB1E1}"/>
            </c:ext>
          </c:extLst>
        </c:ser>
        <c:ser>
          <c:idx val="4"/>
          <c:order val="7"/>
          <c:tx>
            <c:strRef>
              <c:f>'Table 2'!$A$10</c:f>
              <c:strCache>
                <c:ptCount val="1"/>
                <c:pt idx="0">
                  <c:v>Private hire vehicle occupants*</c:v>
                </c:pt>
              </c:strCache>
            </c:strRef>
          </c:tx>
          <c:spPr>
            <a:solidFill>
              <a:srgbClr val="332288"/>
            </a:solidFill>
            <a:ln>
              <a:noFill/>
            </a:ln>
            <a:effectLst/>
          </c:spPr>
          <c:invertIfNegative val="0"/>
          <c:cat>
            <c:strRef>
              <c:extLst>
                <c:ext xmlns:c15="http://schemas.microsoft.com/office/drawing/2012/chart" uri="{02D57815-91ED-43cb-92C2-25804820EDAC}">
                  <c15:fullRef>
                    <c15:sqref>'Table 2'!$B$2:$Q$2</c15:sqref>
                  </c15:fullRef>
                </c:ext>
              </c:extLst>
              <c:f>'Table 2'!$G$2:$Q$2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2'!$B$10:$Q$10</c15:sqref>
                  </c15:fullRef>
                </c:ext>
              </c:extLst>
              <c:f>'Table 2'!$G$10:$Q$10</c:f>
              <c:numCache>
                <c:formatCode>_(* #,##0_);_(* \(#,##0\);_(* "-"??_);_(@_)</c:formatCode>
                <c:ptCount val="11"/>
                <c:pt idx="0">
                  <c:v>0</c:v>
                </c:pt>
                <c:pt idx="1">
                  <c:v>0</c:v>
                </c:pt>
                <c:pt idx="2">
                  <c:v>0</c:v>
                </c:pt>
                <c:pt idx="3">
                  <c:v>24</c:v>
                </c:pt>
                <c:pt idx="4">
                  <c:v>15</c:v>
                </c:pt>
                <c:pt idx="5">
                  <c:v>14</c:v>
                </c:pt>
                <c:pt idx="6">
                  <c:v>12</c:v>
                </c:pt>
                <c:pt idx="7">
                  <c:v>11</c:v>
                </c:pt>
                <c:pt idx="8">
                  <c:v>13</c:v>
                </c:pt>
                <c:pt idx="9">
                  <c:v>22</c:v>
                </c:pt>
                <c:pt idx="10">
                  <c:v>12</c:v>
                </c:pt>
              </c:numCache>
            </c:numRef>
          </c:val>
          <c:extLst>
            <c:ext xmlns:c16="http://schemas.microsoft.com/office/drawing/2014/chart" uri="{C3380CC4-5D6E-409C-BE32-E72D297353CC}">
              <c16:uniqueId val="{00000008-1161-4E7E-A22E-9C7B5A4BB1E1}"/>
            </c:ext>
          </c:extLst>
        </c:ser>
        <c:ser>
          <c:idx val="8"/>
          <c:order val="8"/>
          <c:tx>
            <c:strRef>
              <c:f>'Table 2'!$A$11</c:f>
              <c:strCache>
                <c:ptCount val="1"/>
                <c:pt idx="0">
                  <c:v>Taxi occupants*</c:v>
                </c:pt>
              </c:strCache>
            </c:strRef>
          </c:tx>
          <c:spPr>
            <a:solidFill>
              <a:srgbClr val="CC6677"/>
            </a:solidFill>
            <a:ln>
              <a:noFill/>
            </a:ln>
            <a:effectLst/>
          </c:spPr>
          <c:invertIfNegative val="0"/>
          <c:cat>
            <c:strRef>
              <c:extLst>
                <c:ext xmlns:c15="http://schemas.microsoft.com/office/drawing/2012/chart" uri="{02D57815-91ED-43cb-92C2-25804820EDAC}">
                  <c15:fullRef>
                    <c15:sqref>'Table 2'!$B$2:$Q$2</c15:sqref>
                  </c15:fullRef>
                </c:ext>
              </c:extLst>
              <c:f>'Table 2'!$G$2:$Q$2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2'!$B$11:$Q$11</c15:sqref>
                  </c15:fullRef>
                </c:ext>
              </c:extLst>
              <c:f>'Table 2'!$G$11:$Q$11</c:f>
              <c:numCache>
                <c:formatCode>_(* #,##0_);_(* \(#,##0\);_(* "-"??_);_(@_)</c:formatCode>
                <c:ptCount val="11"/>
                <c:pt idx="0">
                  <c:v>40.847192585921746</c:v>
                </c:pt>
                <c:pt idx="1">
                  <c:v>38.372207302297582</c:v>
                </c:pt>
                <c:pt idx="2">
                  <c:v>40.098943099645012</c:v>
                </c:pt>
                <c:pt idx="3">
                  <c:v>21</c:v>
                </c:pt>
                <c:pt idx="4">
                  <c:v>31</c:v>
                </c:pt>
                <c:pt idx="5">
                  <c:v>16</c:v>
                </c:pt>
                <c:pt idx="6">
                  <c:v>6</c:v>
                </c:pt>
                <c:pt idx="7">
                  <c:v>4</c:v>
                </c:pt>
                <c:pt idx="8">
                  <c:v>12</c:v>
                </c:pt>
                <c:pt idx="9">
                  <c:v>16</c:v>
                </c:pt>
                <c:pt idx="10">
                  <c:v>12</c:v>
                </c:pt>
              </c:numCache>
            </c:numRef>
          </c:val>
          <c:extLst xmlns:c15="http://schemas.microsoft.com/office/drawing/2012/chart">
            <c:ext xmlns:c16="http://schemas.microsoft.com/office/drawing/2014/chart" uri="{C3380CC4-5D6E-409C-BE32-E72D297353CC}">
              <c16:uniqueId val="{00000009-1161-4E7E-A22E-9C7B5A4BB1E1}"/>
            </c:ext>
          </c:extLst>
        </c:ser>
        <c:dLbls>
          <c:showLegendKey val="0"/>
          <c:showVal val="0"/>
          <c:showCatName val="0"/>
          <c:showSerName val="0"/>
          <c:showPercent val="0"/>
          <c:showBubbleSize val="0"/>
        </c:dLbls>
        <c:gapWidth val="150"/>
        <c:overlap val="100"/>
        <c:axId val="1242735008"/>
        <c:axId val="1242739600"/>
      </c:barChart>
      <c:lineChart>
        <c:grouping val="standard"/>
        <c:varyColors val="0"/>
        <c:ser>
          <c:idx val="2"/>
          <c:order val="9"/>
          <c:tx>
            <c:strRef>
              <c:f>'Table 2'!$A$13</c:f>
              <c:strCache>
                <c:ptCount val="1"/>
                <c:pt idx="0">
                  <c:v>2010-14 average</c:v>
                </c:pt>
              </c:strCache>
            </c:strRef>
          </c:tx>
          <c:spPr>
            <a:ln w="28575" cap="rnd">
              <a:solidFill>
                <a:srgbClr val="521A13"/>
              </a:solidFill>
              <a:round/>
            </a:ln>
            <a:effectLst/>
          </c:spPr>
          <c:marker>
            <c:symbol val="none"/>
          </c:marker>
          <c:cat>
            <c:strLit>
              <c:ptCount val="11"/>
              <c:pt idx="0">
                <c:v>2010-14 average</c:v>
              </c:pt>
              <c:pt idx="1">
                <c:v>2015</c:v>
              </c:pt>
              <c:pt idx="2">
                <c:v>2016</c:v>
              </c:pt>
              <c:pt idx="3">
                <c:v>2017</c:v>
              </c:pt>
              <c:pt idx="4">
                <c:v>2018</c:v>
              </c:pt>
              <c:pt idx="5">
                <c:v>2019</c:v>
              </c:pt>
              <c:pt idx="6">
                <c:v>2020</c:v>
              </c:pt>
              <c:pt idx="7">
                <c:v>2021</c:v>
              </c:pt>
              <c:pt idx="8">
                <c:v>2022</c:v>
              </c:pt>
              <c:pt idx="9">
                <c:v>2023</c:v>
              </c:pt>
              <c:pt idx="10">
                <c:v>2024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'Table 2'!$B$13:$Q$13</c15:sqref>
                  </c15:fullRef>
                </c:ext>
              </c:extLst>
              <c:f>'Table 2'!$G$13:$Q$13</c:f>
              <c:numCache>
                <c:formatCode>_(* #,##0_);_(* \(#,##0\);_(* "-"??_);_(@_)</c:formatCode>
                <c:ptCount val="11"/>
                <c:pt idx="0">
                  <c:v>4869.2471925859209</c:v>
                </c:pt>
                <c:pt idx="1">
                  <c:v>4869.2471925859209</c:v>
                </c:pt>
                <c:pt idx="2">
                  <c:v>4869.2471925859209</c:v>
                </c:pt>
                <c:pt idx="3">
                  <c:v>4869.2471925859209</c:v>
                </c:pt>
                <c:pt idx="4">
                  <c:v>4869.2471925859209</c:v>
                </c:pt>
                <c:pt idx="5">
                  <c:v>4869.2471925859209</c:v>
                </c:pt>
                <c:pt idx="6">
                  <c:v>4869.2471925859209</c:v>
                </c:pt>
                <c:pt idx="7">
                  <c:v>4869.2471925859209</c:v>
                </c:pt>
                <c:pt idx="8">
                  <c:v>4869.2471925859209</c:v>
                </c:pt>
                <c:pt idx="9">
                  <c:v>4869.2471925859209</c:v>
                </c:pt>
                <c:pt idx="10">
                  <c:v>4869.2471925859209</c:v>
                </c:pt>
              </c:numCache>
            </c:numRef>
          </c:val>
          <c:smooth val="0"/>
          <c:extLst>
            <c:ext xmlns:c16="http://schemas.microsoft.com/office/drawing/2014/chart" uri="{C3380CC4-5D6E-409C-BE32-E72D297353CC}">
              <c16:uniqueId val="{00000010-1161-4E7E-A22E-9C7B5A4BB1E1}"/>
            </c:ext>
          </c:extLst>
        </c:ser>
        <c:dLbls>
          <c:showLegendKey val="0"/>
          <c:showVal val="0"/>
          <c:showCatName val="0"/>
          <c:showSerName val="0"/>
          <c:showPercent val="0"/>
          <c:showBubbleSize val="0"/>
        </c:dLbls>
        <c:marker val="1"/>
        <c:smooth val="0"/>
        <c:axId val="1242735008"/>
        <c:axId val="1242739600"/>
      </c:lineChart>
      <c:catAx>
        <c:axId val="1242735008"/>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sz="1100">
                    <a:solidFill>
                      <a:sysClr val="windowText" lastClr="000000"/>
                    </a:solidFill>
                  </a:rPr>
                  <a:t>Year</a:t>
                </a:r>
              </a:p>
            </c:rich>
          </c:tx>
          <c:layout>
            <c:manualLayout>
              <c:xMode val="edge"/>
              <c:yMode val="edge"/>
              <c:x val="0.48828164019934828"/>
              <c:y val="0.83556882973591451"/>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42739600"/>
        <c:crosses val="autoZero"/>
        <c:auto val="1"/>
        <c:lblAlgn val="ctr"/>
        <c:lblOffset val="100"/>
        <c:noMultiLvlLbl val="0"/>
      </c:catAx>
      <c:valAx>
        <c:axId val="12427396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42735008"/>
        <c:crosses val="autoZero"/>
        <c:crossBetween val="between"/>
      </c:valAx>
      <c:spPr>
        <a:noFill/>
        <a:ln>
          <a:noFill/>
        </a:ln>
        <a:effectLst/>
      </c:spPr>
    </c:plotArea>
    <c:legend>
      <c:legendPos val="b"/>
      <c:layout>
        <c:manualLayout>
          <c:xMode val="edge"/>
          <c:yMode val="edge"/>
          <c:x val="2.2897308022277421E-2"/>
          <c:y val="0.87366414521199265"/>
          <c:w val="0.94629637889704477"/>
          <c:h val="9.2695511660115498E-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813136800278397E-2"/>
          <c:y val="5.72140350877193E-2"/>
          <c:w val="0.89652185150566088"/>
          <c:h val="0.61674415204678346"/>
        </c:manualLayout>
      </c:layout>
      <c:barChart>
        <c:barDir val="col"/>
        <c:grouping val="stacked"/>
        <c:varyColors val="0"/>
        <c:ser>
          <c:idx val="0"/>
          <c:order val="0"/>
          <c:tx>
            <c:strRef>
              <c:f>'Table 4'!$A$3</c:f>
              <c:strCache>
                <c:ptCount val="1"/>
                <c:pt idx="0">
                  <c:v>Bus or coach occupants*</c:v>
                </c:pt>
              </c:strCache>
            </c:strRef>
          </c:tx>
          <c:spPr>
            <a:solidFill>
              <a:srgbClr val="88CCEE"/>
            </a:solidFill>
            <a:ln>
              <a:noFill/>
            </a:ln>
            <a:effectLst/>
          </c:spPr>
          <c:invertIfNegative val="0"/>
          <c:cat>
            <c:strRef>
              <c:f>'Table 4'!$B$2:$I$2</c:f>
              <c:strCache>
                <c:ptCount val="8"/>
                <c:pt idx="0">
                  <c:v>2017</c:v>
                </c:pt>
                <c:pt idx="1">
                  <c:v>2018</c:v>
                </c:pt>
                <c:pt idx="2">
                  <c:v>2019</c:v>
                </c:pt>
                <c:pt idx="3">
                  <c:v>2020</c:v>
                </c:pt>
                <c:pt idx="4">
                  <c:v>2021</c:v>
                </c:pt>
                <c:pt idx="5">
                  <c:v>2022</c:v>
                </c:pt>
                <c:pt idx="6">
                  <c:v>2023</c:v>
                </c:pt>
                <c:pt idx="7">
                  <c:v>2024</c:v>
                </c:pt>
              </c:strCache>
            </c:strRef>
          </c:cat>
          <c:val>
            <c:numRef>
              <c:f>'Table 4'!$B$3:$I$3</c:f>
              <c:numCache>
                <c:formatCode>0</c:formatCode>
                <c:ptCount val="8"/>
                <c:pt idx="0">
                  <c:v>105</c:v>
                </c:pt>
                <c:pt idx="1">
                  <c:v>105</c:v>
                </c:pt>
                <c:pt idx="2">
                  <c:v>88</c:v>
                </c:pt>
                <c:pt idx="3">
                  <c:v>43</c:v>
                </c:pt>
                <c:pt idx="4">
                  <c:v>67</c:v>
                </c:pt>
                <c:pt idx="5">
                  <c:v>137</c:v>
                </c:pt>
                <c:pt idx="6">
                  <c:v>121</c:v>
                </c:pt>
                <c:pt idx="7">
                  <c:v>107</c:v>
                </c:pt>
              </c:numCache>
            </c:numRef>
          </c:val>
          <c:extLst>
            <c:ext xmlns:c16="http://schemas.microsoft.com/office/drawing/2014/chart" uri="{C3380CC4-5D6E-409C-BE32-E72D297353CC}">
              <c16:uniqueId val="{00000000-7EC4-4884-B08D-7B5BA14ACC3A}"/>
            </c:ext>
          </c:extLst>
        </c:ser>
        <c:ser>
          <c:idx val="4"/>
          <c:order val="1"/>
          <c:tx>
            <c:strRef>
              <c:f>'Table 4'!$A$4</c:f>
              <c:strCache>
                <c:ptCount val="1"/>
                <c:pt idx="0">
                  <c:v>Pedestrians</c:v>
                </c:pt>
              </c:strCache>
            </c:strRef>
          </c:tx>
          <c:spPr>
            <a:solidFill>
              <a:srgbClr val="AA4499"/>
            </a:solidFill>
            <a:ln>
              <a:noFill/>
            </a:ln>
            <a:effectLst/>
          </c:spPr>
          <c:invertIfNegative val="0"/>
          <c:cat>
            <c:strRef>
              <c:f>'Table 4'!$B$2:$I$2</c:f>
              <c:strCache>
                <c:ptCount val="8"/>
                <c:pt idx="0">
                  <c:v>2017</c:v>
                </c:pt>
                <c:pt idx="1">
                  <c:v>2018</c:v>
                </c:pt>
                <c:pt idx="2">
                  <c:v>2019</c:v>
                </c:pt>
                <c:pt idx="3">
                  <c:v>2020</c:v>
                </c:pt>
                <c:pt idx="4">
                  <c:v>2021</c:v>
                </c:pt>
                <c:pt idx="5">
                  <c:v>2022</c:v>
                </c:pt>
                <c:pt idx="6">
                  <c:v>2023</c:v>
                </c:pt>
                <c:pt idx="7">
                  <c:v>2024</c:v>
                </c:pt>
              </c:strCache>
            </c:strRef>
          </c:cat>
          <c:val>
            <c:numRef>
              <c:f>'Table 4'!$B$4:$I$4</c:f>
              <c:numCache>
                <c:formatCode>0</c:formatCode>
                <c:ptCount val="8"/>
                <c:pt idx="0">
                  <c:v>99</c:v>
                </c:pt>
                <c:pt idx="1">
                  <c:v>93</c:v>
                </c:pt>
                <c:pt idx="2">
                  <c:v>85</c:v>
                </c:pt>
                <c:pt idx="3">
                  <c:v>52</c:v>
                </c:pt>
                <c:pt idx="4">
                  <c:v>49</c:v>
                </c:pt>
                <c:pt idx="5">
                  <c:v>67</c:v>
                </c:pt>
                <c:pt idx="6">
                  <c:v>86</c:v>
                </c:pt>
                <c:pt idx="7">
                  <c:v>92</c:v>
                </c:pt>
              </c:numCache>
            </c:numRef>
          </c:val>
          <c:extLst>
            <c:ext xmlns:c16="http://schemas.microsoft.com/office/drawing/2014/chart" uri="{C3380CC4-5D6E-409C-BE32-E72D297353CC}">
              <c16:uniqueId val="{00000004-7EC4-4884-B08D-7B5BA14ACC3A}"/>
            </c:ext>
          </c:extLst>
        </c:ser>
        <c:ser>
          <c:idx val="3"/>
          <c:order val="2"/>
          <c:tx>
            <c:strRef>
              <c:f>'Table 4'!$A$5</c:f>
              <c:strCache>
                <c:ptCount val="1"/>
                <c:pt idx="0">
                  <c:v>Pedal cyclists</c:v>
                </c:pt>
              </c:strCache>
            </c:strRef>
          </c:tx>
          <c:spPr>
            <a:solidFill>
              <a:srgbClr val="999933"/>
            </a:solidFill>
            <a:ln>
              <a:noFill/>
            </a:ln>
            <a:effectLst/>
          </c:spPr>
          <c:invertIfNegative val="0"/>
          <c:cat>
            <c:strRef>
              <c:f>'Table 4'!$B$2:$I$2</c:f>
              <c:strCache>
                <c:ptCount val="8"/>
                <c:pt idx="0">
                  <c:v>2017</c:v>
                </c:pt>
                <c:pt idx="1">
                  <c:v>2018</c:v>
                </c:pt>
                <c:pt idx="2">
                  <c:v>2019</c:v>
                </c:pt>
                <c:pt idx="3">
                  <c:v>2020</c:v>
                </c:pt>
                <c:pt idx="4">
                  <c:v>2021</c:v>
                </c:pt>
                <c:pt idx="5">
                  <c:v>2022</c:v>
                </c:pt>
                <c:pt idx="6">
                  <c:v>2023</c:v>
                </c:pt>
                <c:pt idx="7">
                  <c:v>2024</c:v>
                </c:pt>
              </c:strCache>
            </c:strRef>
          </c:cat>
          <c:val>
            <c:numRef>
              <c:f>'Table 4'!$B$5:$I$5</c:f>
              <c:numCache>
                <c:formatCode>0</c:formatCode>
                <c:ptCount val="8"/>
                <c:pt idx="0">
                  <c:v>17</c:v>
                </c:pt>
                <c:pt idx="1">
                  <c:v>13</c:v>
                </c:pt>
                <c:pt idx="2">
                  <c:v>13</c:v>
                </c:pt>
                <c:pt idx="3">
                  <c:v>17</c:v>
                </c:pt>
                <c:pt idx="4">
                  <c:v>30</c:v>
                </c:pt>
                <c:pt idx="5">
                  <c:v>25</c:v>
                </c:pt>
                <c:pt idx="6">
                  <c:v>26</c:v>
                </c:pt>
                <c:pt idx="7">
                  <c:v>25</c:v>
                </c:pt>
              </c:numCache>
            </c:numRef>
          </c:val>
          <c:extLst>
            <c:ext xmlns:c16="http://schemas.microsoft.com/office/drawing/2014/chart" uri="{C3380CC4-5D6E-409C-BE32-E72D297353CC}">
              <c16:uniqueId val="{00000003-7EC4-4884-B08D-7B5BA14ACC3A}"/>
            </c:ext>
          </c:extLst>
        </c:ser>
        <c:ser>
          <c:idx val="2"/>
          <c:order val="3"/>
          <c:tx>
            <c:strRef>
              <c:f>'Table 4'!$A$6</c:f>
              <c:strCache>
                <c:ptCount val="1"/>
                <c:pt idx="0">
                  <c:v>Motorcycle users</c:v>
                </c:pt>
              </c:strCache>
            </c:strRef>
          </c:tx>
          <c:spPr>
            <a:solidFill>
              <a:srgbClr val="44AA99"/>
            </a:solidFill>
            <a:ln>
              <a:noFill/>
            </a:ln>
            <a:effectLst/>
          </c:spPr>
          <c:invertIfNegative val="0"/>
          <c:cat>
            <c:strRef>
              <c:f>'Table 4'!$B$2:$I$2</c:f>
              <c:strCache>
                <c:ptCount val="8"/>
                <c:pt idx="0">
                  <c:v>2017</c:v>
                </c:pt>
                <c:pt idx="1">
                  <c:v>2018</c:v>
                </c:pt>
                <c:pt idx="2">
                  <c:v>2019</c:v>
                </c:pt>
                <c:pt idx="3">
                  <c:v>2020</c:v>
                </c:pt>
                <c:pt idx="4">
                  <c:v>2021</c:v>
                </c:pt>
                <c:pt idx="5">
                  <c:v>2022</c:v>
                </c:pt>
                <c:pt idx="6">
                  <c:v>2023</c:v>
                </c:pt>
                <c:pt idx="7">
                  <c:v>2024</c:v>
                </c:pt>
              </c:strCache>
            </c:strRef>
          </c:cat>
          <c:val>
            <c:numRef>
              <c:f>'Table 4'!$B$6:$I$6</c:f>
              <c:numCache>
                <c:formatCode>0</c:formatCode>
                <c:ptCount val="8"/>
                <c:pt idx="0">
                  <c:v>25</c:v>
                </c:pt>
                <c:pt idx="1">
                  <c:v>10</c:v>
                </c:pt>
                <c:pt idx="2">
                  <c:v>12</c:v>
                </c:pt>
                <c:pt idx="3">
                  <c:v>14</c:v>
                </c:pt>
                <c:pt idx="4">
                  <c:v>16</c:v>
                </c:pt>
                <c:pt idx="5">
                  <c:v>14</c:v>
                </c:pt>
                <c:pt idx="6">
                  <c:v>7</c:v>
                </c:pt>
                <c:pt idx="7">
                  <c:v>8</c:v>
                </c:pt>
              </c:numCache>
            </c:numRef>
          </c:val>
          <c:extLst>
            <c:ext xmlns:c16="http://schemas.microsoft.com/office/drawing/2014/chart" uri="{C3380CC4-5D6E-409C-BE32-E72D297353CC}">
              <c16:uniqueId val="{00000002-7EC4-4884-B08D-7B5BA14ACC3A}"/>
            </c:ext>
          </c:extLst>
        </c:ser>
        <c:ser>
          <c:idx val="1"/>
          <c:order val="4"/>
          <c:tx>
            <c:strRef>
              <c:f>'Table 4'!$A$7</c:f>
              <c:strCache>
                <c:ptCount val="1"/>
                <c:pt idx="0">
                  <c:v>Car occupants</c:v>
                </c:pt>
              </c:strCache>
            </c:strRef>
          </c:tx>
          <c:spPr>
            <a:solidFill>
              <a:srgbClr val="882255"/>
            </a:solidFill>
            <a:ln>
              <a:noFill/>
            </a:ln>
            <a:effectLst/>
          </c:spPr>
          <c:invertIfNegative val="0"/>
          <c:cat>
            <c:strRef>
              <c:f>'Table 4'!$B$2:$I$2</c:f>
              <c:strCache>
                <c:ptCount val="8"/>
                <c:pt idx="0">
                  <c:v>2017</c:v>
                </c:pt>
                <c:pt idx="1">
                  <c:v>2018</c:v>
                </c:pt>
                <c:pt idx="2">
                  <c:v>2019</c:v>
                </c:pt>
                <c:pt idx="3">
                  <c:v>2020</c:v>
                </c:pt>
                <c:pt idx="4">
                  <c:v>2021</c:v>
                </c:pt>
                <c:pt idx="5">
                  <c:v>2022</c:v>
                </c:pt>
                <c:pt idx="6">
                  <c:v>2023</c:v>
                </c:pt>
                <c:pt idx="7">
                  <c:v>2024</c:v>
                </c:pt>
              </c:strCache>
            </c:strRef>
          </c:cat>
          <c:val>
            <c:numRef>
              <c:f>'Table 4'!$B$7:$I$7</c:f>
              <c:numCache>
                <c:formatCode>0</c:formatCode>
                <c:ptCount val="8"/>
                <c:pt idx="0">
                  <c:v>13</c:v>
                </c:pt>
                <c:pt idx="1">
                  <c:v>16</c:v>
                </c:pt>
                <c:pt idx="2">
                  <c:v>11</c:v>
                </c:pt>
                <c:pt idx="3">
                  <c:v>6</c:v>
                </c:pt>
                <c:pt idx="4">
                  <c:v>8</c:v>
                </c:pt>
                <c:pt idx="5">
                  <c:v>18</c:v>
                </c:pt>
                <c:pt idx="6">
                  <c:v>12</c:v>
                </c:pt>
                <c:pt idx="7">
                  <c:v>13</c:v>
                </c:pt>
              </c:numCache>
            </c:numRef>
          </c:val>
          <c:extLst>
            <c:ext xmlns:c16="http://schemas.microsoft.com/office/drawing/2014/chart" uri="{C3380CC4-5D6E-409C-BE32-E72D297353CC}">
              <c16:uniqueId val="{00000001-7EC4-4884-B08D-7B5BA14ACC3A}"/>
            </c:ext>
          </c:extLst>
        </c:ser>
        <c:ser>
          <c:idx val="7"/>
          <c:order val="5"/>
          <c:tx>
            <c:strRef>
              <c:f>'Table 4'!$A$8</c:f>
              <c:strCache>
                <c:ptCount val="1"/>
                <c:pt idx="0">
                  <c:v>Other vehicle occupants</c:v>
                </c:pt>
              </c:strCache>
            </c:strRef>
          </c:tx>
          <c:spPr>
            <a:solidFill>
              <a:srgbClr val="117733"/>
            </a:solidFill>
            <a:ln>
              <a:noFill/>
            </a:ln>
            <a:effectLst/>
          </c:spPr>
          <c:invertIfNegative val="0"/>
          <c:cat>
            <c:strRef>
              <c:f>'Table 4'!$B$2:$I$2</c:f>
              <c:strCache>
                <c:ptCount val="8"/>
                <c:pt idx="0">
                  <c:v>2017</c:v>
                </c:pt>
                <c:pt idx="1">
                  <c:v>2018</c:v>
                </c:pt>
                <c:pt idx="2">
                  <c:v>2019</c:v>
                </c:pt>
                <c:pt idx="3">
                  <c:v>2020</c:v>
                </c:pt>
                <c:pt idx="4">
                  <c:v>2021</c:v>
                </c:pt>
                <c:pt idx="5">
                  <c:v>2022</c:v>
                </c:pt>
                <c:pt idx="6">
                  <c:v>2023</c:v>
                </c:pt>
                <c:pt idx="7">
                  <c:v>2024</c:v>
                </c:pt>
              </c:strCache>
            </c:strRef>
          </c:cat>
          <c:val>
            <c:numRef>
              <c:f>'Table 4'!$B$8:$I$8</c:f>
              <c:numCache>
                <c:formatCode>0</c:formatCode>
                <c:ptCount val="8"/>
                <c:pt idx="0">
                  <c:v>0</c:v>
                </c:pt>
                <c:pt idx="1">
                  <c:v>2</c:v>
                </c:pt>
                <c:pt idx="2">
                  <c:v>0</c:v>
                </c:pt>
                <c:pt idx="3">
                  <c:v>2</c:v>
                </c:pt>
                <c:pt idx="4">
                  <c:v>3</c:v>
                </c:pt>
                <c:pt idx="5">
                  <c:v>4</c:v>
                </c:pt>
                <c:pt idx="6">
                  <c:v>4</c:v>
                </c:pt>
                <c:pt idx="7">
                  <c:v>3</c:v>
                </c:pt>
              </c:numCache>
            </c:numRef>
          </c:val>
          <c:extLst>
            <c:ext xmlns:c16="http://schemas.microsoft.com/office/drawing/2014/chart" uri="{C3380CC4-5D6E-409C-BE32-E72D297353CC}">
              <c16:uniqueId val="{00000007-7EC4-4884-B08D-7B5BA14ACC3A}"/>
            </c:ext>
          </c:extLst>
        </c:ser>
        <c:ser>
          <c:idx val="6"/>
          <c:order val="6"/>
          <c:tx>
            <c:strRef>
              <c:f>'Table 4'!$A$9</c:f>
              <c:strCache>
                <c:ptCount val="1"/>
                <c:pt idx="0">
                  <c:v>Goods vehicle occupants</c:v>
                </c:pt>
              </c:strCache>
            </c:strRef>
          </c:tx>
          <c:spPr>
            <a:solidFill>
              <a:srgbClr val="DDCC77"/>
            </a:solidFill>
            <a:ln>
              <a:noFill/>
            </a:ln>
            <a:effectLst/>
          </c:spPr>
          <c:invertIfNegative val="0"/>
          <c:cat>
            <c:strRef>
              <c:f>'Table 4'!$B$2:$I$2</c:f>
              <c:strCache>
                <c:ptCount val="8"/>
                <c:pt idx="0">
                  <c:v>2017</c:v>
                </c:pt>
                <c:pt idx="1">
                  <c:v>2018</c:v>
                </c:pt>
                <c:pt idx="2">
                  <c:v>2019</c:v>
                </c:pt>
                <c:pt idx="3">
                  <c:v>2020</c:v>
                </c:pt>
                <c:pt idx="4">
                  <c:v>2021</c:v>
                </c:pt>
                <c:pt idx="5">
                  <c:v>2022</c:v>
                </c:pt>
                <c:pt idx="6">
                  <c:v>2023</c:v>
                </c:pt>
                <c:pt idx="7">
                  <c:v>2024</c:v>
                </c:pt>
              </c:strCache>
            </c:strRef>
          </c:cat>
          <c:val>
            <c:numRef>
              <c:f>'Table 4'!$B$9:$I$9</c:f>
              <c:numCache>
                <c:formatCode>0</c:formatCode>
                <c:ptCount val="8"/>
                <c:pt idx="0">
                  <c:v>0</c:v>
                </c:pt>
                <c:pt idx="1">
                  <c:v>0</c:v>
                </c:pt>
                <c:pt idx="2">
                  <c:v>0</c:v>
                </c:pt>
                <c:pt idx="3">
                  <c:v>0</c:v>
                </c:pt>
                <c:pt idx="4">
                  <c:v>1</c:v>
                </c:pt>
                <c:pt idx="5">
                  <c:v>2</c:v>
                </c:pt>
                <c:pt idx="6">
                  <c:v>0</c:v>
                </c:pt>
                <c:pt idx="7">
                  <c:v>0</c:v>
                </c:pt>
              </c:numCache>
            </c:numRef>
          </c:val>
          <c:extLst>
            <c:ext xmlns:c16="http://schemas.microsoft.com/office/drawing/2014/chart" uri="{C3380CC4-5D6E-409C-BE32-E72D297353CC}">
              <c16:uniqueId val="{00000006-7EC4-4884-B08D-7B5BA14ACC3A}"/>
            </c:ext>
          </c:extLst>
        </c:ser>
        <c:ser>
          <c:idx val="9"/>
          <c:order val="7"/>
          <c:tx>
            <c:strRef>
              <c:f>'Table 4'!$A$10</c:f>
              <c:strCache>
                <c:ptCount val="1"/>
                <c:pt idx="0">
                  <c:v>Private Hire vehicle occupants</c:v>
                </c:pt>
              </c:strCache>
            </c:strRef>
          </c:tx>
          <c:spPr>
            <a:solidFill>
              <a:schemeClr val="accent4">
                <a:lumMod val="60000"/>
              </a:schemeClr>
            </a:solidFill>
            <a:ln>
              <a:noFill/>
            </a:ln>
            <a:effectLst/>
          </c:spPr>
          <c:invertIfNegative val="0"/>
          <c:cat>
            <c:strRef>
              <c:f>'Table 4'!$B$2:$I$2</c:f>
              <c:strCache>
                <c:ptCount val="8"/>
                <c:pt idx="0">
                  <c:v>2017</c:v>
                </c:pt>
                <c:pt idx="1">
                  <c:v>2018</c:v>
                </c:pt>
                <c:pt idx="2">
                  <c:v>2019</c:v>
                </c:pt>
                <c:pt idx="3">
                  <c:v>2020</c:v>
                </c:pt>
                <c:pt idx="4">
                  <c:v>2021</c:v>
                </c:pt>
                <c:pt idx="5">
                  <c:v>2022</c:v>
                </c:pt>
                <c:pt idx="6">
                  <c:v>2023</c:v>
                </c:pt>
                <c:pt idx="7">
                  <c:v>2024</c:v>
                </c:pt>
              </c:strCache>
            </c:strRef>
          </c:cat>
          <c:val>
            <c:numRef>
              <c:f>'Table 4'!$B$10:$I$10</c:f>
              <c:numCache>
                <c:formatCode>0</c:formatCode>
                <c:ptCount val="8"/>
                <c:pt idx="0">
                  <c:v>0</c:v>
                </c:pt>
                <c:pt idx="1">
                  <c:v>0</c:v>
                </c:pt>
                <c:pt idx="2">
                  <c:v>0</c:v>
                </c:pt>
                <c:pt idx="3">
                  <c:v>1</c:v>
                </c:pt>
                <c:pt idx="4">
                  <c:v>0</c:v>
                </c:pt>
                <c:pt idx="5">
                  <c:v>1</c:v>
                </c:pt>
                <c:pt idx="6">
                  <c:v>2</c:v>
                </c:pt>
                <c:pt idx="7">
                  <c:v>0</c:v>
                </c:pt>
              </c:numCache>
            </c:numRef>
          </c:val>
          <c:extLst>
            <c:ext xmlns:c16="http://schemas.microsoft.com/office/drawing/2014/chart" uri="{C3380CC4-5D6E-409C-BE32-E72D297353CC}">
              <c16:uniqueId val="{00000000-CA56-4EF0-9E2D-9588E9D66914}"/>
            </c:ext>
          </c:extLst>
        </c:ser>
        <c:ser>
          <c:idx val="5"/>
          <c:order val="8"/>
          <c:tx>
            <c:strRef>
              <c:f>'Table 4'!$A$11</c:f>
              <c:strCache>
                <c:ptCount val="1"/>
                <c:pt idx="0">
                  <c:v>Taxi occupants</c:v>
                </c:pt>
              </c:strCache>
            </c:strRef>
          </c:tx>
          <c:spPr>
            <a:solidFill>
              <a:srgbClr val="CC6677"/>
            </a:solidFill>
            <a:ln>
              <a:noFill/>
            </a:ln>
            <a:effectLst/>
          </c:spPr>
          <c:invertIfNegative val="0"/>
          <c:cat>
            <c:strRef>
              <c:f>'Table 4'!$B$2:$I$2</c:f>
              <c:strCache>
                <c:ptCount val="8"/>
                <c:pt idx="0">
                  <c:v>2017</c:v>
                </c:pt>
                <c:pt idx="1">
                  <c:v>2018</c:v>
                </c:pt>
                <c:pt idx="2">
                  <c:v>2019</c:v>
                </c:pt>
                <c:pt idx="3">
                  <c:v>2020</c:v>
                </c:pt>
                <c:pt idx="4">
                  <c:v>2021</c:v>
                </c:pt>
                <c:pt idx="5">
                  <c:v>2022</c:v>
                </c:pt>
                <c:pt idx="6">
                  <c:v>2023</c:v>
                </c:pt>
                <c:pt idx="7">
                  <c:v>2024</c:v>
                </c:pt>
              </c:strCache>
            </c:strRef>
          </c:cat>
          <c:val>
            <c:numRef>
              <c:f>'Table 4'!$B$11:$I$11</c:f>
              <c:numCache>
                <c:formatCode>0</c:formatCode>
                <c:ptCount val="8"/>
                <c:pt idx="0">
                  <c:v>0</c:v>
                </c:pt>
                <c:pt idx="1">
                  <c:v>0</c:v>
                </c:pt>
                <c:pt idx="2">
                  <c:v>0</c:v>
                </c:pt>
                <c:pt idx="3">
                  <c:v>0</c:v>
                </c:pt>
                <c:pt idx="4">
                  <c:v>0</c:v>
                </c:pt>
                <c:pt idx="5">
                  <c:v>1</c:v>
                </c:pt>
                <c:pt idx="6">
                  <c:v>0</c:v>
                </c:pt>
                <c:pt idx="7">
                  <c:v>0</c:v>
                </c:pt>
              </c:numCache>
            </c:numRef>
          </c:val>
          <c:extLst>
            <c:ext xmlns:c16="http://schemas.microsoft.com/office/drawing/2014/chart" uri="{C3380CC4-5D6E-409C-BE32-E72D297353CC}">
              <c16:uniqueId val="{00000005-7EC4-4884-B08D-7B5BA14ACC3A}"/>
            </c:ext>
          </c:extLst>
        </c:ser>
        <c:dLbls>
          <c:showLegendKey val="0"/>
          <c:showVal val="0"/>
          <c:showCatName val="0"/>
          <c:showSerName val="0"/>
          <c:showPercent val="0"/>
          <c:showBubbleSize val="0"/>
        </c:dLbls>
        <c:gapWidth val="150"/>
        <c:overlap val="100"/>
        <c:axId val="769310792"/>
        <c:axId val="769315712"/>
      </c:barChart>
      <c:lineChart>
        <c:grouping val="standard"/>
        <c:varyColors val="0"/>
        <c:ser>
          <c:idx val="8"/>
          <c:order val="9"/>
          <c:tx>
            <c:strRef>
              <c:f>'Table 4'!$A$13</c:f>
              <c:strCache>
                <c:ptCount val="1"/>
                <c:pt idx="0">
                  <c:v>2010-14 average</c:v>
                </c:pt>
              </c:strCache>
            </c:strRef>
          </c:tx>
          <c:spPr>
            <a:ln w="28575" cap="rnd">
              <a:solidFill>
                <a:srgbClr val="521A13"/>
              </a:solidFill>
              <a:round/>
            </a:ln>
            <a:effectLst/>
          </c:spPr>
          <c:marker>
            <c:symbol val="none"/>
          </c:marker>
          <c:cat>
            <c:strRef>
              <c:f>'Table 4'!$B$2:$I$2</c:f>
              <c:strCache>
                <c:ptCount val="8"/>
                <c:pt idx="0">
                  <c:v>2017</c:v>
                </c:pt>
                <c:pt idx="1">
                  <c:v>2018</c:v>
                </c:pt>
                <c:pt idx="2">
                  <c:v>2019</c:v>
                </c:pt>
                <c:pt idx="3">
                  <c:v>2020</c:v>
                </c:pt>
                <c:pt idx="4">
                  <c:v>2021</c:v>
                </c:pt>
                <c:pt idx="5">
                  <c:v>2022</c:v>
                </c:pt>
                <c:pt idx="6">
                  <c:v>2023</c:v>
                </c:pt>
                <c:pt idx="7">
                  <c:v>2024</c:v>
                </c:pt>
              </c:strCache>
            </c:strRef>
          </c:cat>
          <c:val>
            <c:numRef>
              <c:f>'Table 4'!$B$13:$I$13</c:f>
              <c:numCache>
                <c:formatCode>0</c:formatCode>
                <c:ptCount val="8"/>
                <c:pt idx="0">
                  <c:v>374.8</c:v>
                </c:pt>
                <c:pt idx="1">
                  <c:v>374.8</c:v>
                </c:pt>
                <c:pt idx="2">
                  <c:v>374.8</c:v>
                </c:pt>
                <c:pt idx="3">
                  <c:v>374.8</c:v>
                </c:pt>
                <c:pt idx="4">
                  <c:v>374.8</c:v>
                </c:pt>
                <c:pt idx="5">
                  <c:v>374.8</c:v>
                </c:pt>
                <c:pt idx="6">
                  <c:v>374.8</c:v>
                </c:pt>
                <c:pt idx="7">
                  <c:v>374.8</c:v>
                </c:pt>
              </c:numCache>
            </c:numRef>
          </c:val>
          <c:smooth val="0"/>
          <c:extLst>
            <c:ext xmlns:c16="http://schemas.microsoft.com/office/drawing/2014/chart" uri="{C3380CC4-5D6E-409C-BE32-E72D297353CC}">
              <c16:uniqueId val="{00000009-7EC4-4884-B08D-7B5BA14ACC3A}"/>
            </c:ext>
          </c:extLst>
        </c:ser>
        <c:dLbls>
          <c:showLegendKey val="0"/>
          <c:showVal val="0"/>
          <c:showCatName val="0"/>
          <c:showSerName val="0"/>
          <c:showPercent val="0"/>
          <c:showBubbleSize val="0"/>
        </c:dLbls>
        <c:marker val="1"/>
        <c:smooth val="0"/>
        <c:axId val="769310792"/>
        <c:axId val="769315712"/>
      </c:lineChart>
      <c:catAx>
        <c:axId val="769310792"/>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sz="1100">
                    <a:solidFill>
                      <a:sysClr val="windowText" lastClr="000000"/>
                    </a:solidFill>
                  </a:rPr>
                  <a:t>Year</a:t>
                </a:r>
              </a:p>
            </c:rich>
          </c:tx>
          <c:layout>
            <c:manualLayout>
              <c:xMode val="edge"/>
              <c:yMode val="edge"/>
              <c:x val="0.47727697124717183"/>
              <c:y val="0.74833245614035093"/>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9315712"/>
        <c:crosses val="autoZero"/>
        <c:auto val="1"/>
        <c:lblAlgn val="ctr"/>
        <c:lblOffset val="100"/>
        <c:noMultiLvlLbl val="0"/>
      </c:catAx>
      <c:valAx>
        <c:axId val="769315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9310792"/>
        <c:crosses val="autoZero"/>
        <c:crossBetween val="between"/>
      </c:valAx>
      <c:spPr>
        <a:noFill/>
        <a:ln>
          <a:noFill/>
        </a:ln>
        <a:effectLst/>
      </c:spPr>
    </c:plotArea>
    <c:legend>
      <c:legendPos val="b"/>
      <c:layout>
        <c:manualLayout>
          <c:xMode val="edge"/>
          <c:yMode val="edge"/>
          <c:x val="5.4297854740155055E-2"/>
          <c:y val="0.79040116959064333"/>
          <c:w val="0.91779315158349828"/>
          <c:h val="0.20959883040935673"/>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795697765354497E-2"/>
          <c:y val="4.0847953216374272E-2"/>
          <c:w val="0.92392410015826232"/>
          <c:h val="0.78023370349080545"/>
        </c:manualLayout>
      </c:layout>
      <c:barChart>
        <c:barDir val="col"/>
        <c:grouping val="stacked"/>
        <c:varyColors val="0"/>
        <c:ser>
          <c:idx val="3"/>
          <c:order val="0"/>
          <c:tx>
            <c:strRef>
              <c:f>'Table 5'!$A$3</c:f>
              <c:strCache>
                <c:ptCount val="1"/>
                <c:pt idx="0">
                  <c:v>Pedestrians</c:v>
                </c:pt>
              </c:strCache>
            </c:strRef>
          </c:tx>
          <c:spPr>
            <a:solidFill>
              <a:srgbClr val="AA4499"/>
            </a:solidFill>
            <a:ln>
              <a:noFill/>
            </a:ln>
            <a:effectLst/>
          </c:spPr>
          <c:invertIfNegative val="0"/>
          <c:cat>
            <c:strRef>
              <c:extLst>
                <c:ext xmlns:c15="http://schemas.microsoft.com/office/drawing/2012/chart" uri="{02D57815-91ED-43cb-92C2-25804820EDAC}">
                  <c15:fullRef>
                    <c15:sqref>'Table 5'!$B$2:$Q$2</c15:sqref>
                  </c15:fullRef>
                </c:ext>
              </c:extLst>
              <c:f>'Table 5'!$G$2:$Q$2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5'!$B$3:$Q$3</c15:sqref>
                  </c15:fullRef>
                </c:ext>
              </c:extLst>
              <c:f>'Table 5'!$G$3:$Q$3</c:f>
              <c:numCache>
                <c:formatCode>General</c:formatCode>
                <c:ptCount val="11"/>
                <c:pt idx="0">
                  <c:v>66.599999999999994</c:v>
                </c:pt>
                <c:pt idx="1">
                  <c:v>66</c:v>
                </c:pt>
                <c:pt idx="2">
                  <c:v>61</c:v>
                </c:pt>
                <c:pt idx="3">
                  <c:v>73</c:v>
                </c:pt>
                <c:pt idx="4">
                  <c:v>57</c:v>
                </c:pt>
                <c:pt idx="5">
                  <c:v>68</c:v>
                </c:pt>
                <c:pt idx="6">
                  <c:v>45</c:v>
                </c:pt>
                <c:pt idx="7">
                  <c:v>36</c:v>
                </c:pt>
                <c:pt idx="8">
                  <c:v>41</c:v>
                </c:pt>
                <c:pt idx="9">
                  <c:v>49</c:v>
                </c:pt>
                <c:pt idx="10">
                  <c:v>61</c:v>
                </c:pt>
              </c:numCache>
            </c:numRef>
          </c:val>
          <c:extLst>
            <c:ext xmlns:c16="http://schemas.microsoft.com/office/drawing/2014/chart" uri="{C3380CC4-5D6E-409C-BE32-E72D297353CC}">
              <c16:uniqueId val="{00000000-EE0D-4B1B-8187-C131334561A6}"/>
            </c:ext>
          </c:extLst>
        </c:ser>
        <c:ser>
          <c:idx val="2"/>
          <c:order val="1"/>
          <c:tx>
            <c:strRef>
              <c:f>'Table 5'!$A$4</c:f>
              <c:strCache>
                <c:ptCount val="1"/>
                <c:pt idx="0">
                  <c:v>Pedal cyclists</c:v>
                </c:pt>
              </c:strCache>
            </c:strRef>
          </c:tx>
          <c:spPr>
            <a:solidFill>
              <a:srgbClr val="999933"/>
            </a:solidFill>
            <a:ln>
              <a:noFill/>
            </a:ln>
            <a:effectLst/>
          </c:spPr>
          <c:invertIfNegative val="0"/>
          <c:cat>
            <c:strRef>
              <c:extLst>
                <c:ext xmlns:c15="http://schemas.microsoft.com/office/drawing/2012/chart" uri="{02D57815-91ED-43cb-92C2-25804820EDAC}">
                  <c15:fullRef>
                    <c15:sqref>'Table 5'!$B$2:$Q$2</c15:sqref>
                  </c15:fullRef>
                </c:ext>
              </c:extLst>
              <c:f>'Table 5'!$G$2:$Q$2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5'!$B$4:$Q$4</c15:sqref>
                  </c15:fullRef>
                </c:ext>
              </c:extLst>
              <c:f>'Table 5'!$G$4:$Q$4</c:f>
              <c:numCache>
                <c:formatCode>General</c:formatCode>
                <c:ptCount val="11"/>
                <c:pt idx="0">
                  <c:v>13.4</c:v>
                </c:pt>
                <c:pt idx="1">
                  <c:v>9</c:v>
                </c:pt>
                <c:pt idx="2">
                  <c:v>8</c:v>
                </c:pt>
                <c:pt idx="3">
                  <c:v>10</c:v>
                </c:pt>
                <c:pt idx="4">
                  <c:v>12</c:v>
                </c:pt>
                <c:pt idx="5">
                  <c:v>5</c:v>
                </c:pt>
                <c:pt idx="6">
                  <c:v>6</c:v>
                </c:pt>
                <c:pt idx="7">
                  <c:v>10</c:v>
                </c:pt>
                <c:pt idx="8">
                  <c:v>7</c:v>
                </c:pt>
                <c:pt idx="9">
                  <c:v>8</c:v>
                </c:pt>
                <c:pt idx="10">
                  <c:v>9</c:v>
                </c:pt>
              </c:numCache>
            </c:numRef>
          </c:val>
          <c:extLst>
            <c:ext xmlns:c16="http://schemas.microsoft.com/office/drawing/2014/chart" uri="{C3380CC4-5D6E-409C-BE32-E72D297353CC}">
              <c16:uniqueId val="{00000001-EE0D-4B1B-8187-C131334561A6}"/>
            </c:ext>
          </c:extLst>
        </c:ser>
        <c:ser>
          <c:idx val="4"/>
          <c:order val="2"/>
          <c:tx>
            <c:strRef>
              <c:f>'Table 5'!$A$5</c:f>
              <c:strCache>
                <c:ptCount val="1"/>
                <c:pt idx="0">
                  <c:v>Motorcycle users</c:v>
                </c:pt>
              </c:strCache>
            </c:strRef>
          </c:tx>
          <c:spPr>
            <a:solidFill>
              <a:srgbClr val="44AA99"/>
            </a:solidFill>
            <a:ln>
              <a:noFill/>
            </a:ln>
            <a:effectLst/>
          </c:spPr>
          <c:invertIfNegative val="0"/>
          <c:cat>
            <c:strRef>
              <c:extLst>
                <c:ext xmlns:c15="http://schemas.microsoft.com/office/drawing/2012/chart" uri="{02D57815-91ED-43cb-92C2-25804820EDAC}">
                  <c15:fullRef>
                    <c15:sqref>'Table 5'!$B$2:$Q$2</c15:sqref>
                  </c15:fullRef>
                </c:ext>
              </c:extLst>
              <c:f>'Table 5'!$G$2:$Q$2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5'!$B$5:$Q$5</c15:sqref>
                  </c15:fullRef>
                </c:ext>
              </c:extLst>
              <c:f>'Table 5'!$G$5:$Q$5</c:f>
              <c:numCache>
                <c:formatCode>General</c:formatCode>
                <c:ptCount val="11"/>
                <c:pt idx="0">
                  <c:v>26.8</c:v>
                </c:pt>
                <c:pt idx="1">
                  <c:v>36</c:v>
                </c:pt>
                <c:pt idx="2">
                  <c:v>33</c:v>
                </c:pt>
                <c:pt idx="3">
                  <c:v>31</c:v>
                </c:pt>
                <c:pt idx="4">
                  <c:v>22</c:v>
                </c:pt>
                <c:pt idx="5">
                  <c:v>31</c:v>
                </c:pt>
                <c:pt idx="6">
                  <c:v>31</c:v>
                </c:pt>
                <c:pt idx="7">
                  <c:v>14</c:v>
                </c:pt>
                <c:pt idx="8">
                  <c:v>21</c:v>
                </c:pt>
                <c:pt idx="9">
                  <c:v>21</c:v>
                </c:pt>
                <c:pt idx="10">
                  <c:v>18</c:v>
                </c:pt>
              </c:numCache>
            </c:numRef>
          </c:val>
          <c:extLst>
            <c:ext xmlns:c16="http://schemas.microsoft.com/office/drawing/2014/chart" uri="{C3380CC4-5D6E-409C-BE32-E72D297353CC}">
              <c16:uniqueId val="{00000002-EE0D-4B1B-8187-C131334561A6}"/>
            </c:ext>
          </c:extLst>
        </c:ser>
        <c:ser>
          <c:idx val="1"/>
          <c:order val="3"/>
          <c:tx>
            <c:strRef>
              <c:f>'Table 5'!$A$6</c:f>
              <c:strCache>
                <c:ptCount val="1"/>
                <c:pt idx="0">
                  <c:v>Car occupants</c:v>
                </c:pt>
              </c:strCache>
            </c:strRef>
          </c:tx>
          <c:spPr>
            <a:solidFill>
              <a:srgbClr val="882255"/>
            </a:solidFill>
            <a:ln>
              <a:noFill/>
            </a:ln>
            <a:effectLst/>
          </c:spPr>
          <c:invertIfNegative val="0"/>
          <c:cat>
            <c:strRef>
              <c:extLst>
                <c:ext xmlns:c15="http://schemas.microsoft.com/office/drawing/2012/chart" uri="{02D57815-91ED-43cb-92C2-25804820EDAC}">
                  <c15:fullRef>
                    <c15:sqref>'Table 5'!$B$2:$Q$2</c15:sqref>
                  </c15:fullRef>
                </c:ext>
              </c:extLst>
              <c:f>'Table 5'!$G$2:$Q$2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5'!$B$6:$Q$6</c15:sqref>
                  </c15:fullRef>
                </c:ext>
              </c:extLst>
              <c:f>'Table 5'!$G$6:$Q$6</c:f>
              <c:numCache>
                <c:formatCode>General</c:formatCode>
                <c:ptCount val="11"/>
                <c:pt idx="0">
                  <c:v>24.4</c:v>
                </c:pt>
                <c:pt idx="1">
                  <c:v>20</c:v>
                </c:pt>
                <c:pt idx="2">
                  <c:v>10</c:v>
                </c:pt>
                <c:pt idx="3">
                  <c:v>14</c:v>
                </c:pt>
                <c:pt idx="4">
                  <c:v>16</c:v>
                </c:pt>
                <c:pt idx="5">
                  <c:v>17</c:v>
                </c:pt>
                <c:pt idx="6">
                  <c:v>11</c:v>
                </c:pt>
                <c:pt idx="7">
                  <c:v>10</c:v>
                </c:pt>
                <c:pt idx="8">
                  <c:v>25</c:v>
                </c:pt>
                <c:pt idx="9">
                  <c:v>16</c:v>
                </c:pt>
                <c:pt idx="10">
                  <c:v>18</c:v>
                </c:pt>
              </c:numCache>
            </c:numRef>
          </c:val>
          <c:extLst>
            <c:ext xmlns:c16="http://schemas.microsoft.com/office/drawing/2014/chart" uri="{C3380CC4-5D6E-409C-BE32-E72D297353CC}">
              <c16:uniqueId val="{00000003-EE0D-4B1B-8187-C131334561A6}"/>
            </c:ext>
          </c:extLst>
        </c:ser>
        <c:ser>
          <c:idx val="7"/>
          <c:order val="4"/>
          <c:tx>
            <c:strRef>
              <c:f>'Table 5'!$A$7</c:f>
              <c:strCache>
                <c:ptCount val="1"/>
                <c:pt idx="0">
                  <c:v>Bus or coach occupants</c:v>
                </c:pt>
              </c:strCache>
            </c:strRef>
          </c:tx>
          <c:spPr>
            <a:solidFill>
              <a:srgbClr val="88CCEE"/>
            </a:solidFill>
            <a:ln>
              <a:noFill/>
            </a:ln>
            <a:effectLst/>
          </c:spPr>
          <c:invertIfNegative val="0"/>
          <c:cat>
            <c:strRef>
              <c:extLst>
                <c:ext xmlns:c15="http://schemas.microsoft.com/office/drawing/2012/chart" uri="{02D57815-91ED-43cb-92C2-25804820EDAC}">
                  <c15:fullRef>
                    <c15:sqref>'Table 5'!$B$2:$Q$2</c15:sqref>
                  </c15:fullRef>
                </c:ext>
              </c:extLst>
              <c:f>'Table 5'!$G$2:$Q$2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5'!$B$7:$Q$7</c15:sqref>
                  </c15:fullRef>
                </c:ext>
              </c:extLst>
              <c:f>'Table 5'!$G$7:$Q$7</c:f>
              <c:numCache>
                <c:formatCode>General</c:formatCode>
                <c:ptCount val="11"/>
                <c:pt idx="0">
                  <c:v>0.8</c:v>
                </c:pt>
                <c:pt idx="1">
                  <c:v>1</c:v>
                </c:pt>
                <c:pt idx="2">
                  <c:v>1</c:v>
                </c:pt>
                <c:pt idx="3">
                  <c:v>2</c:v>
                </c:pt>
                <c:pt idx="4">
                  <c:v>1</c:v>
                </c:pt>
                <c:pt idx="5">
                  <c:v>2</c:v>
                </c:pt>
                <c:pt idx="6">
                  <c:v>2</c:v>
                </c:pt>
                <c:pt idx="7">
                  <c:v>1</c:v>
                </c:pt>
                <c:pt idx="8">
                  <c:v>2</c:v>
                </c:pt>
                <c:pt idx="9">
                  <c:v>0</c:v>
                </c:pt>
                <c:pt idx="10">
                  <c:v>2</c:v>
                </c:pt>
              </c:numCache>
            </c:numRef>
          </c:val>
          <c:extLst>
            <c:ext xmlns:c16="http://schemas.microsoft.com/office/drawing/2014/chart" uri="{C3380CC4-5D6E-409C-BE32-E72D297353CC}">
              <c16:uniqueId val="{00000004-EE0D-4B1B-8187-C131334561A6}"/>
            </c:ext>
          </c:extLst>
        </c:ser>
        <c:ser>
          <c:idx val="8"/>
          <c:order val="5"/>
          <c:tx>
            <c:strRef>
              <c:f>'Table 5'!$A$8</c:f>
              <c:strCache>
                <c:ptCount val="1"/>
                <c:pt idx="0">
                  <c:v>Other vehicle occupants</c:v>
                </c:pt>
              </c:strCache>
            </c:strRef>
          </c:tx>
          <c:spPr>
            <a:solidFill>
              <a:srgbClr val="117733"/>
            </a:solidFill>
            <a:ln>
              <a:noFill/>
            </a:ln>
            <a:effectLst/>
          </c:spPr>
          <c:invertIfNegative val="0"/>
          <c:cat>
            <c:strRef>
              <c:extLst>
                <c:ext xmlns:c15="http://schemas.microsoft.com/office/drawing/2012/chart" uri="{02D57815-91ED-43cb-92C2-25804820EDAC}">
                  <c15:fullRef>
                    <c15:sqref>'Table 5'!$B$2:$Q$2</c15:sqref>
                  </c15:fullRef>
                </c:ext>
              </c:extLst>
              <c:f>'Table 5'!$G$2:$Q$2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5'!$B$8:$Q$8</c15:sqref>
                  </c15:fullRef>
                </c:ext>
              </c:extLst>
              <c:f>'Table 5'!$G$8:$Q$8</c:f>
              <c:numCache>
                <c:formatCode>General</c:formatCode>
                <c:ptCount val="11"/>
                <c:pt idx="0">
                  <c:v>1.4</c:v>
                </c:pt>
                <c:pt idx="1">
                  <c:v>2</c:v>
                </c:pt>
                <c:pt idx="2">
                  <c:v>2</c:v>
                </c:pt>
                <c:pt idx="3">
                  <c:v>0</c:v>
                </c:pt>
                <c:pt idx="4">
                  <c:v>2</c:v>
                </c:pt>
                <c:pt idx="5">
                  <c:v>2</c:v>
                </c:pt>
                <c:pt idx="6">
                  <c:v>0</c:v>
                </c:pt>
                <c:pt idx="7">
                  <c:v>3</c:v>
                </c:pt>
                <c:pt idx="8">
                  <c:v>4</c:v>
                </c:pt>
                <c:pt idx="9">
                  <c:v>0</c:v>
                </c:pt>
                <c:pt idx="10">
                  <c:v>1</c:v>
                </c:pt>
              </c:numCache>
            </c:numRef>
          </c:val>
          <c:extLst>
            <c:ext xmlns:c16="http://schemas.microsoft.com/office/drawing/2014/chart" uri="{C3380CC4-5D6E-409C-BE32-E72D297353CC}">
              <c16:uniqueId val="{00000005-EE0D-4B1B-8187-C131334561A6}"/>
            </c:ext>
          </c:extLst>
        </c:ser>
        <c:ser>
          <c:idx val="6"/>
          <c:order val="6"/>
          <c:tx>
            <c:strRef>
              <c:f>'Table 5'!$A$9</c:f>
              <c:strCache>
                <c:ptCount val="1"/>
                <c:pt idx="0">
                  <c:v>Goods vehicle occupants</c:v>
                </c:pt>
              </c:strCache>
            </c:strRef>
          </c:tx>
          <c:spPr>
            <a:solidFill>
              <a:srgbClr val="DDCC77"/>
            </a:solidFill>
            <a:ln>
              <a:noFill/>
            </a:ln>
            <a:effectLst/>
          </c:spPr>
          <c:invertIfNegative val="0"/>
          <c:cat>
            <c:strRef>
              <c:extLst>
                <c:ext xmlns:c15="http://schemas.microsoft.com/office/drawing/2012/chart" uri="{02D57815-91ED-43cb-92C2-25804820EDAC}">
                  <c15:fullRef>
                    <c15:sqref>'Table 5'!$B$2:$Q$2</c15:sqref>
                  </c15:fullRef>
                </c:ext>
              </c:extLst>
              <c:f>'Table 5'!$G$2:$Q$2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5'!$B$9:$Q$9</c15:sqref>
                  </c15:fullRef>
                </c:ext>
              </c:extLst>
              <c:f>'Table 5'!$G$9:$Q$9</c:f>
              <c:numCache>
                <c:formatCode>General</c:formatCode>
                <c:ptCount val="11"/>
                <c:pt idx="0">
                  <c:v>1.4</c:v>
                </c:pt>
                <c:pt idx="1">
                  <c:v>1</c:v>
                </c:pt>
                <c:pt idx="2">
                  <c:v>1</c:v>
                </c:pt>
                <c:pt idx="3">
                  <c:v>1</c:v>
                </c:pt>
                <c:pt idx="4">
                  <c:v>0</c:v>
                </c:pt>
                <c:pt idx="5">
                  <c:v>0</c:v>
                </c:pt>
                <c:pt idx="6">
                  <c:v>0</c:v>
                </c:pt>
                <c:pt idx="7">
                  <c:v>1</c:v>
                </c:pt>
                <c:pt idx="8">
                  <c:v>1</c:v>
                </c:pt>
                <c:pt idx="9">
                  <c:v>0</c:v>
                </c:pt>
                <c:pt idx="10">
                  <c:v>1</c:v>
                </c:pt>
              </c:numCache>
            </c:numRef>
          </c:val>
          <c:extLst>
            <c:ext xmlns:c16="http://schemas.microsoft.com/office/drawing/2014/chart" uri="{C3380CC4-5D6E-409C-BE32-E72D297353CC}">
              <c16:uniqueId val="{00000006-EE0D-4B1B-8187-C131334561A6}"/>
            </c:ext>
          </c:extLst>
        </c:ser>
        <c:ser>
          <c:idx val="0"/>
          <c:order val="7"/>
          <c:tx>
            <c:strRef>
              <c:f>'Table 5'!$A$10</c:f>
              <c:strCache>
                <c:ptCount val="1"/>
                <c:pt idx="0">
                  <c:v>Private hire vehicle occupants*</c:v>
                </c:pt>
              </c:strCache>
            </c:strRef>
          </c:tx>
          <c:spPr>
            <a:solidFill>
              <a:srgbClr val="332288"/>
            </a:solidFill>
            <a:ln>
              <a:noFill/>
            </a:ln>
            <a:effectLst/>
          </c:spPr>
          <c:invertIfNegative val="0"/>
          <c:cat>
            <c:strRef>
              <c:extLst>
                <c:ext xmlns:c15="http://schemas.microsoft.com/office/drawing/2012/chart" uri="{02D57815-91ED-43cb-92C2-25804820EDAC}">
                  <c15:fullRef>
                    <c15:sqref>'Table 5'!$B$2:$Q$2</c15:sqref>
                  </c15:fullRef>
                </c:ext>
              </c:extLst>
              <c:f>'Table 5'!$G$2:$Q$2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5'!$B$10:$Q$10</c15:sqref>
                  </c15:fullRef>
                </c:ext>
              </c:extLst>
              <c:f>'Table 5'!$G$10:$Q$10</c:f>
              <c:numCache>
                <c:formatCode>General</c:formatCode>
                <c:ptCount val="11"/>
                <c:pt idx="0">
                  <c:v>0</c:v>
                </c:pt>
                <c:pt idx="1">
                  <c:v>0</c:v>
                </c:pt>
                <c:pt idx="2">
                  <c:v>0</c:v>
                </c:pt>
                <c:pt idx="3">
                  <c:v>0</c:v>
                </c:pt>
                <c:pt idx="4">
                  <c:v>0</c:v>
                </c:pt>
                <c:pt idx="5">
                  <c:v>0</c:v>
                </c:pt>
                <c:pt idx="6">
                  <c:v>1</c:v>
                </c:pt>
                <c:pt idx="7">
                  <c:v>0</c:v>
                </c:pt>
                <c:pt idx="8">
                  <c:v>1</c:v>
                </c:pt>
                <c:pt idx="9">
                  <c:v>0</c:v>
                </c:pt>
                <c:pt idx="10">
                  <c:v>0</c:v>
                </c:pt>
              </c:numCache>
            </c:numRef>
          </c:val>
          <c:extLst>
            <c:ext xmlns:c16="http://schemas.microsoft.com/office/drawing/2014/chart" uri="{C3380CC4-5D6E-409C-BE32-E72D297353CC}">
              <c16:uniqueId val="{00000007-EE0D-4B1B-8187-C131334561A6}"/>
            </c:ext>
          </c:extLst>
        </c:ser>
        <c:ser>
          <c:idx val="5"/>
          <c:order val="8"/>
          <c:tx>
            <c:strRef>
              <c:f>'Table 5'!$A$11</c:f>
              <c:strCache>
                <c:ptCount val="1"/>
                <c:pt idx="0">
                  <c:v>Taxi occupants</c:v>
                </c:pt>
              </c:strCache>
            </c:strRef>
          </c:tx>
          <c:spPr>
            <a:solidFill>
              <a:srgbClr val="CC6677"/>
            </a:solidFill>
            <a:ln>
              <a:noFill/>
            </a:ln>
            <a:effectLst/>
          </c:spPr>
          <c:invertIfNegative val="0"/>
          <c:cat>
            <c:strRef>
              <c:extLst>
                <c:ext xmlns:c15="http://schemas.microsoft.com/office/drawing/2012/chart" uri="{02D57815-91ED-43cb-92C2-25804820EDAC}">
                  <c15:fullRef>
                    <c15:sqref>'Table 5'!$B$2:$Q$2</c15:sqref>
                  </c15:fullRef>
                </c:ext>
              </c:extLst>
              <c:f>'Table 5'!$G$2:$Q$2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5'!$B$11:$Q$11</c15:sqref>
                  </c15:fullRef>
                </c:ext>
              </c:extLst>
              <c:f>'Table 5'!$G$11:$Q$11</c:f>
              <c:numCache>
                <c:formatCode>General</c:formatCode>
                <c:ptCount val="11"/>
                <c:pt idx="0">
                  <c:v>0.8</c:v>
                </c:pt>
                <c:pt idx="1">
                  <c:v>1</c:v>
                </c:pt>
                <c:pt idx="2">
                  <c:v>0</c:v>
                </c:pt>
                <c:pt idx="3">
                  <c:v>0</c:v>
                </c:pt>
                <c:pt idx="4">
                  <c:v>2</c:v>
                </c:pt>
                <c:pt idx="5">
                  <c:v>0</c:v>
                </c:pt>
                <c:pt idx="6">
                  <c:v>0</c:v>
                </c:pt>
                <c:pt idx="7">
                  <c:v>0</c:v>
                </c:pt>
                <c:pt idx="8">
                  <c:v>0</c:v>
                </c:pt>
                <c:pt idx="9">
                  <c:v>1</c:v>
                </c:pt>
                <c:pt idx="10">
                  <c:v>0</c:v>
                </c:pt>
              </c:numCache>
            </c:numRef>
          </c:val>
          <c:extLst>
            <c:ext xmlns:c16="http://schemas.microsoft.com/office/drawing/2014/chart" uri="{C3380CC4-5D6E-409C-BE32-E72D297353CC}">
              <c16:uniqueId val="{00000008-EE0D-4B1B-8187-C131334561A6}"/>
            </c:ext>
          </c:extLst>
        </c:ser>
        <c:dLbls>
          <c:showLegendKey val="0"/>
          <c:showVal val="0"/>
          <c:showCatName val="0"/>
          <c:showSerName val="0"/>
          <c:showPercent val="0"/>
          <c:showBubbleSize val="0"/>
        </c:dLbls>
        <c:gapWidth val="150"/>
        <c:overlap val="100"/>
        <c:axId val="833245088"/>
        <c:axId val="833247608"/>
      </c:barChart>
      <c:lineChart>
        <c:grouping val="standard"/>
        <c:varyColors val="0"/>
        <c:ser>
          <c:idx val="10"/>
          <c:order val="10"/>
          <c:tx>
            <c:strRef>
              <c:f>'Table 5'!$A$13</c:f>
              <c:strCache>
                <c:ptCount val="1"/>
                <c:pt idx="0">
                  <c:v>2010-14 average</c:v>
                </c:pt>
              </c:strCache>
            </c:strRef>
          </c:tx>
          <c:spPr>
            <a:ln w="28575" cap="rnd">
              <a:solidFill>
                <a:srgbClr val="521A13"/>
              </a:solidFill>
              <a:round/>
            </a:ln>
            <a:effectLst/>
          </c:spPr>
          <c:marker>
            <c:symbol val="none"/>
          </c:marker>
          <c:cat>
            <c:strRef>
              <c:extLst>
                <c:ext xmlns:c15="http://schemas.microsoft.com/office/drawing/2012/chart" uri="{02D57815-91ED-43cb-92C2-25804820EDAC}">
                  <c15:fullRef>
                    <c15:sqref>'Table 5'!$B$2:$Q$2</c15:sqref>
                  </c15:fullRef>
                </c:ext>
              </c:extLst>
              <c:f>'Table 5'!$G$2:$Q$2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5'!$B$13:$Q$13</c15:sqref>
                  </c15:fullRef>
                </c:ext>
              </c:extLst>
              <c:f>'Table 5'!$G$13:$Q$13</c:f>
              <c:numCache>
                <c:formatCode>0</c:formatCode>
                <c:ptCount val="11"/>
                <c:pt idx="0">
                  <c:v>135.6</c:v>
                </c:pt>
                <c:pt idx="1">
                  <c:v>135.6</c:v>
                </c:pt>
                <c:pt idx="2">
                  <c:v>135.6</c:v>
                </c:pt>
                <c:pt idx="3">
                  <c:v>135.6</c:v>
                </c:pt>
                <c:pt idx="4">
                  <c:v>135.6</c:v>
                </c:pt>
                <c:pt idx="5">
                  <c:v>135.6</c:v>
                </c:pt>
                <c:pt idx="6">
                  <c:v>135.6</c:v>
                </c:pt>
                <c:pt idx="7">
                  <c:v>135.6</c:v>
                </c:pt>
                <c:pt idx="8">
                  <c:v>135.6</c:v>
                </c:pt>
                <c:pt idx="9">
                  <c:v>135.6</c:v>
                </c:pt>
                <c:pt idx="10">
                  <c:v>135.6</c:v>
                </c:pt>
              </c:numCache>
            </c:numRef>
          </c:val>
          <c:smooth val="0"/>
          <c:extLst>
            <c:ext xmlns:c16="http://schemas.microsoft.com/office/drawing/2014/chart" uri="{C3380CC4-5D6E-409C-BE32-E72D297353CC}">
              <c16:uniqueId val="{00000009-EE0D-4B1B-8187-C131334561A6}"/>
            </c:ext>
          </c:extLst>
        </c:ser>
        <c:dLbls>
          <c:showLegendKey val="0"/>
          <c:showVal val="0"/>
          <c:showCatName val="0"/>
          <c:showSerName val="0"/>
          <c:showPercent val="0"/>
          <c:showBubbleSize val="0"/>
        </c:dLbls>
        <c:marker val="1"/>
        <c:smooth val="0"/>
        <c:axId val="833245088"/>
        <c:axId val="833247608"/>
        <c:extLst>
          <c:ext xmlns:c15="http://schemas.microsoft.com/office/drawing/2012/chart" uri="{02D57815-91ED-43cb-92C2-25804820EDAC}">
            <c15:filteredLineSeries>
              <c15:ser>
                <c:idx val="9"/>
                <c:order val="9"/>
                <c:tx>
                  <c:strRef>
                    <c:extLst>
                      <c:ext uri="{02D57815-91ED-43cb-92C2-25804820EDAC}">
                        <c15:formulaRef>
                          <c15:sqref>'Table 5'!$A$12</c15:sqref>
                        </c15:formulaRef>
                      </c:ext>
                    </c:extLst>
                    <c:strCache>
                      <c:ptCount val="1"/>
                      <c:pt idx="0">
                        <c:v>Total</c:v>
                      </c:pt>
                    </c:strCache>
                  </c:strRef>
                </c:tx>
                <c:spPr>
                  <a:ln w="28575" cap="rnd">
                    <a:solidFill>
                      <a:schemeClr val="accent4">
                        <a:lumMod val="60000"/>
                      </a:schemeClr>
                    </a:solidFill>
                    <a:round/>
                  </a:ln>
                  <a:effectLst/>
                </c:spPr>
                <c:marker>
                  <c:symbol val="none"/>
                </c:marker>
                <c:cat>
                  <c:strRef>
                    <c:extLst>
                      <c:ext uri="{02D57815-91ED-43cb-92C2-25804820EDAC}">
                        <c15:fullRef>
                          <c15:sqref>'Table 5'!$B$2:$Q$2</c15:sqref>
                        </c15:fullRef>
                        <c15:formulaRef>
                          <c15:sqref>'Table 5'!$G$2:$Q$2</c15:sqref>
                        </c15:formulaRef>
                      </c:ext>
                    </c:extLst>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uri="{02D57815-91ED-43cb-92C2-25804820EDAC}">
                        <c15:fullRef>
                          <c15:sqref>'Table 5'!$B$12:$Q$12</c15:sqref>
                        </c15:fullRef>
                        <c15:formulaRef>
                          <c15:sqref>'Table 5'!$G$12:$Q$12</c15:sqref>
                        </c15:formulaRef>
                      </c:ext>
                    </c:extLst>
                    <c:numCache>
                      <c:formatCode>General</c:formatCode>
                      <c:ptCount val="11"/>
                      <c:pt idx="0">
                        <c:v>135.6</c:v>
                      </c:pt>
                      <c:pt idx="1">
                        <c:v>136</c:v>
                      </c:pt>
                      <c:pt idx="2">
                        <c:v>116</c:v>
                      </c:pt>
                      <c:pt idx="3">
                        <c:v>131</c:v>
                      </c:pt>
                      <c:pt idx="4">
                        <c:v>112</c:v>
                      </c:pt>
                      <c:pt idx="5">
                        <c:v>125</c:v>
                      </c:pt>
                      <c:pt idx="6">
                        <c:v>96</c:v>
                      </c:pt>
                      <c:pt idx="7">
                        <c:v>75</c:v>
                      </c:pt>
                      <c:pt idx="8">
                        <c:v>102</c:v>
                      </c:pt>
                      <c:pt idx="9">
                        <c:v>95</c:v>
                      </c:pt>
                      <c:pt idx="10">
                        <c:v>110</c:v>
                      </c:pt>
                    </c:numCache>
                  </c:numRef>
                </c:val>
                <c:smooth val="0"/>
                <c:extLst>
                  <c:ext xmlns:c16="http://schemas.microsoft.com/office/drawing/2014/chart" uri="{C3380CC4-5D6E-409C-BE32-E72D297353CC}">
                    <c16:uniqueId val="{0000000A-EE0D-4B1B-8187-C131334561A6}"/>
                  </c:ext>
                </c:extLst>
              </c15:ser>
            </c15:filteredLineSeries>
          </c:ext>
        </c:extLst>
      </c:lineChart>
      <c:catAx>
        <c:axId val="833245088"/>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sz="1100">
                    <a:solidFill>
                      <a:sysClr val="windowText" lastClr="000000"/>
                    </a:solidFill>
                  </a:rPr>
                  <a:t>Year</a:t>
                </a:r>
              </a:p>
            </c:rich>
          </c:tx>
          <c:layout>
            <c:manualLayout>
              <c:xMode val="edge"/>
              <c:yMode val="edge"/>
              <c:x val="0.48139925341602885"/>
              <c:y val="0.86798980365483058"/>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33247608"/>
        <c:crosses val="autoZero"/>
        <c:auto val="1"/>
        <c:lblAlgn val="ctr"/>
        <c:lblOffset val="100"/>
        <c:noMultiLvlLbl val="0"/>
      </c:catAx>
      <c:valAx>
        <c:axId val="833247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33245088"/>
        <c:crosses val="autoZero"/>
        <c:crossBetween val="between"/>
      </c:valAx>
      <c:spPr>
        <a:noFill/>
        <a:ln>
          <a:noFill/>
        </a:ln>
        <a:effectLst/>
      </c:spPr>
    </c:plotArea>
    <c:legend>
      <c:legendPos val="b"/>
      <c:layout>
        <c:manualLayout>
          <c:xMode val="edge"/>
          <c:yMode val="edge"/>
          <c:x val="2.6611797031757971E-2"/>
          <c:y val="0.90317607303884007"/>
          <c:w val="0.94967711684790201"/>
          <c:h val="9.6823926961159823E-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986115527683899E-2"/>
          <c:y val="5.2733625730994153E-2"/>
          <c:w val="0.92497975566286805"/>
          <c:h val="0.78705508610456609"/>
        </c:manualLayout>
      </c:layout>
      <c:barChart>
        <c:barDir val="col"/>
        <c:grouping val="stacked"/>
        <c:varyColors val="0"/>
        <c:ser>
          <c:idx val="0"/>
          <c:order val="0"/>
          <c:tx>
            <c:strRef>
              <c:f>'Table 6'!$A$3</c:f>
              <c:strCache>
                <c:ptCount val="1"/>
                <c:pt idx="0">
                  <c:v>Pedestrians</c:v>
                </c:pt>
              </c:strCache>
            </c:strRef>
          </c:tx>
          <c:spPr>
            <a:solidFill>
              <a:srgbClr val="AA4499"/>
            </a:solidFill>
            <a:ln>
              <a:noFill/>
            </a:ln>
            <a:effectLst/>
          </c:spPr>
          <c:invertIfNegative val="0"/>
          <c:cat>
            <c:strRef>
              <c:extLst>
                <c:ext xmlns:c15="http://schemas.microsoft.com/office/drawing/2012/chart" uri="{02D57815-91ED-43cb-92C2-25804820EDAC}">
                  <c15:fullRef>
                    <c15:sqref>'Table 6'!$B$2:$Q$2</c15:sqref>
                  </c15:fullRef>
                </c:ext>
              </c:extLst>
              <c:f>'Table 6'!$G$2:$Q$2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6'!$B$3:$Q$3</c15:sqref>
                  </c15:fullRef>
                </c:ext>
              </c:extLst>
              <c:f>'Table 6'!$G$3:$Q$3</c:f>
              <c:numCache>
                <c:formatCode>_(* #,##0_);_(* \(#,##0\);_(* "-"??_);_(@_)</c:formatCode>
                <c:ptCount val="11"/>
                <c:pt idx="0">
                  <c:v>1531.6</c:v>
                </c:pt>
                <c:pt idx="1">
                  <c:v>1230.8222090126051</c:v>
                </c:pt>
                <c:pt idx="2">
                  <c:v>1224.627883969936</c:v>
                </c:pt>
                <c:pt idx="3">
                  <c:v>1339</c:v>
                </c:pt>
                <c:pt idx="4">
                  <c:v>1309</c:v>
                </c:pt>
                <c:pt idx="5">
                  <c:v>1282</c:v>
                </c:pt>
                <c:pt idx="6">
                  <c:v>823</c:v>
                </c:pt>
                <c:pt idx="7">
                  <c:v>923</c:v>
                </c:pt>
                <c:pt idx="8">
                  <c:v>1194</c:v>
                </c:pt>
                <c:pt idx="9">
                  <c:v>1225</c:v>
                </c:pt>
                <c:pt idx="10">
                  <c:v>1133</c:v>
                </c:pt>
              </c:numCache>
            </c:numRef>
          </c:val>
          <c:extLst xmlns:c15="http://schemas.microsoft.com/office/drawing/2012/chart">
            <c:ext xmlns:c16="http://schemas.microsoft.com/office/drawing/2014/chart" uri="{C3380CC4-5D6E-409C-BE32-E72D297353CC}">
              <c16:uniqueId val="{0000000A-0DFC-4D67-8316-65D48BB336FD}"/>
            </c:ext>
          </c:extLst>
        </c:ser>
        <c:ser>
          <c:idx val="3"/>
          <c:order val="1"/>
          <c:tx>
            <c:strRef>
              <c:f>'Table 6'!$A$4</c:f>
              <c:strCache>
                <c:ptCount val="1"/>
                <c:pt idx="0">
                  <c:v>Pedal cyclists</c:v>
                </c:pt>
              </c:strCache>
            </c:strRef>
          </c:tx>
          <c:spPr>
            <a:solidFill>
              <a:srgbClr val="999933"/>
            </a:solidFill>
            <a:ln>
              <a:noFill/>
            </a:ln>
            <a:effectLst/>
          </c:spPr>
          <c:invertIfNegative val="0"/>
          <c:cat>
            <c:strRef>
              <c:extLst>
                <c:ext xmlns:c15="http://schemas.microsoft.com/office/drawing/2012/chart" uri="{02D57815-91ED-43cb-92C2-25804820EDAC}">
                  <c15:fullRef>
                    <c15:sqref>'Table 6'!$B$2:$Q$2</c15:sqref>
                  </c15:fullRef>
                </c:ext>
              </c:extLst>
              <c:f>'Table 6'!$G$2:$Q$2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6'!$B$4:$Q$4</c15:sqref>
                  </c15:fullRef>
                </c:ext>
              </c:extLst>
              <c:f>'Table 6'!$G$4:$Q$4</c:f>
              <c:numCache>
                <c:formatCode>_(* #,##0_);_(* \(#,##0\);_(* "-"??_);_(@_)</c:formatCode>
                <c:ptCount val="11"/>
                <c:pt idx="0">
                  <c:v>910</c:v>
                </c:pt>
                <c:pt idx="1">
                  <c:v>693.68172061044231</c:v>
                </c:pt>
                <c:pt idx="2">
                  <c:v>681.32519297514636</c:v>
                </c:pt>
                <c:pt idx="3">
                  <c:v>675</c:v>
                </c:pt>
                <c:pt idx="4">
                  <c:v>770</c:v>
                </c:pt>
                <c:pt idx="5">
                  <c:v>773</c:v>
                </c:pt>
                <c:pt idx="6">
                  <c:v>862</c:v>
                </c:pt>
                <c:pt idx="7">
                  <c:v>989</c:v>
                </c:pt>
                <c:pt idx="8">
                  <c:v>1020</c:v>
                </c:pt>
                <c:pt idx="9">
                  <c:v>933</c:v>
                </c:pt>
                <c:pt idx="10">
                  <c:v>985</c:v>
                </c:pt>
              </c:numCache>
            </c:numRef>
          </c:val>
          <c:extLst>
            <c:ext xmlns:c16="http://schemas.microsoft.com/office/drawing/2014/chart" uri="{C3380CC4-5D6E-409C-BE32-E72D297353CC}">
              <c16:uniqueId val="{00000000-0DFC-4D67-8316-65D48BB336FD}"/>
            </c:ext>
          </c:extLst>
        </c:ser>
        <c:ser>
          <c:idx val="2"/>
          <c:order val="2"/>
          <c:tx>
            <c:strRef>
              <c:f>'Table 6'!$A$5</c:f>
              <c:strCache>
                <c:ptCount val="1"/>
                <c:pt idx="0">
                  <c:v>Motorcycle users</c:v>
                </c:pt>
              </c:strCache>
            </c:strRef>
          </c:tx>
          <c:spPr>
            <a:solidFill>
              <a:srgbClr val="44AA99"/>
            </a:solidFill>
            <a:ln>
              <a:noFill/>
            </a:ln>
            <a:effectLst/>
          </c:spPr>
          <c:invertIfNegative val="0"/>
          <c:cat>
            <c:strRef>
              <c:extLst>
                <c:ext xmlns:c15="http://schemas.microsoft.com/office/drawing/2012/chart" uri="{02D57815-91ED-43cb-92C2-25804820EDAC}">
                  <c15:fullRef>
                    <c15:sqref>'Table 6'!$B$2:$Q$2</c15:sqref>
                  </c15:fullRef>
                </c:ext>
              </c:extLst>
              <c:f>'Table 6'!$G$2:$Q$2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6'!$B$5:$Q$5</c15:sqref>
                  </c15:fullRef>
                </c:ext>
              </c:extLst>
              <c:f>'Table 6'!$G$5:$Q$5</c:f>
              <c:numCache>
                <c:formatCode>_(* #,##0_);_(* \(#,##0\);_(* "-"??_);_(@_)</c:formatCode>
                <c:ptCount val="11"/>
                <c:pt idx="0">
                  <c:v>1086.5999999999999</c:v>
                </c:pt>
                <c:pt idx="1">
                  <c:v>1020.9321651469529</c:v>
                </c:pt>
                <c:pt idx="2">
                  <c:v>1009.4195175631965</c:v>
                </c:pt>
                <c:pt idx="3">
                  <c:v>1068</c:v>
                </c:pt>
                <c:pt idx="4">
                  <c:v>1058</c:v>
                </c:pt>
                <c:pt idx="5">
                  <c:v>988</c:v>
                </c:pt>
                <c:pt idx="6">
                  <c:v>737</c:v>
                </c:pt>
                <c:pt idx="7">
                  <c:v>915</c:v>
                </c:pt>
                <c:pt idx="8">
                  <c:v>873</c:v>
                </c:pt>
                <c:pt idx="9">
                  <c:v>746</c:v>
                </c:pt>
                <c:pt idx="10">
                  <c:v>788</c:v>
                </c:pt>
              </c:numCache>
            </c:numRef>
          </c:val>
          <c:extLst>
            <c:ext xmlns:c16="http://schemas.microsoft.com/office/drawing/2014/chart" uri="{C3380CC4-5D6E-409C-BE32-E72D297353CC}">
              <c16:uniqueId val="{00000001-0DFC-4D67-8316-65D48BB336FD}"/>
            </c:ext>
          </c:extLst>
        </c:ser>
        <c:ser>
          <c:idx val="4"/>
          <c:order val="3"/>
          <c:tx>
            <c:strRef>
              <c:f>'Table 6'!$A$6</c:f>
              <c:strCache>
                <c:ptCount val="1"/>
                <c:pt idx="0">
                  <c:v>Car occupants</c:v>
                </c:pt>
              </c:strCache>
            </c:strRef>
          </c:tx>
          <c:spPr>
            <a:solidFill>
              <a:srgbClr val="882255"/>
            </a:solidFill>
            <a:ln>
              <a:noFill/>
            </a:ln>
            <a:effectLst/>
          </c:spPr>
          <c:invertIfNegative val="0"/>
          <c:cat>
            <c:strRef>
              <c:extLst>
                <c:ext xmlns:c15="http://schemas.microsoft.com/office/drawing/2012/chart" uri="{02D57815-91ED-43cb-92C2-25804820EDAC}">
                  <c15:fullRef>
                    <c15:sqref>'Table 6'!$B$2:$Q$2</c15:sqref>
                  </c15:fullRef>
                </c:ext>
              </c:extLst>
              <c:f>'Table 6'!$G$2:$Q$2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6'!$B$6:$Q$6</c15:sqref>
                  </c15:fullRef>
                </c:ext>
              </c:extLst>
              <c:f>'Table 6'!$G$6:$Q$6</c:f>
              <c:numCache>
                <c:formatCode>_(* #,##0_);_(* \(#,##0\);_(* "-"??_);_(@_)</c:formatCode>
                <c:ptCount val="11"/>
                <c:pt idx="0">
                  <c:v>910</c:v>
                </c:pt>
                <c:pt idx="1">
                  <c:v>603.52796011643443</c:v>
                </c:pt>
                <c:pt idx="2">
                  <c:v>581.12525818554843</c:v>
                </c:pt>
                <c:pt idx="3">
                  <c:v>476</c:v>
                </c:pt>
                <c:pt idx="4">
                  <c:v>607</c:v>
                </c:pt>
                <c:pt idx="5">
                  <c:v>557</c:v>
                </c:pt>
                <c:pt idx="6">
                  <c:v>405</c:v>
                </c:pt>
                <c:pt idx="7">
                  <c:v>454</c:v>
                </c:pt>
                <c:pt idx="8">
                  <c:v>501</c:v>
                </c:pt>
                <c:pt idx="9">
                  <c:v>441</c:v>
                </c:pt>
                <c:pt idx="10">
                  <c:v>452</c:v>
                </c:pt>
              </c:numCache>
            </c:numRef>
          </c:val>
          <c:extLst>
            <c:ext xmlns:c16="http://schemas.microsoft.com/office/drawing/2014/chart" uri="{C3380CC4-5D6E-409C-BE32-E72D297353CC}">
              <c16:uniqueId val="{00000002-0DFC-4D67-8316-65D48BB336FD}"/>
            </c:ext>
          </c:extLst>
        </c:ser>
        <c:ser>
          <c:idx val="1"/>
          <c:order val="4"/>
          <c:tx>
            <c:strRef>
              <c:f>'Table 6'!$A$7</c:f>
              <c:strCache>
                <c:ptCount val="1"/>
                <c:pt idx="0">
                  <c:v>Bus or coach occupants</c:v>
                </c:pt>
              </c:strCache>
            </c:strRef>
          </c:tx>
          <c:spPr>
            <a:solidFill>
              <a:srgbClr val="88CCEE"/>
            </a:solidFill>
            <a:ln>
              <a:noFill/>
            </a:ln>
            <a:effectLst/>
          </c:spPr>
          <c:invertIfNegative val="0"/>
          <c:cat>
            <c:strRef>
              <c:extLst>
                <c:ext xmlns:c15="http://schemas.microsoft.com/office/drawing/2012/chart" uri="{02D57815-91ED-43cb-92C2-25804820EDAC}">
                  <c15:fullRef>
                    <c15:sqref>'Table 6'!$B$2:$Q$2</c15:sqref>
                  </c15:fullRef>
                </c:ext>
              </c:extLst>
              <c:f>'Table 6'!$G$2:$Q$2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6'!$B$7:$Q$7</c15:sqref>
                  </c15:fullRef>
                </c:ext>
              </c:extLst>
              <c:f>'Table 6'!$G$7:$Q$7</c:f>
              <c:numCache>
                <c:formatCode>_(* #,##0_);_(* \(#,##0\);_(* "-"??_);_(@_)</c:formatCode>
                <c:ptCount val="11"/>
                <c:pt idx="0">
                  <c:v>178.6</c:v>
                </c:pt>
                <c:pt idx="1">
                  <c:v>146.16387653119784</c:v>
                </c:pt>
                <c:pt idx="2">
                  <c:v>123.12746009946967</c:v>
                </c:pt>
                <c:pt idx="3">
                  <c:v>106</c:v>
                </c:pt>
                <c:pt idx="4">
                  <c:v>111</c:v>
                </c:pt>
                <c:pt idx="5">
                  <c:v>89</c:v>
                </c:pt>
                <c:pt idx="6">
                  <c:v>44</c:v>
                </c:pt>
                <c:pt idx="7">
                  <c:v>70</c:v>
                </c:pt>
                <c:pt idx="8">
                  <c:v>139</c:v>
                </c:pt>
                <c:pt idx="9">
                  <c:v>124</c:v>
                </c:pt>
                <c:pt idx="10">
                  <c:v>113</c:v>
                </c:pt>
              </c:numCache>
            </c:numRef>
          </c:val>
          <c:extLst>
            <c:ext xmlns:c16="http://schemas.microsoft.com/office/drawing/2014/chart" uri="{C3380CC4-5D6E-409C-BE32-E72D297353CC}">
              <c16:uniqueId val="{00000003-0DFC-4D67-8316-65D48BB336FD}"/>
            </c:ext>
          </c:extLst>
        </c:ser>
        <c:ser>
          <c:idx val="7"/>
          <c:order val="5"/>
          <c:tx>
            <c:strRef>
              <c:f>'Table 6'!$A$8</c:f>
              <c:strCache>
                <c:ptCount val="1"/>
                <c:pt idx="0">
                  <c:v>Other vehicle occupants</c:v>
                </c:pt>
              </c:strCache>
            </c:strRef>
          </c:tx>
          <c:spPr>
            <a:solidFill>
              <a:srgbClr val="117733"/>
            </a:solidFill>
            <a:ln>
              <a:noFill/>
            </a:ln>
            <a:effectLst/>
          </c:spPr>
          <c:invertIfNegative val="0"/>
          <c:cat>
            <c:strRef>
              <c:extLst>
                <c:ext xmlns:c15="http://schemas.microsoft.com/office/drawing/2012/chart" uri="{02D57815-91ED-43cb-92C2-25804820EDAC}">
                  <c15:fullRef>
                    <c15:sqref>'Table 6'!$B$2:$Q$2</c15:sqref>
                  </c15:fullRef>
                </c:ext>
              </c:extLst>
              <c:f>'Table 6'!$G$2:$Q$2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6'!$B$8:$Q$8</c15:sqref>
                  </c15:fullRef>
                </c:ext>
              </c:extLst>
              <c:f>'Table 6'!$G$8:$Q$8</c:f>
              <c:numCache>
                <c:formatCode>_(* #,##0_);_(* \(#,##0\);_(* "-"??_);_(@_)</c:formatCode>
                <c:ptCount val="11"/>
                <c:pt idx="0">
                  <c:v>22</c:v>
                </c:pt>
                <c:pt idx="1">
                  <c:v>10.46510326365367</c:v>
                </c:pt>
                <c:pt idx="2">
                  <c:v>9.5233183279876776</c:v>
                </c:pt>
                <c:pt idx="3">
                  <c:v>15</c:v>
                </c:pt>
                <c:pt idx="4">
                  <c:v>14</c:v>
                </c:pt>
                <c:pt idx="5">
                  <c:v>17</c:v>
                </c:pt>
                <c:pt idx="6">
                  <c:v>68</c:v>
                </c:pt>
                <c:pt idx="7">
                  <c:v>112</c:v>
                </c:pt>
                <c:pt idx="8">
                  <c:v>84</c:v>
                </c:pt>
                <c:pt idx="9">
                  <c:v>79</c:v>
                </c:pt>
                <c:pt idx="10">
                  <c:v>69</c:v>
                </c:pt>
              </c:numCache>
            </c:numRef>
          </c:val>
          <c:extLst>
            <c:ext xmlns:c16="http://schemas.microsoft.com/office/drawing/2014/chart" uri="{C3380CC4-5D6E-409C-BE32-E72D297353CC}">
              <c16:uniqueId val="{00000004-0DFC-4D67-8316-65D48BB336FD}"/>
            </c:ext>
          </c:extLst>
        </c:ser>
        <c:ser>
          <c:idx val="8"/>
          <c:order val="6"/>
          <c:tx>
            <c:strRef>
              <c:f>'Table 6'!$A$9</c:f>
              <c:strCache>
                <c:ptCount val="1"/>
                <c:pt idx="0">
                  <c:v>Goods vehicle occupants</c:v>
                </c:pt>
              </c:strCache>
            </c:strRef>
          </c:tx>
          <c:spPr>
            <a:solidFill>
              <a:srgbClr val="DDCC77"/>
            </a:solidFill>
            <a:ln>
              <a:noFill/>
            </a:ln>
            <a:effectLst/>
          </c:spPr>
          <c:invertIfNegative val="0"/>
          <c:cat>
            <c:strRef>
              <c:extLst>
                <c:ext xmlns:c15="http://schemas.microsoft.com/office/drawing/2012/chart" uri="{02D57815-91ED-43cb-92C2-25804820EDAC}">
                  <c15:fullRef>
                    <c15:sqref>'Table 6'!$B$2:$Q$2</c15:sqref>
                  </c15:fullRef>
                </c:ext>
              </c:extLst>
              <c:f>'Table 6'!$G$2:$Q$2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6'!$B$9:$Q$9</c15:sqref>
                  </c15:fullRef>
                </c:ext>
              </c:extLst>
              <c:f>'Table 6'!$G$9:$Q$9</c:f>
              <c:numCache>
                <c:formatCode>_(* #,##0_);_(* \(#,##0\);_(* "-"??_);_(@_)</c:formatCode>
                <c:ptCount val="11"/>
                <c:pt idx="0">
                  <c:v>54.8</c:v>
                </c:pt>
                <c:pt idx="1">
                  <c:v>40.97378568947002</c:v>
                </c:pt>
                <c:pt idx="2">
                  <c:v>32.255523439676168</c:v>
                </c:pt>
                <c:pt idx="3">
                  <c:v>26</c:v>
                </c:pt>
                <c:pt idx="4">
                  <c:v>40</c:v>
                </c:pt>
                <c:pt idx="5">
                  <c:v>44</c:v>
                </c:pt>
                <c:pt idx="6">
                  <c:v>18</c:v>
                </c:pt>
                <c:pt idx="7">
                  <c:v>26</c:v>
                </c:pt>
                <c:pt idx="8">
                  <c:v>24</c:v>
                </c:pt>
                <c:pt idx="9">
                  <c:v>30</c:v>
                </c:pt>
                <c:pt idx="10">
                  <c:v>33</c:v>
                </c:pt>
              </c:numCache>
            </c:numRef>
          </c:val>
          <c:extLst>
            <c:ext xmlns:c16="http://schemas.microsoft.com/office/drawing/2014/chart" uri="{C3380CC4-5D6E-409C-BE32-E72D297353CC}">
              <c16:uniqueId val="{00000005-0DFC-4D67-8316-65D48BB336FD}"/>
            </c:ext>
          </c:extLst>
        </c:ser>
        <c:ser>
          <c:idx val="6"/>
          <c:order val="7"/>
          <c:tx>
            <c:strRef>
              <c:f>'Table 6'!$A$10</c:f>
              <c:strCache>
                <c:ptCount val="1"/>
                <c:pt idx="0">
                  <c:v>Private hire occupants*</c:v>
                </c:pt>
              </c:strCache>
            </c:strRef>
          </c:tx>
          <c:spPr>
            <a:solidFill>
              <a:srgbClr val="332288"/>
            </a:solidFill>
            <a:ln>
              <a:noFill/>
            </a:ln>
            <a:effectLst/>
          </c:spPr>
          <c:invertIfNegative val="0"/>
          <c:cat>
            <c:strRef>
              <c:extLst>
                <c:ext xmlns:c15="http://schemas.microsoft.com/office/drawing/2012/chart" uri="{02D57815-91ED-43cb-92C2-25804820EDAC}">
                  <c15:fullRef>
                    <c15:sqref>'Table 6'!$B$2:$Q$2</c15:sqref>
                  </c15:fullRef>
                </c:ext>
              </c:extLst>
              <c:f>'Table 6'!$G$2:$Q$2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6'!$B$10:$Q$10</c15:sqref>
                  </c15:fullRef>
                </c:ext>
              </c:extLst>
              <c:f>'Table 6'!$G$10:$Q$10</c:f>
              <c:numCache>
                <c:formatCode>_(* #,##0_);_(* \(#,##0\);_(* "-"??_);_(@_)</c:formatCode>
                <c:ptCount val="11"/>
                <c:pt idx="0">
                  <c:v>0</c:v>
                </c:pt>
                <c:pt idx="1">
                  <c:v>0</c:v>
                </c:pt>
                <c:pt idx="2">
                  <c:v>0</c:v>
                </c:pt>
                <c:pt idx="3">
                  <c:v>24</c:v>
                </c:pt>
                <c:pt idx="4">
                  <c:v>15</c:v>
                </c:pt>
                <c:pt idx="5">
                  <c:v>14</c:v>
                </c:pt>
                <c:pt idx="6">
                  <c:v>11</c:v>
                </c:pt>
                <c:pt idx="7">
                  <c:v>11</c:v>
                </c:pt>
                <c:pt idx="8">
                  <c:v>12</c:v>
                </c:pt>
                <c:pt idx="9">
                  <c:v>22</c:v>
                </c:pt>
                <c:pt idx="10">
                  <c:v>12</c:v>
                </c:pt>
              </c:numCache>
            </c:numRef>
          </c:val>
          <c:extLst>
            <c:ext xmlns:c16="http://schemas.microsoft.com/office/drawing/2014/chart" uri="{C3380CC4-5D6E-409C-BE32-E72D297353CC}">
              <c16:uniqueId val="{00000006-0DFC-4D67-8316-65D48BB336FD}"/>
            </c:ext>
          </c:extLst>
        </c:ser>
        <c:ser>
          <c:idx val="11"/>
          <c:order val="8"/>
          <c:tx>
            <c:strRef>
              <c:f>'Table 6'!$A$11</c:f>
              <c:strCache>
                <c:ptCount val="1"/>
                <c:pt idx="0">
                  <c:v>Taxi occupants*</c:v>
                </c:pt>
              </c:strCache>
            </c:strRef>
          </c:tx>
          <c:spPr>
            <a:solidFill>
              <a:srgbClr val="CC6677"/>
            </a:solidFill>
            <a:ln>
              <a:noFill/>
            </a:ln>
            <a:effectLst/>
          </c:spPr>
          <c:invertIfNegative val="0"/>
          <c:cat>
            <c:strRef>
              <c:extLst>
                <c:ext xmlns:c15="http://schemas.microsoft.com/office/drawing/2012/chart" uri="{02D57815-91ED-43cb-92C2-25804820EDAC}">
                  <c15:fullRef>
                    <c15:sqref>'Table 6'!$B$2:$Q$2</c15:sqref>
                  </c15:fullRef>
                </c:ext>
              </c:extLst>
              <c:f>'Table 6'!$G$2:$Q$2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6'!$B$11:$Q$11</c15:sqref>
                  </c15:fullRef>
                </c:ext>
              </c:extLst>
              <c:f>'Table 6'!$G$11:$Q$11</c:f>
              <c:numCache>
                <c:formatCode>_(* #,##0_);_(* \(#,##0\);_(* "-"??_);_(@_)</c:formatCode>
                <c:ptCount val="11"/>
                <c:pt idx="0">
                  <c:v>39.799999999999997</c:v>
                </c:pt>
                <c:pt idx="1">
                  <c:v>37.372207302297582</c:v>
                </c:pt>
                <c:pt idx="2">
                  <c:v>40.098943099645012</c:v>
                </c:pt>
                <c:pt idx="3">
                  <c:v>21</c:v>
                </c:pt>
                <c:pt idx="4">
                  <c:v>29</c:v>
                </c:pt>
                <c:pt idx="5">
                  <c:v>16</c:v>
                </c:pt>
                <c:pt idx="6">
                  <c:v>6</c:v>
                </c:pt>
                <c:pt idx="7">
                  <c:v>4</c:v>
                </c:pt>
                <c:pt idx="8">
                  <c:v>12</c:v>
                </c:pt>
                <c:pt idx="9">
                  <c:v>15</c:v>
                </c:pt>
                <c:pt idx="10">
                  <c:v>12</c:v>
                </c:pt>
              </c:numCache>
            </c:numRef>
          </c:val>
          <c:extLst>
            <c:ext xmlns:c16="http://schemas.microsoft.com/office/drawing/2014/chart" uri="{C3380CC4-5D6E-409C-BE32-E72D297353CC}">
              <c16:uniqueId val="{00000007-0DFC-4D67-8316-65D48BB336FD}"/>
            </c:ext>
          </c:extLst>
        </c:ser>
        <c:dLbls>
          <c:showLegendKey val="0"/>
          <c:showVal val="0"/>
          <c:showCatName val="0"/>
          <c:showSerName val="0"/>
          <c:showPercent val="0"/>
          <c:showBubbleSize val="0"/>
        </c:dLbls>
        <c:gapWidth val="150"/>
        <c:overlap val="100"/>
        <c:axId val="665529656"/>
        <c:axId val="665531096"/>
        <c:extLst>
          <c:ext xmlns:c15="http://schemas.microsoft.com/office/drawing/2012/chart" uri="{02D57815-91ED-43cb-92C2-25804820EDAC}">
            <c15:filteredBarSeries>
              <c15:ser>
                <c:idx val="5"/>
                <c:order val="9"/>
                <c:tx>
                  <c:strRef>
                    <c:extLst>
                      <c:ext uri="{02D57815-91ED-43cb-92C2-25804820EDAC}">
                        <c15:formulaRef>
                          <c15:sqref>'Table 6'!$A$12</c15:sqref>
                        </c15:formulaRef>
                      </c:ext>
                    </c:extLst>
                    <c:strCache>
                      <c:ptCount val="1"/>
                      <c:pt idx="0">
                        <c:v>Total</c:v>
                      </c:pt>
                    </c:strCache>
                  </c:strRef>
                </c:tx>
                <c:spPr>
                  <a:solidFill>
                    <a:schemeClr val="accent6"/>
                  </a:solidFill>
                  <a:ln>
                    <a:noFill/>
                  </a:ln>
                  <a:effectLst/>
                </c:spPr>
                <c:invertIfNegative val="0"/>
                <c:cat>
                  <c:strRef>
                    <c:extLst>
                      <c:ext uri="{02D57815-91ED-43cb-92C2-25804820EDAC}">
                        <c15:fullRef>
                          <c15:sqref>'Table 6'!$B$2:$Q$2</c15:sqref>
                        </c15:fullRef>
                        <c15:formulaRef>
                          <c15:sqref>'Table 6'!$G$2:$Q$2</c15:sqref>
                        </c15:formulaRef>
                      </c:ext>
                    </c:extLst>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uri="{02D57815-91ED-43cb-92C2-25804820EDAC}">
                        <c15:fullRef>
                          <c15:sqref>'Table 6'!$B$12:$Q$12</c15:sqref>
                        </c15:fullRef>
                        <c15:formulaRef>
                          <c15:sqref>'Table 6'!$G$12:$Q$12</c15:sqref>
                        </c15:formulaRef>
                      </c:ext>
                    </c:extLst>
                    <c:numCache>
                      <c:formatCode>_(* #,##0_);_(* \(#,##0\);_(* "-"??_);_(@_)</c:formatCode>
                      <c:ptCount val="11"/>
                      <c:pt idx="0">
                        <c:v>4733.3999999999996</c:v>
                      </c:pt>
                      <c:pt idx="1">
                        <c:v>3783.9390276730542</c:v>
                      </c:pt>
                      <c:pt idx="2">
                        <c:v>3701.5030976606058</c:v>
                      </c:pt>
                      <c:pt idx="3">
                        <c:v>3750</c:v>
                      </c:pt>
                      <c:pt idx="4">
                        <c:v>3953</c:v>
                      </c:pt>
                      <c:pt idx="5">
                        <c:v>3780</c:v>
                      </c:pt>
                      <c:pt idx="6">
                        <c:v>2974</c:v>
                      </c:pt>
                      <c:pt idx="7">
                        <c:v>3504</c:v>
                      </c:pt>
                      <c:pt idx="8">
                        <c:v>3859</c:v>
                      </c:pt>
                      <c:pt idx="9">
                        <c:v>3615</c:v>
                      </c:pt>
                      <c:pt idx="10">
                        <c:v>3597</c:v>
                      </c:pt>
                    </c:numCache>
                  </c:numRef>
                </c:val>
                <c:extLst>
                  <c:ext xmlns:c16="http://schemas.microsoft.com/office/drawing/2014/chart" uri="{C3380CC4-5D6E-409C-BE32-E72D297353CC}">
                    <c16:uniqueId val="{00000008-0DFC-4D67-8316-65D48BB336FD}"/>
                  </c:ext>
                </c:extLst>
              </c15:ser>
            </c15:filteredBarSeries>
          </c:ext>
        </c:extLst>
      </c:barChart>
      <c:lineChart>
        <c:grouping val="standard"/>
        <c:varyColors val="0"/>
        <c:ser>
          <c:idx val="10"/>
          <c:order val="10"/>
          <c:tx>
            <c:strRef>
              <c:f>'Table 6'!$A$13</c:f>
              <c:strCache>
                <c:ptCount val="1"/>
                <c:pt idx="0">
                  <c:v>2010-14 average</c:v>
                </c:pt>
              </c:strCache>
            </c:strRef>
          </c:tx>
          <c:spPr>
            <a:ln w="28575" cap="rnd">
              <a:solidFill>
                <a:srgbClr val="521A13"/>
              </a:solidFill>
              <a:round/>
            </a:ln>
            <a:effectLst/>
          </c:spPr>
          <c:marker>
            <c:symbol val="none"/>
          </c:marker>
          <c:cat>
            <c:strRef>
              <c:extLst>
                <c:ext xmlns:c15="http://schemas.microsoft.com/office/drawing/2012/chart" uri="{02D57815-91ED-43cb-92C2-25804820EDAC}">
                  <c15:fullRef>
                    <c15:sqref>'Table 6'!$B$2:$Q$2</c15:sqref>
                  </c15:fullRef>
                </c:ext>
              </c:extLst>
              <c:f>'Table 6'!$G$2:$Q$2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6'!$B$13:$Q$13</c15:sqref>
                  </c15:fullRef>
                </c:ext>
              </c:extLst>
              <c:f>'Table 6'!$G$13:$Q$13</c:f>
              <c:numCache>
                <c:formatCode>_(* #,##0_);_(* \(#,##0\);_(* "-"??_);_(@_)</c:formatCode>
                <c:ptCount val="11"/>
                <c:pt idx="0">
                  <c:v>4733.3999999999996</c:v>
                </c:pt>
                <c:pt idx="1">
                  <c:v>4733.3999999999996</c:v>
                </c:pt>
                <c:pt idx="2">
                  <c:v>4733.3999999999996</c:v>
                </c:pt>
                <c:pt idx="3">
                  <c:v>4733.3999999999996</c:v>
                </c:pt>
                <c:pt idx="4">
                  <c:v>4733.3999999999996</c:v>
                </c:pt>
                <c:pt idx="5">
                  <c:v>4733.3999999999996</c:v>
                </c:pt>
                <c:pt idx="6">
                  <c:v>4733.3999999999996</c:v>
                </c:pt>
                <c:pt idx="7">
                  <c:v>4733.3999999999996</c:v>
                </c:pt>
                <c:pt idx="8">
                  <c:v>4733.3999999999996</c:v>
                </c:pt>
                <c:pt idx="9">
                  <c:v>4733.3999999999996</c:v>
                </c:pt>
                <c:pt idx="10">
                  <c:v>4733.3999999999996</c:v>
                </c:pt>
              </c:numCache>
            </c:numRef>
          </c:val>
          <c:smooth val="0"/>
          <c:extLst>
            <c:ext xmlns:c16="http://schemas.microsoft.com/office/drawing/2014/chart" uri="{C3380CC4-5D6E-409C-BE32-E72D297353CC}">
              <c16:uniqueId val="{00000009-0DFC-4D67-8316-65D48BB336FD}"/>
            </c:ext>
          </c:extLst>
        </c:ser>
        <c:dLbls>
          <c:showLegendKey val="0"/>
          <c:showVal val="0"/>
          <c:showCatName val="0"/>
          <c:showSerName val="0"/>
          <c:showPercent val="0"/>
          <c:showBubbleSize val="0"/>
        </c:dLbls>
        <c:marker val="1"/>
        <c:smooth val="0"/>
        <c:axId val="665529656"/>
        <c:axId val="665531096"/>
        <c:extLst/>
      </c:lineChart>
      <c:catAx>
        <c:axId val="665529656"/>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sz="1100">
                    <a:solidFill>
                      <a:sysClr val="windowText" lastClr="000000"/>
                    </a:solidFill>
                  </a:rPr>
                  <a:t>Year</a:t>
                </a:r>
              </a:p>
            </c:rich>
          </c:tx>
          <c:layout>
            <c:manualLayout>
              <c:xMode val="edge"/>
              <c:yMode val="edge"/>
              <c:x val="0.48487168919404133"/>
              <c:y val="0.88947346839643326"/>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5531096"/>
        <c:crosses val="autoZero"/>
        <c:auto val="1"/>
        <c:lblAlgn val="ctr"/>
        <c:lblOffset val="100"/>
        <c:noMultiLvlLbl val="0"/>
      </c:catAx>
      <c:valAx>
        <c:axId val="665531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5529656"/>
        <c:crosses val="autoZero"/>
        <c:crossBetween val="between"/>
      </c:valAx>
      <c:spPr>
        <a:noFill/>
        <a:ln>
          <a:noFill/>
        </a:ln>
        <a:effectLst/>
      </c:spPr>
    </c:plotArea>
    <c:legend>
      <c:legendPos val="b"/>
      <c:layout>
        <c:manualLayout>
          <c:xMode val="edge"/>
          <c:yMode val="edge"/>
          <c:x val="6.274638828264284E-2"/>
          <c:y val="0.92636913567396439"/>
          <c:w val="0.87727592053129011"/>
          <c:h val="5.8141478754845648E-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806376152248777E-2"/>
          <c:y val="4.586044223602756E-2"/>
          <c:w val="0.90759048292695121"/>
          <c:h val="0.76533233492312769"/>
        </c:manualLayout>
      </c:layout>
      <c:barChart>
        <c:barDir val="col"/>
        <c:grouping val="stacked"/>
        <c:varyColors val="0"/>
        <c:ser>
          <c:idx val="3"/>
          <c:order val="0"/>
          <c:tx>
            <c:strRef>
              <c:f>'Table 7'!$A$3</c:f>
              <c:strCache>
                <c:ptCount val="1"/>
                <c:pt idx="0">
                  <c:v>Pedestrians</c:v>
                </c:pt>
              </c:strCache>
            </c:strRef>
          </c:tx>
          <c:spPr>
            <a:solidFill>
              <a:srgbClr val="AA4499"/>
            </a:solidFill>
            <a:ln>
              <a:noFill/>
            </a:ln>
            <a:effectLst/>
          </c:spPr>
          <c:invertIfNegative val="0"/>
          <c:cat>
            <c:strRef>
              <c:extLst>
                <c:ext xmlns:c15="http://schemas.microsoft.com/office/drawing/2012/chart" uri="{02D57815-91ED-43cb-92C2-25804820EDAC}">
                  <c15:fullRef>
                    <c15:sqref>'Table 7'!$B$2:$Q$2</c15:sqref>
                  </c15:fullRef>
                </c:ext>
              </c:extLst>
              <c:f>'Table 7'!$G$2:$Q$2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7'!$B$3:$Q$3</c15:sqref>
                  </c15:fullRef>
                </c:ext>
              </c:extLst>
              <c:f>'Table 7'!$G$3:$Q$3</c:f>
              <c:numCache>
                <c:formatCode>_(* #,##0_);_(* \(#,##0\);_(* "-"??_);_(@_)</c:formatCode>
                <c:ptCount val="11"/>
                <c:pt idx="0">
                  <c:v>4264.3999999999996</c:v>
                </c:pt>
                <c:pt idx="1">
                  <c:v>4578.1220536234914</c:v>
                </c:pt>
                <c:pt idx="2">
                  <c:v>4770.2744410709865</c:v>
                </c:pt>
                <c:pt idx="3">
                  <c:v>5240</c:v>
                </c:pt>
                <c:pt idx="4">
                  <c:v>4396</c:v>
                </c:pt>
                <c:pt idx="5">
                  <c:v>4312</c:v>
                </c:pt>
                <c:pt idx="6">
                  <c:v>2809</c:v>
                </c:pt>
                <c:pt idx="7">
                  <c:v>2878</c:v>
                </c:pt>
                <c:pt idx="8">
                  <c:v>3320</c:v>
                </c:pt>
                <c:pt idx="9">
                  <c:v>3281</c:v>
                </c:pt>
                <c:pt idx="10">
                  <c:v>3255</c:v>
                </c:pt>
              </c:numCache>
            </c:numRef>
          </c:val>
          <c:extLst>
            <c:ext xmlns:c16="http://schemas.microsoft.com/office/drawing/2014/chart" uri="{C3380CC4-5D6E-409C-BE32-E72D297353CC}">
              <c16:uniqueId val="{00000000-BB7F-400D-9A8B-3420CB35E3E5}"/>
            </c:ext>
          </c:extLst>
        </c:ser>
        <c:ser>
          <c:idx val="2"/>
          <c:order val="1"/>
          <c:tx>
            <c:strRef>
              <c:f>'Table 7'!$A$4</c:f>
              <c:strCache>
                <c:ptCount val="1"/>
                <c:pt idx="0">
                  <c:v>Pedal cyclists</c:v>
                </c:pt>
              </c:strCache>
            </c:strRef>
          </c:tx>
          <c:spPr>
            <a:solidFill>
              <a:srgbClr val="999933"/>
            </a:solidFill>
            <a:ln>
              <a:noFill/>
            </a:ln>
            <a:effectLst/>
          </c:spPr>
          <c:invertIfNegative val="0"/>
          <c:cat>
            <c:strRef>
              <c:extLst>
                <c:ext xmlns:c15="http://schemas.microsoft.com/office/drawing/2012/chart" uri="{02D57815-91ED-43cb-92C2-25804820EDAC}">
                  <c15:fullRef>
                    <c15:sqref>'Table 7'!$B$2:$Q$2</c15:sqref>
                  </c15:fullRef>
                </c:ext>
              </c:extLst>
              <c:f>'Table 7'!$G$2:$Q$2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7'!$B$4:$Q$4</c15:sqref>
                  </c15:fullRef>
                </c:ext>
              </c:extLst>
              <c:f>'Table 7'!$G$4:$Q$4</c:f>
              <c:numCache>
                <c:formatCode>_(* #,##0_);_(* \(#,##0\);_(* "-"??_);_(@_)</c:formatCode>
                <c:ptCount val="11"/>
                <c:pt idx="0">
                  <c:v>4059.6</c:v>
                </c:pt>
                <c:pt idx="1">
                  <c:v>4176.734153248959</c:v>
                </c:pt>
                <c:pt idx="2">
                  <c:v>4132.9981254084732</c:v>
                </c:pt>
                <c:pt idx="3">
                  <c:v>3836</c:v>
                </c:pt>
                <c:pt idx="4">
                  <c:v>3973</c:v>
                </c:pt>
                <c:pt idx="5">
                  <c:v>3856</c:v>
                </c:pt>
                <c:pt idx="6">
                  <c:v>3921</c:v>
                </c:pt>
                <c:pt idx="7">
                  <c:v>4278</c:v>
                </c:pt>
                <c:pt idx="8">
                  <c:v>4064</c:v>
                </c:pt>
                <c:pt idx="9">
                  <c:v>3861</c:v>
                </c:pt>
                <c:pt idx="10">
                  <c:v>3884</c:v>
                </c:pt>
              </c:numCache>
            </c:numRef>
          </c:val>
          <c:extLst>
            <c:ext xmlns:c16="http://schemas.microsoft.com/office/drawing/2014/chart" uri="{C3380CC4-5D6E-409C-BE32-E72D297353CC}">
              <c16:uniqueId val="{00000001-BB7F-400D-9A8B-3420CB35E3E5}"/>
            </c:ext>
          </c:extLst>
        </c:ser>
        <c:ser>
          <c:idx val="4"/>
          <c:order val="2"/>
          <c:tx>
            <c:strRef>
              <c:f>'Table 7'!$A$5</c:f>
              <c:strCache>
                <c:ptCount val="1"/>
                <c:pt idx="0">
                  <c:v>Motorcycle users</c:v>
                </c:pt>
              </c:strCache>
            </c:strRef>
          </c:tx>
          <c:spPr>
            <a:solidFill>
              <a:srgbClr val="44AA99"/>
            </a:solidFill>
            <a:ln>
              <a:noFill/>
            </a:ln>
            <a:effectLst/>
          </c:spPr>
          <c:invertIfNegative val="0"/>
          <c:cat>
            <c:strRef>
              <c:extLst>
                <c:ext xmlns:c15="http://schemas.microsoft.com/office/drawing/2012/chart" uri="{02D57815-91ED-43cb-92C2-25804820EDAC}">
                  <c15:fullRef>
                    <c15:sqref>'Table 7'!$B$2:$Q$2</c15:sqref>
                  </c15:fullRef>
                </c:ext>
              </c:extLst>
              <c:f>'Table 7'!$G$2:$Q$2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7'!$B$5:$Q$5</c15:sqref>
                  </c15:fullRef>
                </c:ext>
              </c:extLst>
              <c:f>'Table 7'!$G$5:$Q$5</c:f>
              <c:numCache>
                <c:formatCode>_(* #,##0_);_(* \(#,##0\);_(* "-"??_);_(@_)</c:formatCode>
                <c:ptCount val="11"/>
                <c:pt idx="0">
                  <c:v>3988.4</c:v>
                </c:pt>
                <c:pt idx="1">
                  <c:v>4887.8004972296349</c:v>
                </c:pt>
                <c:pt idx="2">
                  <c:v>4695.1644977157466</c:v>
                </c:pt>
                <c:pt idx="3">
                  <c:v>4478</c:v>
                </c:pt>
                <c:pt idx="4">
                  <c:v>4042</c:v>
                </c:pt>
                <c:pt idx="5">
                  <c:v>4372</c:v>
                </c:pt>
                <c:pt idx="6">
                  <c:v>4244</c:v>
                </c:pt>
                <c:pt idx="7">
                  <c:v>5077</c:v>
                </c:pt>
                <c:pt idx="8">
                  <c:v>5257</c:v>
                </c:pt>
                <c:pt idx="9">
                  <c:v>5639</c:v>
                </c:pt>
                <c:pt idx="10">
                  <c:v>4356</c:v>
                </c:pt>
              </c:numCache>
            </c:numRef>
          </c:val>
          <c:extLst>
            <c:ext xmlns:c16="http://schemas.microsoft.com/office/drawing/2014/chart" uri="{C3380CC4-5D6E-409C-BE32-E72D297353CC}">
              <c16:uniqueId val="{00000002-BB7F-400D-9A8B-3420CB35E3E5}"/>
            </c:ext>
          </c:extLst>
        </c:ser>
        <c:ser>
          <c:idx val="1"/>
          <c:order val="3"/>
          <c:tx>
            <c:strRef>
              <c:f>'Table 7'!$A$6</c:f>
              <c:strCache>
                <c:ptCount val="1"/>
                <c:pt idx="0">
                  <c:v>Car occupants</c:v>
                </c:pt>
              </c:strCache>
            </c:strRef>
          </c:tx>
          <c:spPr>
            <a:solidFill>
              <a:srgbClr val="882255"/>
            </a:solidFill>
            <a:ln>
              <a:noFill/>
            </a:ln>
            <a:effectLst/>
          </c:spPr>
          <c:invertIfNegative val="0"/>
          <c:cat>
            <c:strRef>
              <c:extLst>
                <c:ext xmlns:c15="http://schemas.microsoft.com/office/drawing/2012/chart" uri="{02D57815-91ED-43cb-92C2-25804820EDAC}">
                  <c15:fullRef>
                    <c15:sqref>'Table 7'!$B$2:$Q$2</c15:sqref>
                  </c15:fullRef>
                </c:ext>
              </c:extLst>
              <c:f>'Table 7'!$G$2:$Q$2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7'!$B$6:$Q$6</c15:sqref>
                  </c15:fullRef>
                </c:ext>
              </c:extLst>
              <c:f>'Table 7'!$G$6:$Q$6</c:f>
              <c:numCache>
                <c:formatCode>_(* #,##0_);_(* \(#,##0\);_(* "-"??_);_(@_)</c:formatCode>
                <c:ptCount val="11"/>
                <c:pt idx="0">
                  <c:v>11732.8</c:v>
                </c:pt>
                <c:pt idx="1">
                  <c:v>12279.431315961061</c:v>
                </c:pt>
                <c:pt idx="2">
                  <c:v>12407.845657085971</c:v>
                </c:pt>
                <c:pt idx="3">
                  <c:v>11885</c:v>
                </c:pt>
                <c:pt idx="4">
                  <c:v>11181</c:v>
                </c:pt>
                <c:pt idx="5">
                  <c:v>10883</c:v>
                </c:pt>
                <c:pt idx="6">
                  <c:v>8436</c:v>
                </c:pt>
                <c:pt idx="7">
                  <c:v>8636</c:v>
                </c:pt>
                <c:pt idx="8">
                  <c:v>8476</c:v>
                </c:pt>
                <c:pt idx="9">
                  <c:v>7571</c:v>
                </c:pt>
                <c:pt idx="10">
                  <c:v>6903</c:v>
                </c:pt>
              </c:numCache>
            </c:numRef>
          </c:val>
          <c:extLst>
            <c:ext xmlns:c16="http://schemas.microsoft.com/office/drawing/2014/chart" uri="{C3380CC4-5D6E-409C-BE32-E72D297353CC}">
              <c16:uniqueId val="{00000003-BB7F-400D-9A8B-3420CB35E3E5}"/>
            </c:ext>
          </c:extLst>
        </c:ser>
        <c:ser>
          <c:idx val="7"/>
          <c:order val="4"/>
          <c:tx>
            <c:strRef>
              <c:f>'Table 7'!$A$7</c:f>
              <c:strCache>
                <c:ptCount val="1"/>
                <c:pt idx="0">
                  <c:v>Bus or coach occupants</c:v>
                </c:pt>
              </c:strCache>
            </c:strRef>
          </c:tx>
          <c:spPr>
            <a:solidFill>
              <a:srgbClr val="88CCEE"/>
            </a:solidFill>
            <a:ln>
              <a:noFill/>
            </a:ln>
            <a:effectLst/>
          </c:spPr>
          <c:invertIfNegative val="0"/>
          <c:cat>
            <c:strRef>
              <c:extLst>
                <c:ext xmlns:c15="http://schemas.microsoft.com/office/drawing/2012/chart" uri="{02D57815-91ED-43cb-92C2-25804820EDAC}">
                  <c15:fullRef>
                    <c15:sqref>'Table 7'!$B$2:$Q$2</c15:sqref>
                  </c15:fullRef>
                </c:ext>
              </c:extLst>
              <c:f>'Table 7'!$G$2:$Q$2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7'!$B$7:$Q$7</c15:sqref>
                  </c15:fullRef>
                </c:ext>
              </c:extLst>
              <c:f>'Table 7'!$G$7:$Q$7</c:f>
              <c:numCache>
                <c:formatCode>_(* #,##0_);_(* \(#,##0\);_(* "-"??_);_(@_)</c:formatCode>
                <c:ptCount val="11"/>
                <c:pt idx="0">
                  <c:v>1400.4</c:v>
                </c:pt>
                <c:pt idx="1">
                  <c:v>1593.6381417606319</c:v>
                </c:pt>
                <c:pt idx="2">
                  <c:v>1615.6218082876551</c:v>
                </c:pt>
                <c:pt idx="3">
                  <c:v>1644</c:v>
                </c:pt>
                <c:pt idx="4">
                  <c:v>1339</c:v>
                </c:pt>
                <c:pt idx="5">
                  <c:v>1083</c:v>
                </c:pt>
                <c:pt idx="6">
                  <c:v>599</c:v>
                </c:pt>
                <c:pt idx="7">
                  <c:v>795</c:v>
                </c:pt>
                <c:pt idx="8">
                  <c:v>874</c:v>
                </c:pt>
                <c:pt idx="9">
                  <c:v>925</c:v>
                </c:pt>
                <c:pt idx="10">
                  <c:v>908</c:v>
                </c:pt>
              </c:numCache>
            </c:numRef>
          </c:val>
          <c:extLst>
            <c:ext xmlns:c16="http://schemas.microsoft.com/office/drawing/2014/chart" uri="{C3380CC4-5D6E-409C-BE32-E72D297353CC}">
              <c16:uniqueId val="{00000004-BB7F-400D-9A8B-3420CB35E3E5}"/>
            </c:ext>
          </c:extLst>
        </c:ser>
        <c:ser>
          <c:idx val="8"/>
          <c:order val="5"/>
          <c:tx>
            <c:strRef>
              <c:f>'Table 7'!$A$8</c:f>
              <c:strCache>
                <c:ptCount val="1"/>
                <c:pt idx="0">
                  <c:v>Other vehicle occupants</c:v>
                </c:pt>
              </c:strCache>
            </c:strRef>
          </c:tx>
          <c:spPr>
            <a:solidFill>
              <a:srgbClr val="117733"/>
            </a:solidFill>
            <a:ln>
              <a:noFill/>
            </a:ln>
            <a:effectLst/>
          </c:spPr>
          <c:invertIfNegative val="0"/>
          <c:cat>
            <c:strRef>
              <c:extLst>
                <c:ext xmlns:c15="http://schemas.microsoft.com/office/drawing/2012/chart" uri="{02D57815-91ED-43cb-92C2-25804820EDAC}">
                  <c15:fullRef>
                    <c15:sqref>'Table 7'!$B$2:$Q$2</c15:sqref>
                  </c15:fullRef>
                </c:ext>
              </c:extLst>
              <c:f>'Table 7'!$G$2:$Q$2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7'!$B$8:$Q$8</c15:sqref>
                  </c15:fullRef>
                </c:ext>
              </c:extLst>
              <c:f>'Table 7'!$G$8:$Q$8</c:f>
              <c:numCache>
                <c:formatCode>_(* #,##0_);_(* \(#,##0\);_(* "-"??_);_(@_)</c:formatCode>
                <c:ptCount val="11"/>
                <c:pt idx="0">
                  <c:v>119.8</c:v>
                </c:pt>
                <c:pt idx="1">
                  <c:v>62</c:v>
                </c:pt>
                <c:pt idx="2">
                  <c:v>148</c:v>
                </c:pt>
                <c:pt idx="3">
                  <c:v>160</c:v>
                </c:pt>
                <c:pt idx="4">
                  <c:v>90</c:v>
                </c:pt>
                <c:pt idx="5">
                  <c:v>130</c:v>
                </c:pt>
                <c:pt idx="6">
                  <c:v>240</c:v>
                </c:pt>
                <c:pt idx="7">
                  <c:v>376</c:v>
                </c:pt>
                <c:pt idx="8">
                  <c:v>293</c:v>
                </c:pt>
                <c:pt idx="9">
                  <c:v>258</c:v>
                </c:pt>
                <c:pt idx="10">
                  <c:v>237</c:v>
                </c:pt>
              </c:numCache>
            </c:numRef>
          </c:val>
          <c:extLst>
            <c:ext xmlns:c16="http://schemas.microsoft.com/office/drawing/2014/chart" uri="{C3380CC4-5D6E-409C-BE32-E72D297353CC}">
              <c16:uniqueId val="{00000005-BB7F-400D-9A8B-3420CB35E3E5}"/>
            </c:ext>
          </c:extLst>
        </c:ser>
        <c:ser>
          <c:idx val="6"/>
          <c:order val="6"/>
          <c:tx>
            <c:strRef>
              <c:f>'Table 7'!$A$9</c:f>
              <c:strCache>
                <c:ptCount val="1"/>
                <c:pt idx="0">
                  <c:v>Goods vehicle occupants</c:v>
                </c:pt>
              </c:strCache>
            </c:strRef>
          </c:tx>
          <c:spPr>
            <a:solidFill>
              <a:srgbClr val="DDCC77"/>
            </a:solidFill>
            <a:ln>
              <a:noFill/>
            </a:ln>
            <a:effectLst/>
          </c:spPr>
          <c:invertIfNegative val="0"/>
          <c:cat>
            <c:strRef>
              <c:extLst>
                <c:ext xmlns:c15="http://schemas.microsoft.com/office/drawing/2012/chart" uri="{02D57815-91ED-43cb-92C2-25804820EDAC}">
                  <c15:fullRef>
                    <c15:sqref>'Table 7'!$B$2:$Q$2</c15:sqref>
                  </c15:fullRef>
                </c:ext>
              </c:extLst>
              <c:f>'Table 7'!$G$2:$Q$2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7'!$B$9:$Q$9</c15:sqref>
                  </c15:fullRef>
                </c:ext>
              </c:extLst>
              <c:f>'Table 7'!$G$9:$Q$9</c:f>
              <c:numCache>
                <c:formatCode>_(* #,##0_);_(* \(#,##0\);_(* "-"??_);_(@_)</c:formatCode>
                <c:ptCount val="11"/>
                <c:pt idx="0">
                  <c:v>608.79999999999995</c:v>
                </c:pt>
                <c:pt idx="1">
                  <c:v>600</c:v>
                </c:pt>
                <c:pt idx="2">
                  <c:v>647</c:v>
                </c:pt>
                <c:pt idx="3">
                  <c:v>584</c:v>
                </c:pt>
                <c:pt idx="4">
                  <c:v>594</c:v>
                </c:pt>
                <c:pt idx="5">
                  <c:v>550</c:v>
                </c:pt>
                <c:pt idx="6">
                  <c:v>467</c:v>
                </c:pt>
                <c:pt idx="7">
                  <c:v>468</c:v>
                </c:pt>
                <c:pt idx="8">
                  <c:v>410</c:v>
                </c:pt>
                <c:pt idx="9">
                  <c:v>432</c:v>
                </c:pt>
                <c:pt idx="10">
                  <c:v>397</c:v>
                </c:pt>
              </c:numCache>
            </c:numRef>
          </c:val>
          <c:extLst>
            <c:ext xmlns:c16="http://schemas.microsoft.com/office/drawing/2014/chart" uri="{C3380CC4-5D6E-409C-BE32-E72D297353CC}">
              <c16:uniqueId val="{00000006-BB7F-400D-9A8B-3420CB35E3E5}"/>
            </c:ext>
          </c:extLst>
        </c:ser>
        <c:ser>
          <c:idx val="0"/>
          <c:order val="7"/>
          <c:tx>
            <c:strRef>
              <c:f>'Table 7'!$A$10</c:f>
              <c:strCache>
                <c:ptCount val="1"/>
                <c:pt idx="0">
                  <c:v>Private hire occupants*</c:v>
                </c:pt>
              </c:strCache>
            </c:strRef>
          </c:tx>
          <c:spPr>
            <a:solidFill>
              <a:srgbClr val="332288"/>
            </a:solidFill>
            <a:ln>
              <a:noFill/>
            </a:ln>
            <a:effectLst/>
          </c:spPr>
          <c:invertIfNegative val="0"/>
          <c:cat>
            <c:strRef>
              <c:extLst>
                <c:ext xmlns:c15="http://schemas.microsoft.com/office/drawing/2012/chart" uri="{02D57815-91ED-43cb-92C2-25804820EDAC}">
                  <c15:fullRef>
                    <c15:sqref>'Table 7'!$B$2:$Q$2</c15:sqref>
                  </c15:fullRef>
                </c:ext>
              </c:extLst>
              <c:f>'Table 7'!$G$2:$Q$2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7'!$B$10:$Q$10</c15:sqref>
                  </c15:fullRef>
                </c:ext>
              </c:extLst>
              <c:f>'Table 7'!$G$10:$Q$10</c:f>
              <c:numCache>
                <c:formatCode>_(* #,##0_);_(* \(#,##0\);_(* "-"??_);_(@_)</c:formatCode>
                <c:ptCount val="11"/>
                <c:pt idx="0">
                  <c:v>0</c:v>
                </c:pt>
                <c:pt idx="1">
                  <c:v>0</c:v>
                </c:pt>
                <c:pt idx="2">
                  <c:v>0</c:v>
                </c:pt>
                <c:pt idx="3">
                  <c:v>660</c:v>
                </c:pt>
                <c:pt idx="4">
                  <c:v>514</c:v>
                </c:pt>
                <c:pt idx="5">
                  <c:v>411</c:v>
                </c:pt>
                <c:pt idx="6">
                  <c:v>219</c:v>
                </c:pt>
                <c:pt idx="7">
                  <c:v>246</c:v>
                </c:pt>
                <c:pt idx="8">
                  <c:v>245</c:v>
                </c:pt>
                <c:pt idx="9">
                  <c:v>183</c:v>
                </c:pt>
                <c:pt idx="10">
                  <c:v>168</c:v>
                </c:pt>
              </c:numCache>
            </c:numRef>
          </c:val>
          <c:extLst>
            <c:ext xmlns:c16="http://schemas.microsoft.com/office/drawing/2014/chart" uri="{C3380CC4-5D6E-409C-BE32-E72D297353CC}">
              <c16:uniqueId val="{00000007-BB7F-400D-9A8B-3420CB35E3E5}"/>
            </c:ext>
          </c:extLst>
        </c:ser>
        <c:ser>
          <c:idx val="5"/>
          <c:order val="8"/>
          <c:tx>
            <c:strRef>
              <c:f>'Table 7'!$A$11</c:f>
              <c:strCache>
                <c:ptCount val="1"/>
                <c:pt idx="0">
                  <c:v>Taxi occupants</c:v>
                </c:pt>
              </c:strCache>
            </c:strRef>
          </c:tx>
          <c:spPr>
            <a:solidFill>
              <a:srgbClr val="CC6677"/>
            </a:solidFill>
            <a:ln>
              <a:noFill/>
            </a:ln>
            <a:effectLst/>
          </c:spPr>
          <c:invertIfNegative val="0"/>
          <c:cat>
            <c:strRef>
              <c:extLst>
                <c:ext xmlns:c15="http://schemas.microsoft.com/office/drawing/2012/chart" uri="{02D57815-91ED-43cb-92C2-25804820EDAC}">
                  <c15:fullRef>
                    <c15:sqref>'Table 7'!$B$2:$Q$2</c15:sqref>
                  </c15:fullRef>
                </c:ext>
              </c:extLst>
              <c:f>'Table 7'!$G$2:$Q$2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7'!$B$11:$Q$11</c15:sqref>
                  </c15:fullRef>
                </c:ext>
              </c:extLst>
              <c:f>'Table 7'!$G$11:$Q$11</c:f>
              <c:numCache>
                <c:formatCode>_(* #,##0_);_(* \(#,##0\);_(* "-"??_);_(@_)</c:formatCode>
                <c:ptCount val="11"/>
                <c:pt idx="0">
                  <c:v>560.4</c:v>
                </c:pt>
                <c:pt idx="1">
                  <c:v>864.26477356103351</c:v>
                </c:pt>
                <c:pt idx="2">
                  <c:v>820.41464950910768</c:v>
                </c:pt>
                <c:pt idx="3">
                  <c:v>199</c:v>
                </c:pt>
                <c:pt idx="4">
                  <c:v>397</c:v>
                </c:pt>
                <c:pt idx="5">
                  <c:v>505</c:v>
                </c:pt>
                <c:pt idx="6">
                  <c:v>340</c:v>
                </c:pt>
                <c:pt idx="7">
                  <c:v>338</c:v>
                </c:pt>
                <c:pt idx="8">
                  <c:v>307</c:v>
                </c:pt>
                <c:pt idx="9">
                  <c:v>316</c:v>
                </c:pt>
                <c:pt idx="10">
                  <c:v>204</c:v>
                </c:pt>
              </c:numCache>
            </c:numRef>
          </c:val>
          <c:extLst>
            <c:ext xmlns:c16="http://schemas.microsoft.com/office/drawing/2014/chart" uri="{C3380CC4-5D6E-409C-BE32-E72D297353CC}">
              <c16:uniqueId val="{00000008-BB7F-400D-9A8B-3420CB35E3E5}"/>
            </c:ext>
          </c:extLst>
        </c:ser>
        <c:dLbls>
          <c:showLegendKey val="0"/>
          <c:showVal val="0"/>
          <c:showCatName val="0"/>
          <c:showSerName val="0"/>
          <c:showPercent val="0"/>
          <c:showBubbleSize val="0"/>
        </c:dLbls>
        <c:gapWidth val="150"/>
        <c:overlap val="100"/>
        <c:axId val="667818912"/>
        <c:axId val="667822512"/>
      </c:barChart>
      <c:lineChart>
        <c:grouping val="standard"/>
        <c:varyColors val="0"/>
        <c:ser>
          <c:idx val="9"/>
          <c:order val="10"/>
          <c:tx>
            <c:strRef>
              <c:f>'Table 7'!$A$13</c:f>
              <c:strCache>
                <c:ptCount val="1"/>
                <c:pt idx="0">
                  <c:v>2010-14 average</c:v>
                </c:pt>
              </c:strCache>
            </c:strRef>
          </c:tx>
          <c:spPr>
            <a:ln w="28575" cap="rnd">
              <a:solidFill>
                <a:srgbClr val="521A13"/>
              </a:solidFill>
              <a:round/>
            </a:ln>
            <a:effectLst/>
          </c:spPr>
          <c:marker>
            <c:symbol val="none"/>
          </c:marker>
          <c:cat>
            <c:strRef>
              <c:extLst>
                <c:ext xmlns:c15="http://schemas.microsoft.com/office/drawing/2012/chart" uri="{02D57815-91ED-43cb-92C2-25804820EDAC}">
                  <c15:fullRef>
                    <c15:sqref>'Table 7'!$B$2:$Q$2</c15:sqref>
                  </c15:fullRef>
                </c:ext>
              </c:extLst>
              <c:f>'Table 7'!$G$2:$Q$2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7'!$B$13:$Q$13</c15:sqref>
                  </c15:fullRef>
                </c:ext>
              </c:extLst>
              <c:f>'Table 7'!$G$13:$Q$13</c:f>
              <c:numCache>
                <c:formatCode>_(* #,##0_);_(* \(#,##0\);_(* "-"??_);_(@_)</c:formatCode>
                <c:ptCount val="11"/>
                <c:pt idx="0">
                  <c:v>26734.6</c:v>
                </c:pt>
                <c:pt idx="1">
                  <c:v>26734.6</c:v>
                </c:pt>
                <c:pt idx="2">
                  <c:v>26734.6</c:v>
                </c:pt>
                <c:pt idx="3">
                  <c:v>26734.6</c:v>
                </c:pt>
                <c:pt idx="4">
                  <c:v>26734.6</c:v>
                </c:pt>
                <c:pt idx="5">
                  <c:v>26734.6</c:v>
                </c:pt>
                <c:pt idx="6">
                  <c:v>26734.6</c:v>
                </c:pt>
                <c:pt idx="7">
                  <c:v>26734.6</c:v>
                </c:pt>
                <c:pt idx="8">
                  <c:v>26734.6</c:v>
                </c:pt>
                <c:pt idx="9">
                  <c:v>26734.6</c:v>
                </c:pt>
                <c:pt idx="10">
                  <c:v>26734.6</c:v>
                </c:pt>
              </c:numCache>
            </c:numRef>
          </c:val>
          <c:smooth val="0"/>
          <c:extLst>
            <c:ext xmlns:c16="http://schemas.microsoft.com/office/drawing/2014/chart" uri="{C3380CC4-5D6E-409C-BE32-E72D297353CC}">
              <c16:uniqueId val="{0000000A-BB7F-400D-9A8B-3420CB35E3E5}"/>
            </c:ext>
          </c:extLst>
        </c:ser>
        <c:dLbls>
          <c:showLegendKey val="0"/>
          <c:showVal val="0"/>
          <c:showCatName val="0"/>
          <c:showSerName val="0"/>
          <c:showPercent val="0"/>
          <c:showBubbleSize val="0"/>
        </c:dLbls>
        <c:marker val="1"/>
        <c:smooth val="0"/>
        <c:axId val="667818912"/>
        <c:axId val="667822512"/>
        <c:extLst>
          <c:ext xmlns:c15="http://schemas.microsoft.com/office/drawing/2012/chart" uri="{02D57815-91ED-43cb-92C2-25804820EDAC}">
            <c15:filteredLineSeries>
              <c15:ser>
                <c:idx val="10"/>
                <c:order val="9"/>
                <c:tx>
                  <c:strRef>
                    <c:extLst>
                      <c:ext uri="{02D57815-91ED-43cb-92C2-25804820EDAC}">
                        <c15:formulaRef>
                          <c15:sqref>'Table 7'!$A$12</c15:sqref>
                        </c15:formulaRef>
                      </c:ext>
                    </c:extLst>
                    <c:strCache>
                      <c:ptCount val="1"/>
                      <c:pt idx="0">
                        <c:v>Total</c:v>
                      </c:pt>
                    </c:strCache>
                  </c:strRef>
                </c:tx>
                <c:spPr>
                  <a:ln w="28575" cap="rnd">
                    <a:solidFill>
                      <a:schemeClr val="accent5">
                        <a:lumMod val="60000"/>
                      </a:schemeClr>
                    </a:solidFill>
                    <a:round/>
                  </a:ln>
                  <a:effectLst/>
                </c:spPr>
                <c:marker>
                  <c:symbol val="none"/>
                </c:marker>
                <c:cat>
                  <c:strRef>
                    <c:extLst>
                      <c:ext uri="{02D57815-91ED-43cb-92C2-25804820EDAC}">
                        <c15:fullRef>
                          <c15:sqref>'Table 7'!$B$2:$Q$2</c15:sqref>
                        </c15:fullRef>
                        <c15:formulaRef>
                          <c15:sqref>'Table 7'!$G$2:$Q$2</c15:sqref>
                        </c15:formulaRef>
                      </c:ext>
                    </c:extLst>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uri="{02D57815-91ED-43cb-92C2-25804820EDAC}">
                        <c15:fullRef>
                          <c15:sqref>'Table 7'!$B$12:$Q$12</c15:sqref>
                        </c15:fullRef>
                        <c15:formulaRef>
                          <c15:sqref>'Table 7'!$G$12:$Q$12</c15:sqref>
                        </c15:formulaRef>
                      </c:ext>
                    </c:extLst>
                    <c:numCache>
                      <c:formatCode>_(* #,##0_);_(* \(#,##0\);_(* "-"??_);_(@_)</c:formatCode>
                      <c:ptCount val="11"/>
                      <c:pt idx="0">
                        <c:v>26734.6</c:v>
                      </c:pt>
                      <c:pt idx="1">
                        <c:v>29041.990935384809</c:v>
                      </c:pt>
                      <c:pt idx="2">
                        <c:v>29237.319179077938</c:v>
                      </c:pt>
                      <c:pt idx="3">
                        <c:v>28686</c:v>
                      </c:pt>
                      <c:pt idx="4">
                        <c:v>26526</c:v>
                      </c:pt>
                      <c:pt idx="5">
                        <c:v>26102</c:v>
                      </c:pt>
                      <c:pt idx="6">
                        <c:v>21275</c:v>
                      </c:pt>
                      <c:pt idx="7">
                        <c:v>23092</c:v>
                      </c:pt>
                      <c:pt idx="8">
                        <c:v>23246</c:v>
                      </c:pt>
                      <c:pt idx="9">
                        <c:v>22466</c:v>
                      </c:pt>
                      <c:pt idx="10">
                        <c:v>20312</c:v>
                      </c:pt>
                    </c:numCache>
                  </c:numRef>
                </c:val>
                <c:smooth val="0"/>
                <c:extLst>
                  <c:ext xmlns:c16="http://schemas.microsoft.com/office/drawing/2014/chart" uri="{C3380CC4-5D6E-409C-BE32-E72D297353CC}">
                    <c16:uniqueId val="{00000009-BB7F-400D-9A8B-3420CB35E3E5}"/>
                  </c:ext>
                </c:extLst>
              </c15:ser>
            </c15:filteredLineSeries>
          </c:ext>
        </c:extLst>
      </c:lineChart>
      <c:catAx>
        <c:axId val="667818912"/>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sz="1100">
                    <a:solidFill>
                      <a:sysClr val="windowText" lastClr="000000"/>
                    </a:solidFill>
                  </a:rPr>
                  <a:t>Year</a:t>
                </a:r>
              </a:p>
            </c:rich>
          </c:tx>
          <c:layout>
            <c:manualLayout>
              <c:xMode val="edge"/>
              <c:yMode val="edge"/>
              <c:x val="0.48621160805817681"/>
              <c:y val="0.85719790333856838"/>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7822512"/>
        <c:crosses val="autoZero"/>
        <c:auto val="1"/>
        <c:lblAlgn val="ctr"/>
        <c:lblOffset val="100"/>
        <c:noMultiLvlLbl val="0"/>
      </c:catAx>
      <c:valAx>
        <c:axId val="667822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7818912"/>
        <c:crosses val="autoZero"/>
        <c:crossBetween val="between"/>
      </c:valAx>
      <c:spPr>
        <a:noFill/>
        <a:ln>
          <a:noFill/>
        </a:ln>
        <a:effectLst/>
      </c:spPr>
    </c:plotArea>
    <c:legend>
      <c:legendPos val="b"/>
      <c:layout>
        <c:manualLayout>
          <c:xMode val="edge"/>
          <c:yMode val="edge"/>
          <c:x val="0.11799282097484388"/>
          <c:y val="0.90949760002096547"/>
          <c:w val="0.67793631050499847"/>
          <c:h val="6.0383980266202078E-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Fatal</c:v>
          </c:tx>
          <c:spPr>
            <a:solidFill>
              <a:srgbClr val="AA4499"/>
            </a:solidFill>
            <a:ln>
              <a:noFill/>
            </a:ln>
            <a:effectLst/>
          </c:spPr>
          <c:invertIfNegative val="0"/>
          <c:dLbls>
            <c:dLbl>
              <c:idx val="0"/>
              <c:layout>
                <c:manualLayout>
                  <c:x val="3.6518091832811898E-2"/>
                  <c:y val="-2.4875356125356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5D-41AB-8D81-FECB288EB0AE}"/>
                </c:ext>
              </c:extLst>
            </c:dLbl>
            <c:dLbl>
              <c:idx val="1"/>
              <c:layout>
                <c:manualLayout>
                  <c:x val="3.1754862463314694E-2"/>
                  <c:y val="-1.8091168091168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15D-41AB-8D81-FECB288EB0AE}"/>
                </c:ext>
              </c:extLst>
            </c:dLbl>
            <c:dLbl>
              <c:idx val="2"/>
              <c:layout>
                <c:manualLayout>
                  <c:x val="3.6518091832811843E-2"/>
                  <c:y val="-1.35683760683760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15D-41AB-8D81-FECB288EB0AE}"/>
                </c:ext>
              </c:extLst>
            </c:dLbl>
            <c:dLbl>
              <c:idx val="3"/>
              <c:layout>
                <c:manualLayout>
                  <c:x val="3.8105834955977635E-2"/>
                  <c:y val="-1.5829772079772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15D-41AB-8D81-FECB288EB0AE}"/>
                </c:ext>
              </c:extLst>
            </c:dLbl>
            <c:dLbl>
              <c:idx val="4"/>
              <c:layout>
                <c:manualLayout>
                  <c:x val="3.1754862463314576E-2"/>
                  <c:y val="-1.35683760683760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15D-41AB-8D81-FECB288EB0AE}"/>
                </c:ext>
              </c:extLst>
            </c:dLbl>
            <c:dLbl>
              <c:idx val="5"/>
              <c:layout>
                <c:manualLayout>
                  <c:x val="4.1281321202308985E-2"/>
                  <c:y val="-1.35683760683760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15D-41AB-8D81-FECB288EB0AE}"/>
                </c:ext>
              </c:extLst>
            </c:dLbl>
            <c:dLbl>
              <c:idx val="6"/>
              <c:layout>
                <c:manualLayout>
                  <c:x val="3.651809183281178E-2"/>
                  <c:y val="-1.8091168091168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15D-41AB-8D81-FECB288EB0AE}"/>
                </c:ext>
              </c:extLst>
            </c:dLbl>
            <c:dLbl>
              <c:idx val="7"/>
              <c:layout>
                <c:manualLayout>
                  <c:x val="2.8579376216983227E-2"/>
                  <c:y val="-1.8091168091168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15D-41AB-8D81-FECB288EB0AE}"/>
                </c:ext>
              </c:extLst>
            </c:dLbl>
            <c:dLbl>
              <c:idx val="8"/>
              <c:layout>
                <c:manualLayout>
                  <c:x val="3.4930348709646279E-2"/>
                  <c:y val="-9.045584045584045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15D-41AB-8D81-FECB288EB0A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'Table 8'!$A$3:$A$11</c:f>
              <c:strCache>
                <c:ptCount val="9"/>
                <c:pt idx="0">
                  <c:v>Pedestrians</c:v>
                </c:pt>
                <c:pt idx="1">
                  <c:v>Pedal cyclists</c:v>
                </c:pt>
                <c:pt idx="2">
                  <c:v>Motorcycle users</c:v>
                </c:pt>
                <c:pt idx="3">
                  <c:v>Car occupants</c:v>
                </c:pt>
                <c:pt idx="4">
                  <c:v>Bus or coach occupants</c:v>
                </c:pt>
                <c:pt idx="5">
                  <c:v>Other vehicle occupants</c:v>
                </c:pt>
                <c:pt idx="6">
                  <c:v>Goods vehicle occupants</c:v>
                </c:pt>
                <c:pt idx="7">
                  <c:v>Private Hire occupants</c:v>
                </c:pt>
                <c:pt idx="8">
                  <c:v>Taxi occupants</c:v>
                </c:pt>
              </c:strCache>
            </c:strRef>
          </c:cat>
          <c:val>
            <c:numRef>
              <c:f>'Table 8'!$C$3:$C$11</c:f>
              <c:numCache>
                <c:formatCode>General</c:formatCode>
                <c:ptCount val="9"/>
                <c:pt idx="0">
                  <c:v>61</c:v>
                </c:pt>
                <c:pt idx="1">
                  <c:v>9</c:v>
                </c:pt>
                <c:pt idx="2">
                  <c:v>18</c:v>
                </c:pt>
                <c:pt idx="3">
                  <c:v>18</c:v>
                </c:pt>
                <c:pt idx="4">
                  <c:v>2</c:v>
                </c:pt>
                <c:pt idx="5">
                  <c:v>1</c:v>
                </c:pt>
                <c:pt idx="6">
                  <c:v>1</c:v>
                </c:pt>
                <c:pt idx="7">
                  <c:v>0</c:v>
                </c:pt>
                <c:pt idx="8">
                  <c:v>0</c:v>
                </c:pt>
              </c:numCache>
            </c:numRef>
          </c:val>
          <c:extLst>
            <c:ext xmlns:c16="http://schemas.microsoft.com/office/drawing/2014/chart" uri="{C3380CC4-5D6E-409C-BE32-E72D297353CC}">
              <c16:uniqueId val="{00000000-B34A-4527-B9C3-19D43AB10E90}"/>
            </c:ext>
          </c:extLst>
        </c:ser>
        <c:ser>
          <c:idx val="1"/>
          <c:order val="1"/>
          <c:tx>
            <c:v>Serious</c:v>
          </c:tx>
          <c:spPr>
            <a:solidFill>
              <a:srgbClr val="117733"/>
            </a:solidFill>
            <a:ln>
              <a:noFill/>
            </a:ln>
            <a:effectLst/>
          </c:spPr>
          <c:invertIfNegative val="0"/>
          <c:cat>
            <c:strRef>
              <c:f>'Table 8'!$A$3:$A$11</c:f>
              <c:strCache>
                <c:ptCount val="9"/>
                <c:pt idx="0">
                  <c:v>Pedestrians</c:v>
                </c:pt>
                <c:pt idx="1">
                  <c:v>Pedal cyclists</c:v>
                </c:pt>
                <c:pt idx="2">
                  <c:v>Motorcycle users</c:v>
                </c:pt>
                <c:pt idx="3">
                  <c:v>Car occupants</c:v>
                </c:pt>
                <c:pt idx="4">
                  <c:v>Bus or coach occupants</c:v>
                </c:pt>
                <c:pt idx="5">
                  <c:v>Other vehicle occupants</c:v>
                </c:pt>
                <c:pt idx="6">
                  <c:v>Goods vehicle occupants</c:v>
                </c:pt>
                <c:pt idx="7">
                  <c:v>Private Hire occupants</c:v>
                </c:pt>
                <c:pt idx="8">
                  <c:v>Taxi occupants</c:v>
                </c:pt>
              </c:strCache>
            </c:strRef>
          </c:cat>
          <c:val>
            <c:numRef>
              <c:f>'Table 8'!$G$3:$G$11</c:f>
              <c:numCache>
                <c:formatCode>_-* #,##0_-;\-* #,##0_-;_-* "-"??_-;_-@_-</c:formatCode>
                <c:ptCount val="9"/>
                <c:pt idx="0">
                  <c:v>1133</c:v>
                </c:pt>
                <c:pt idx="1">
                  <c:v>985</c:v>
                </c:pt>
                <c:pt idx="2">
                  <c:v>788</c:v>
                </c:pt>
                <c:pt idx="3">
                  <c:v>452</c:v>
                </c:pt>
                <c:pt idx="4">
                  <c:v>113</c:v>
                </c:pt>
                <c:pt idx="5">
                  <c:v>69</c:v>
                </c:pt>
                <c:pt idx="6">
                  <c:v>33</c:v>
                </c:pt>
                <c:pt idx="7">
                  <c:v>12</c:v>
                </c:pt>
                <c:pt idx="8">
                  <c:v>12</c:v>
                </c:pt>
              </c:numCache>
            </c:numRef>
          </c:val>
          <c:extLst>
            <c:ext xmlns:c16="http://schemas.microsoft.com/office/drawing/2014/chart" uri="{C3380CC4-5D6E-409C-BE32-E72D297353CC}">
              <c16:uniqueId val="{00000001-B34A-4527-B9C3-19D43AB10E90}"/>
            </c:ext>
          </c:extLst>
        </c:ser>
        <c:ser>
          <c:idx val="2"/>
          <c:order val="2"/>
          <c:tx>
            <c:v>Slight</c:v>
          </c:tx>
          <c:spPr>
            <a:solidFill>
              <a:srgbClr val="88CCEE"/>
            </a:solidFill>
            <a:ln>
              <a:noFill/>
            </a:ln>
            <a:effectLst/>
          </c:spPr>
          <c:invertIfNegative val="0"/>
          <c:cat>
            <c:strRef>
              <c:f>'Table 8'!$A$3:$A$11</c:f>
              <c:strCache>
                <c:ptCount val="9"/>
                <c:pt idx="0">
                  <c:v>Pedestrians</c:v>
                </c:pt>
                <c:pt idx="1">
                  <c:v>Pedal cyclists</c:v>
                </c:pt>
                <c:pt idx="2">
                  <c:v>Motorcycle users</c:v>
                </c:pt>
                <c:pt idx="3">
                  <c:v>Car occupants</c:v>
                </c:pt>
                <c:pt idx="4">
                  <c:v>Bus or coach occupants</c:v>
                </c:pt>
                <c:pt idx="5">
                  <c:v>Other vehicle occupants</c:v>
                </c:pt>
                <c:pt idx="6">
                  <c:v>Goods vehicle occupants</c:v>
                </c:pt>
                <c:pt idx="7">
                  <c:v>Private Hire occupants</c:v>
                </c:pt>
                <c:pt idx="8">
                  <c:v>Taxi occupants</c:v>
                </c:pt>
              </c:strCache>
            </c:strRef>
          </c:cat>
          <c:val>
            <c:numRef>
              <c:f>'Table 8'!$K$3:$K$11</c:f>
              <c:numCache>
                <c:formatCode>_-* #,##0_-;\-* #,##0_-;_-* "-"??_-;_-@_-</c:formatCode>
                <c:ptCount val="9"/>
                <c:pt idx="0">
                  <c:v>3255</c:v>
                </c:pt>
                <c:pt idx="1">
                  <c:v>3884</c:v>
                </c:pt>
                <c:pt idx="2">
                  <c:v>4356</c:v>
                </c:pt>
                <c:pt idx="3">
                  <c:v>6903</c:v>
                </c:pt>
                <c:pt idx="4">
                  <c:v>908</c:v>
                </c:pt>
                <c:pt idx="5">
                  <c:v>237</c:v>
                </c:pt>
                <c:pt idx="6">
                  <c:v>397</c:v>
                </c:pt>
                <c:pt idx="7">
                  <c:v>168</c:v>
                </c:pt>
                <c:pt idx="8">
                  <c:v>204</c:v>
                </c:pt>
              </c:numCache>
            </c:numRef>
          </c:val>
          <c:extLst>
            <c:ext xmlns:c16="http://schemas.microsoft.com/office/drawing/2014/chart" uri="{C3380CC4-5D6E-409C-BE32-E72D297353CC}">
              <c16:uniqueId val="{00000002-B34A-4527-B9C3-19D43AB10E90}"/>
            </c:ext>
          </c:extLst>
        </c:ser>
        <c:dLbls>
          <c:showLegendKey val="0"/>
          <c:showVal val="0"/>
          <c:showCatName val="0"/>
          <c:showSerName val="0"/>
          <c:showPercent val="0"/>
          <c:showBubbleSize val="0"/>
        </c:dLbls>
        <c:gapWidth val="150"/>
        <c:overlap val="100"/>
        <c:axId val="1127257952"/>
        <c:axId val="1127246144"/>
      </c:barChart>
      <c:catAx>
        <c:axId val="1127257952"/>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sz="1100">
                    <a:solidFill>
                      <a:sysClr val="windowText" lastClr="000000"/>
                    </a:solidFill>
                  </a:rPr>
                  <a:t>Casualty Mode</a:t>
                </a:r>
              </a:p>
            </c:rich>
          </c:tx>
          <c:layout>
            <c:manualLayout>
              <c:xMode val="edge"/>
              <c:yMode val="edge"/>
              <c:x val="0.47021493164798278"/>
              <c:y val="0.93304121394530393"/>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7246144"/>
        <c:crosses val="autoZero"/>
        <c:auto val="1"/>
        <c:lblAlgn val="ctr"/>
        <c:lblOffset val="100"/>
        <c:noMultiLvlLbl val="0"/>
      </c:catAx>
      <c:valAx>
        <c:axId val="1127246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7257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273932656244948E-2"/>
          <c:y val="4.4582456140350869E-2"/>
          <c:w val="0.92434540348186534"/>
          <c:h val="0.77471036407419402"/>
        </c:manualLayout>
      </c:layout>
      <c:barChart>
        <c:barDir val="col"/>
        <c:grouping val="stacked"/>
        <c:varyColors val="0"/>
        <c:ser>
          <c:idx val="0"/>
          <c:order val="0"/>
          <c:tx>
            <c:strRef>
              <c:f>'Table 9'!$A$3</c:f>
              <c:strCache>
                <c:ptCount val="1"/>
                <c:pt idx="0">
                  <c:v>Pedestrians</c:v>
                </c:pt>
              </c:strCache>
            </c:strRef>
          </c:tx>
          <c:spPr>
            <a:solidFill>
              <a:srgbClr val="AA4499"/>
            </a:solidFill>
            <a:ln>
              <a:noFill/>
            </a:ln>
            <a:effectLst/>
          </c:spPr>
          <c:invertIfNegative val="0"/>
          <c:cat>
            <c:strRef>
              <c:extLst>
                <c:ext xmlns:c15="http://schemas.microsoft.com/office/drawing/2012/chart" uri="{02D57815-91ED-43cb-92C2-25804820EDAC}">
                  <c15:fullRef>
                    <c15:sqref>'Table 9'!$B$2:$Q$2</c15:sqref>
                  </c15:fullRef>
                </c:ext>
              </c:extLst>
              <c:f>'Table 9'!$G$2:$Q$2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9'!$B$3:$Q$3</c15:sqref>
                  </c15:fullRef>
                </c:ext>
              </c:extLst>
              <c:f>'Table 9'!$G$3:$Q$3</c:f>
              <c:numCache>
                <c:formatCode>_(* #,##0_);_(* \(#,##0\);_(* "-"??_);_(@_)</c:formatCode>
                <c:ptCount val="11"/>
                <c:pt idx="0">
                  <c:v>5862.8</c:v>
                </c:pt>
                <c:pt idx="1">
                  <c:v>5874.944262636096</c:v>
                </c:pt>
                <c:pt idx="2">
                  <c:v>6055.9023250409227</c:v>
                </c:pt>
                <c:pt idx="3">
                  <c:v>6652</c:v>
                </c:pt>
                <c:pt idx="4">
                  <c:v>5762</c:v>
                </c:pt>
                <c:pt idx="5">
                  <c:v>5662</c:v>
                </c:pt>
                <c:pt idx="6">
                  <c:v>3677</c:v>
                </c:pt>
                <c:pt idx="7">
                  <c:v>3837</c:v>
                </c:pt>
                <c:pt idx="8">
                  <c:v>4555</c:v>
                </c:pt>
                <c:pt idx="9">
                  <c:v>4555</c:v>
                </c:pt>
                <c:pt idx="10">
                  <c:v>4449</c:v>
                </c:pt>
              </c:numCache>
            </c:numRef>
          </c:val>
          <c:extLst xmlns:c15="http://schemas.microsoft.com/office/drawing/2012/chart">
            <c:ext xmlns:c16="http://schemas.microsoft.com/office/drawing/2014/chart" uri="{C3380CC4-5D6E-409C-BE32-E72D297353CC}">
              <c16:uniqueId val="{0000000A-9462-4911-9BD6-EE628B45E06A}"/>
            </c:ext>
          </c:extLst>
        </c:ser>
        <c:ser>
          <c:idx val="3"/>
          <c:order val="1"/>
          <c:tx>
            <c:strRef>
              <c:f>'Table 9'!$A$4</c:f>
              <c:strCache>
                <c:ptCount val="1"/>
                <c:pt idx="0">
                  <c:v>Pedal cyclists</c:v>
                </c:pt>
              </c:strCache>
            </c:strRef>
          </c:tx>
          <c:spPr>
            <a:solidFill>
              <a:srgbClr val="999933"/>
            </a:solidFill>
            <a:ln>
              <a:noFill/>
            </a:ln>
            <a:effectLst/>
          </c:spPr>
          <c:invertIfNegative val="0"/>
          <c:cat>
            <c:strRef>
              <c:extLst>
                <c:ext xmlns:c15="http://schemas.microsoft.com/office/drawing/2012/chart" uri="{02D57815-91ED-43cb-92C2-25804820EDAC}">
                  <c15:fullRef>
                    <c15:sqref>'Table 9'!$B$2:$Q$2</c15:sqref>
                  </c15:fullRef>
                </c:ext>
              </c:extLst>
              <c:f>'Table 9'!$G$2:$Q$2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9'!$B$4:$Q$4</c15:sqref>
                  </c15:fullRef>
                </c:ext>
              </c:extLst>
              <c:f>'Table 9'!$G$4:$Q$4</c:f>
              <c:numCache>
                <c:formatCode>_(* #,##0_);_(* \(#,##0\);_(* "-"??_);_(@_)</c:formatCode>
                <c:ptCount val="11"/>
                <c:pt idx="0">
                  <c:v>4983.2</c:v>
                </c:pt>
                <c:pt idx="1">
                  <c:v>4879.4158738594015</c:v>
                </c:pt>
                <c:pt idx="2">
                  <c:v>4822.3233183836182</c:v>
                </c:pt>
                <c:pt idx="3">
                  <c:v>4521</c:v>
                </c:pt>
                <c:pt idx="4">
                  <c:v>4755</c:v>
                </c:pt>
                <c:pt idx="5">
                  <c:v>4634</c:v>
                </c:pt>
                <c:pt idx="6">
                  <c:v>4789</c:v>
                </c:pt>
                <c:pt idx="7">
                  <c:v>5277</c:v>
                </c:pt>
                <c:pt idx="8">
                  <c:v>5091</c:v>
                </c:pt>
                <c:pt idx="9">
                  <c:v>4802</c:v>
                </c:pt>
                <c:pt idx="10">
                  <c:v>4878</c:v>
                </c:pt>
              </c:numCache>
            </c:numRef>
          </c:val>
          <c:extLst>
            <c:ext xmlns:c16="http://schemas.microsoft.com/office/drawing/2014/chart" uri="{C3380CC4-5D6E-409C-BE32-E72D297353CC}">
              <c16:uniqueId val="{00000000-9462-4911-9BD6-EE628B45E06A}"/>
            </c:ext>
          </c:extLst>
        </c:ser>
        <c:ser>
          <c:idx val="2"/>
          <c:order val="2"/>
          <c:tx>
            <c:strRef>
              <c:f>'Table 9'!$A$5</c:f>
              <c:strCache>
                <c:ptCount val="1"/>
                <c:pt idx="0">
                  <c:v>Motorcycle users</c:v>
                </c:pt>
              </c:strCache>
            </c:strRef>
          </c:tx>
          <c:spPr>
            <a:solidFill>
              <a:srgbClr val="44AA99"/>
            </a:solidFill>
            <a:ln>
              <a:noFill/>
            </a:ln>
            <a:effectLst/>
          </c:spPr>
          <c:invertIfNegative val="0"/>
          <c:cat>
            <c:strRef>
              <c:extLst>
                <c:ext xmlns:c15="http://schemas.microsoft.com/office/drawing/2012/chart" uri="{02D57815-91ED-43cb-92C2-25804820EDAC}">
                  <c15:fullRef>
                    <c15:sqref>'Table 9'!$B$2:$Q$2</c15:sqref>
                  </c15:fullRef>
                </c:ext>
              </c:extLst>
              <c:f>'Table 9'!$G$2:$Q$2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9'!$B$5:$Q$5</c15:sqref>
                  </c15:fullRef>
                </c:ext>
              </c:extLst>
              <c:f>'Table 9'!$G$5:$Q$5</c:f>
              <c:numCache>
                <c:formatCode>_(* #,##0_);_(* \(#,##0\);_(* "-"??_);_(@_)</c:formatCode>
                <c:ptCount val="11"/>
                <c:pt idx="0">
                  <c:v>5102.2</c:v>
                </c:pt>
                <c:pt idx="1">
                  <c:v>5944.7326623765875</c:v>
                </c:pt>
                <c:pt idx="2">
                  <c:v>5737.584015278946</c:v>
                </c:pt>
                <c:pt idx="3">
                  <c:v>5577</c:v>
                </c:pt>
                <c:pt idx="4">
                  <c:v>5122</c:v>
                </c:pt>
                <c:pt idx="5">
                  <c:v>5391</c:v>
                </c:pt>
                <c:pt idx="6">
                  <c:v>5012</c:v>
                </c:pt>
                <c:pt idx="7">
                  <c:v>6006</c:v>
                </c:pt>
                <c:pt idx="8">
                  <c:v>6151</c:v>
                </c:pt>
                <c:pt idx="9">
                  <c:v>6406</c:v>
                </c:pt>
                <c:pt idx="10">
                  <c:v>5162</c:v>
                </c:pt>
              </c:numCache>
            </c:numRef>
          </c:val>
          <c:extLst>
            <c:ext xmlns:c16="http://schemas.microsoft.com/office/drawing/2014/chart" uri="{C3380CC4-5D6E-409C-BE32-E72D297353CC}">
              <c16:uniqueId val="{00000001-9462-4911-9BD6-EE628B45E06A}"/>
            </c:ext>
          </c:extLst>
        </c:ser>
        <c:ser>
          <c:idx val="4"/>
          <c:order val="3"/>
          <c:tx>
            <c:strRef>
              <c:f>'Table 9'!$A$6</c:f>
              <c:strCache>
                <c:ptCount val="1"/>
                <c:pt idx="0">
                  <c:v>Car occupants</c:v>
                </c:pt>
              </c:strCache>
            </c:strRef>
          </c:tx>
          <c:spPr>
            <a:solidFill>
              <a:srgbClr val="882255"/>
            </a:solidFill>
            <a:ln>
              <a:noFill/>
            </a:ln>
            <a:effectLst/>
          </c:spPr>
          <c:invertIfNegative val="0"/>
          <c:cat>
            <c:strRef>
              <c:extLst>
                <c:ext xmlns:c15="http://schemas.microsoft.com/office/drawing/2012/chart" uri="{02D57815-91ED-43cb-92C2-25804820EDAC}">
                  <c15:fullRef>
                    <c15:sqref>'Table 9'!$B$2:$Q$2</c15:sqref>
                  </c15:fullRef>
                </c:ext>
              </c:extLst>
              <c:f>'Table 9'!$G$2:$Q$2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9'!$B$6:$Q$6</c15:sqref>
                  </c15:fullRef>
                </c:ext>
              </c:extLst>
              <c:f>'Table 9'!$G$6:$Q$6</c:f>
              <c:numCache>
                <c:formatCode>_(* #,##0_);_(* \(#,##0\);_(* "-"??_);_(@_)</c:formatCode>
                <c:ptCount val="11"/>
                <c:pt idx="0">
                  <c:v>12667</c:v>
                </c:pt>
                <c:pt idx="1">
                  <c:v>12902.959276077498</c:v>
                </c:pt>
                <c:pt idx="2">
                  <c:v>12998.970915271519</c:v>
                </c:pt>
                <c:pt idx="3">
                  <c:v>12375</c:v>
                </c:pt>
                <c:pt idx="4">
                  <c:v>11804</c:v>
                </c:pt>
                <c:pt idx="5">
                  <c:v>11457</c:v>
                </c:pt>
                <c:pt idx="6">
                  <c:v>8852</c:v>
                </c:pt>
                <c:pt idx="7">
                  <c:v>9100</c:v>
                </c:pt>
                <c:pt idx="8">
                  <c:v>9002</c:v>
                </c:pt>
                <c:pt idx="9">
                  <c:v>8028</c:v>
                </c:pt>
                <c:pt idx="10">
                  <c:v>7373</c:v>
                </c:pt>
              </c:numCache>
            </c:numRef>
          </c:val>
          <c:extLst>
            <c:ext xmlns:c16="http://schemas.microsoft.com/office/drawing/2014/chart" uri="{C3380CC4-5D6E-409C-BE32-E72D297353CC}">
              <c16:uniqueId val="{00000002-9462-4911-9BD6-EE628B45E06A}"/>
            </c:ext>
          </c:extLst>
        </c:ser>
        <c:ser>
          <c:idx val="1"/>
          <c:order val="4"/>
          <c:tx>
            <c:strRef>
              <c:f>'Table 9'!$A$7</c:f>
              <c:strCache>
                <c:ptCount val="1"/>
                <c:pt idx="0">
                  <c:v>Bus or coach occupants</c:v>
                </c:pt>
              </c:strCache>
            </c:strRef>
          </c:tx>
          <c:spPr>
            <a:solidFill>
              <a:srgbClr val="88CCEE"/>
            </a:solidFill>
            <a:ln>
              <a:noFill/>
            </a:ln>
            <a:effectLst/>
          </c:spPr>
          <c:invertIfNegative val="0"/>
          <c:cat>
            <c:strRef>
              <c:extLst>
                <c:ext xmlns:c15="http://schemas.microsoft.com/office/drawing/2012/chart" uri="{02D57815-91ED-43cb-92C2-25804820EDAC}">
                  <c15:fullRef>
                    <c15:sqref>'Table 9'!$B$2:$Q$2</c15:sqref>
                  </c15:fullRef>
                </c:ext>
              </c:extLst>
              <c:f>'Table 9'!$G$2:$Q$2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9'!$B$7:$Q$7</c15:sqref>
                  </c15:fullRef>
                </c:ext>
              </c:extLst>
              <c:f>'Table 9'!$G$7:$Q$7</c:f>
              <c:numCache>
                <c:formatCode>_(* #,##0_);_(* \(#,##0\);_(* "-"??_);_(@_)</c:formatCode>
                <c:ptCount val="11"/>
                <c:pt idx="0">
                  <c:v>1580</c:v>
                </c:pt>
                <c:pt idx="1">
                  <c:v>1740.8020182918301</c:v>
                </c:pt>
                <c:pt idx="2">
                  <c:v>1739.7492683871253</c:v>
                </c:pt>
                <c:pt idx="3">
                  <c:v>1752</c:v>
                </c:pt>
                <c:pt idx="4">
                  <c:v>1451</c:v>
                </c:pt>
                <c:pt idx="5">
                  <c:v>1174</c:v>
                </c:pt>
                <c:pt idx="6">
                  <c:v>645</c:v>
                </c:pt>
                <c:pt idx="7">
                  <c:v>866</c:v>
                </c:pt>
                <c:pt idx="8">
                  <c:v>1015</c:v>
                </c:pt>
                <c:pt idx="9">
                  <c:v>1049</c:v>
                </c:pt>
                <c:pt idx="10">
                  <c:v>1023</c:v>
                </c:pt>
              </c:numCache>
            </c:numRef>
          </c:val>
          <c:extLst>
            <c:ext xmlns:c16="http://schemas.microsoft.com/office/drawing/2014/chart" uri="{C3380CC4-5D6E-409C-BE32-E72D297353CC}">
              <c16:uniqueId val="{00000003-9462-4911-9BD6-EE628B45E06A}"/>
            </c:ext>
          </c:extLst>
        </c:ser>
        <c:ser>
          <c:idx val="8"/>
          <c:order val="5"/>
          <c:tx>
            <c:strRef>
              <c:f>'Table 9'!$A$8</c:f>
              <c:strCache>
                <c:ptCount val="1"/>
                <c:pt idx="0">
                  <c:v>Other vehicle occupants</c:v>
                </c:pt>
              </c:strCache>
            </c:strRef>
          </c:tx>
          <c:spPr>
            <a:solidFill>
              <a:srgbClr val="117733"/>
            </a:solidFill>
            <a:ln>
              <a:noFill/>
            </a:ln>
            <a:effectLst/>
          </c:spPr>
          <c:invertIfNegative val="0"/>
          <c:cat>
            <c:strRef>
              <c:extLst>
                <c:ext xmlns:c15="http://schemas.microsoft.com/office/drawing/2012/chart" uri="{02D57815-91ED-43cb-92C2-25804820EDAC}">
                  <c15:fullRef>
                    <c15:sqref>'Table 9'!$B$2:$Q$2</c15:sqref>
                  </c15:fullRef>
                </c:ext>
              </c:extLst>
              <c:f>'Table 9'!$G$2:$Q$2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9'!$B$8:$Q$8</c15:sqref>
                  </c15:fullRef>
                </c:ext>
              </c:extLst>
              <c:f>'Table 9'!$G$8:$Q$8</c:f>
              <c:numCache>
                <c:formatCode>_(* #,##0_);_(* \(#,##0\);_(* "-"??_);_(@_)</c:formatCode>
                <c:ptCount val="11"/>
                <c:pt idx="0">
                  <c:v>143</c:v>
                </c:pt>
                <c:pt idx="1">
                  <c:v>68.465103263653674</c:v>
                </c:pt>
                <c:pt idx="2">
                  <c:v>146.52331832798768</c:v>
                </c:pt>
                <c:pt idx="3">
                  <c:v>175</c:v>
                </c:pt>
                <c:pt idx="4">
                  <c:v>106</c:v>
                </c:pt>
                <c:pt idx="5">
                  <c:v>149</c:v>
                </c:pt>
                <c:pt idx="6">
                  <c:v>308</c:v>
                </c:pt>
                <c:pt idx="7">
                  <c:v>491</c:v>
                </c:pt>
                <c:pt idx="8">
                  <c:v>381</c:v>
                </c:pt>
                <c:pt idx="9">
                  <c:v>337</c:v>
                </c:pt>
                <c:pt idx="10">
                  <c:v>307</c:v>
                </c:pt>
              </c:numCache>
            </c:numRef>
          </c:val>
          <c:extLst>
            <c:ext xmlns:c16="http://schemas.microsoft.com/office/drawing/2014/chart" uri="{C3380CC4-5D6E-409C-BE32-E72D297353CC}">
              <c16:uniqueId val="{00000004-9462-4911-9BD6-EE628B45E06A}"/>
            </c:ext>
          </c:extLst>
        </c:ser>
        <c:ser>
          <c:idx val="9"/>
          <c:order val="6"/>
          <c:tx>
            <c:strRef>
              <c:f>'Table 9'!$A$9</c:f>
              <c:strCache>
                <c:ptCount val="1"/>
                <c:pt idx="0">
                  <c:v>Goods vehicle occupants</c:v>
                </c:pt>
              </c:strCache>
            </c:strRef>
          </c:tx>
          <c:spPr>
            <a:solidFill>
              <a:srgbClr val="DDCC77"/>
            </a:solidFill>
            <a:ln>
              <a:noFill/>
            </a:ln>
            <a:effectLst/>
          </c:spPr>
          <c:invertIfNegative val="0"/>
          <c:cat>
            <c:strRef>
              <c:extLst>
                <c:ext xmlns:c15="http://schemas.microsoft.com/office/drawing/2012/chart" uri="{02D57815-91ED-43cb-92C2-25804820EDAC}">
                  <c15:fullRef>
                    <c15:sqref>'Table 9'!$B$2:$Q$2</c15:sqref>
                  </c15:fullRef>
                </c:ext>
              </c:extLst>
              <c:f>'Table 9'!$G$2:$Q$2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9'!$B$9:$Q$9</c15:sqref>
                  </c15:fullRef>
                </c:ext>
              </c:extLst>
              <c:f>'Table 9'!$G$9:$Q$9</c:f>
              <c:numCache>
                <c:formatCode>_(* #,##0_);_(* \(#,##0\);_(* "-"??_);_(@_)</c:formatCode>
                <c:ptCount val="11"/>
                <c:pt idx="0">
                  <c:v>664.8</c:v>
                </c:pt>
                <c:pt idx="1">
                  <c:v>592.97378568946999</c:v>
                </c:pt>
                <c:pt idx="2">
                  <c:v>625.25552343967615</c:v>
                </c:pt>
                <c:pt idx="3">
                  <c:v>611</c:v>
                </c:pt>
                <c:pt idx="4">
                  <c:v>634</c:v>
                </c:pt>
                <c:pt idx="5">
                  <c:v>594</c:v>
                </c:pt>
                <c:pt idx="6">
                  <c:v>485</c:v>
                </c:pt>
                <c:pt idx="7">
                  <c:v>495</c:v>
                </c:pt>
                <c:pt idx="8">
                  <c:v>435</c:v>
                </c:pt>
                <c:pt idx="9">
                  <c:v>462</c:v>
                </c:pt>
                <c:pt idx="10">
                  <c:v>431</c:v>
                </c:pt>
              </c:numCache>
            </c:numRef>
          </c:val>
          <c:extLst>
            <c:ext xmlns:c16="http://schemas.microsoft.com/office/drawing/2014/chart" uri="{C3380CC4-5D6E-409C-BE32-E72D297353CC}">
              <c16:uniqueId val="{00000005-9462-4911-9BD6-EE628B45E06A}"/>
            </c:ext>
          </c:extLst>
        </c:ser>
        <c:ser>
          <c:idx val="7"/>
          <c:order val="7"/>
          <c:tx>
            <c:strRef>
              <c:f>'Table 9'!$A$10</c:f>
              <c:strCache>
                <c:ptCount val="1"/>
                <c:pt idx="0">
                  <c:v>Private hire occupants*</c:v>
                </c:pt>
              </c:strCache>
            </c:strRef>
          </c:tx>
          <c:spPr>
            <a:solidFill>
              <a:srgbClr val="332288"/>
            </a:solidFill>
            <a:ln>
              <a:noFill/>
            </a:ln>
            <a:effectLst/>
          </c:spPr>
          <c:invertIfNegative val="0"/>
          <c:cat>
            <c:strRef>
              <c:extLst>
                <c:ext xmlns:c15="http://schemas.microsoft.com/office/drawing/2012/chart" uri="{02D57815-91ED-43cb-92C2-25804820EDAC}">
                  <c15:fullRef>
                    <c15:sqref>'Table 9'!$B$2:$Q$2</c15:sqref>
                  </c15:fullRef>
                </c:ext>
              </c:extLst>
              <c:f>'Table 9'!$G$2:$Q$2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9'!$B$10:$Q$10</c15:sqref>
                  </c15:fullRef>
                </c:ext>
              </c:extLst>
              <c:f>'Table 9'!$G$10:$Q$10</c:f>
              <c:numCache>
                <c:formatCode>_(* #,##0_);_(* \(#,##0\);_(* "-"??_);_(@_)</c:formatCode>
                <c:ptCount val="11"/>
                <c:pt idx="0">
                  <c:v>0</c:v>
                </c:pt>
                <c:pt idx="1">
                  <c:v>0</c:v>
                </c:pt>
                <c:pt idx="2">
                  <c:v>0</c:v>
                </c:pt>
                <c:pt idx="3">
                  <c:v>684</c:v>
                </c:pt>
                <c:pt idx="4">
                  <c:v>529</c:v>
                </c:pt>
                <c:pt idx="5">
                  <c:v>425</c:v>
                </c:pt>
                <c:pt idx="6">
                  <c:v>231</c:v>
                </c:pt>
                <c:pt idx="7">
                  <c:v>257</c:v>
                </c:pt>
                <c:pt idx="8">
                  <c:v>258</c:v>
                </c:pt>
                <c:pt idx="9">
                  <c:v>205</c:v>
                </c:pt>
                <c:pt idx="10">
                  <c:v>180</c:v>
                </c:pt>
              </c:numCache>
            </c:numRef>
          </c:val>
          <c:extLst>
            <c:ext xmlns:c16="http://schemas.microsoft.com/office/drawing/2014/chart" uri="{C3380CC4-5D6E-409C-BE32-E72D297353CC}">
              <c16:uniqueId val="{00000006-9462-4911-9BD6-EE628B45E06A}"/>
            </c:ext>
          </c:extLst>
        </c:ser>
        <c:ser>
          <c:idx val="6"/>
          <c:order val="8"/>
          <c:tx>
            <c:strRef>
              <c:f>'Table 9'!$A$11</c:f>
              <c:strCache>
                <c:ptCount val="1"/>
                <c:pt idx="0">
                  <c:v>Taxi occupants*</c:v>
                </c:pt>
              </c:strCache>
            </c:strRef>
          </c:tx>
          <c:spPr>
            <a:solidFill>
              <a:srgbClr val="CC6677"/>
            </a:solidFill>
            <a:ln>
              <a:noFill/>
            </a:ln>
            <a:effectLst/>
          </c:spPr>
          <c:invertIfNegative val="0"/>
          <c:cat>
            <c:strRef>
              <c:extLst>
                <c:ext xmlns:c15="http://schemas.microsoft.com/office/drawing/2012/chart" uri="{02D57815-91ED-43cb-92C2-25804820EDAC}">
                  <c15:fullRef>
                    <c15:sqref>'Table 9'!$B$2:$Q$2</c15:sqref>
                  </c15:fullRef>
                </c:ext>
              </c:extLst>
              <c:f>'Table 9'!$G$2:$Q$2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9'!$B$11:$Q$11</c15:sqref>
                  </c15:fullRef>
                </c:ext>
              </c:extLst>
              <c:f>'Table 9'!$G$11:$Q$11</c:f>
              <c:numCache>
                <c:formatCode>_(* #,##0_);_(* \(#,##0\);_(* "-"??_);_(@_)</c:formatCode>
                <c:ptCount val="11"/>
                <c:pt idx="0">
                  <c:v>601.20000000000005</c:v>
                </c:pt>
                <c:pt idx="1">
                  <c:v>902.63698086333113</c:v>
                </c:pt>
                <c:pt idx="2">
                  <c:v>860.51359260875256</c:v>
                </c:pt>
                <c:pt idx="3">
                  <c:v>220</c:v>
                </c:pt>
                <c:pt idx="4">
                  <c:v>428</c:v>
                </c:pt>
                <c:pt idx="5">
                  <c:v>521</c:v>
                </c:pt>
                <c:pt idx="6">
                  <c:v>346</c:v>
                </c:pt>
                <c:pt idx="7">
                  <c:v>342</c:v>
                </c:pt>
                <c:pt idx="8">
                  <c:v>319</c:v>
                </c:pt>
                <c:pt idx="9">
                  <c:v>332</c:v>
                </c:pt>
                <c:pt idx="10">
                  <c:v>216</c:v>
                </c:pt>
              </c:numCache>
            </c:numRef>
          </c:val>
          <c:extLst>
            <c:ext xmlns:c16="http://schemas.microsoft.com/office/drawing/2014/chart" uri="{C3380CC4-5D6E-409C-BE32-E72D297353CC}">
              <c16:uniqueId val="{00000007-9462-4911-9BD6-EE628B45E06A}"/>
            </c:ext>
          </c:extLst>
        </c:ser>
        <c:dLbls>
          <c:showLegendKey val="0"/>
          <c:showVal val="0"/>
          <c:showCatName val="0"/>
          <c:showSerName val="0"/>
          <c:showPercent val="0"/>
          <c:showBubbleSize val="0"/>
        </c:dLbls>
        <c:gapWidth val="219"/>
        <c:overlap val="100"/>
        <c:axId val="1016932384"/>
        <c:axId val="1016940664"/>
        <c:extLst>
          <c:ext xmlns:c15="http://schemas.microsoft.com/office/drawing/2012/chart" uri="{02D57815-91ED-43cb-92C2-25804820EDAC}">
            <c15:filteredBarSeries>
              <c15:ser>
                <c:idx val="5"/>
                <c:order val="9"/>
                <c:tx>
                  <c:strRef>
                    <c:extLst>
                      <c:ext uri="{02D57815-91ED-43cb-92C2-25804820EDAC}">
                        <c15:formulaRef>
                          <c15:sqref>'Table 9'!$A$12</c15:sqref>
                        </c15:formulaRef>
                      </c:ext>
                    </c:extLst>
                    <c:strCache>
                      <c:ptCount val="1"/>
                      <c:pt idx="0">
                        <c:v>Total</c:v>
                      </c:pt>
                    </c:strCache>
                  </c:strRef>
                </c:tx>
                <c:spPr>
                  <a:solidFill>
                    <a:schemeClr val="accent6"/>
                  </a:solidFill>
                  <a:ln>
                    <a:noFill/>
                  </a:ln>
                  <a:effectLst/>
                </c:spPr>
                <c:invertIfNegative val="0"/>
                <c:cat>
                  <c:strRef>
                    <c:extLst>
                      <c:ext uri="{02D57815-91ED-43cb-92C2-25804820EDAC}">
                        <c15:fullRef>
                          <c15:sqref>'Table 9'!$B$2:$Q$2</c15:sqref>
                        </c15:fullRef>
                        <c15:formulaRef>
                          <c15:sqref>'Table 9'!$G$2:$Q$2</c15:sqref>
                        </c15:formulaRef>
                      </c:ext>
                    </c:extLst>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uri="{02D57815-91ED-43cb-92C2-25804820EDAC}">
                        <c15:fullRef>
                          <c15:sqref>'Table 9'!$B$12:$Q$12</c15:sqref>
                        </c15:fullRef>
                        <c15:formulaRef>
                          <c15:sqref>'Table 9'!$G$12:$Q$12</c15:sqref>
                        </c15:formulaRef>
                      </c:ext>
                    </c:extLst>
                    <c:numCache>
                      <c:formatCode>_(* #,##0_);_(* \(#,##0\);_(* "-"??_);_(@_)</c:formatCode>
                      <c:ptCount val="11"/>
                      <c:pt idx="0">
                        <c:v>31604.2</c:v>
                      </c:pt>
                      <c:pt idx="1">
                        <c:v>32906.929963057868</c:v>
                      </c:pt>
                      <c:pt idx="2">
                        <c:v>32986.822276738545</c:v>
                      </c:pt>
                      <c:pt idx="3">
                        <c:v>32567</c:v>
                      </c:pt>
                      <c:pt idx="4">
                        <c:v>30591</c:v>
                      </c:pt>
                      <c:pt idx="5">
                        <c:v>30007</c:v>
                      </c:pt>
                      <c:pt idx="6">
                        <c:v>24345</c:v>
                      </c:pt>
                      <c:pt idx="7">
                        <c:v>26671</c:v>
                      </c:pt>
                      <c:pt idx="8">
                        <c:v>27207</c:v>
                      </c:pt>
                      <c:pt idx="9">
                        <c:v>26176</c:v>
                      </c:pt>
                      <c:pt idx="10">
                        <c:v>24019</c:v>
                      </c:pt>
                    </c:numCache>
                  </c:numRef>
                </c:val>
                <c:extLst>
                  <c:ext xmlns:c16="http://schemas.microsoft.com/office/drawing/2014/chart" uri="{C3380CC4-5D6E-409C-BE32-E72D297353CC}">
                    <c16:uniqueId val="{00000008-9462-4911-9BD6-EE628B45E06A}"/>
                  </c:ext>
                </c:extLst>
              </c15:ser>
            </c15:filteredBarSeries>
          </c:ext>
        </c:extLst>
      </c:barChart>
      <c:lineChart>
        <c:grouping val="standard"/>
        <c:varyColors val="0"/>
        <c:ser>
          <c:idx val="10"/>
          <c:order val="10"/>
          <c:tx>
            <c:strRef>
              <c:f>'Table 9'!$A$13</c:f>
              <c:strCache>
                <c:ptCount val="1"/>
                <c:pt idx="0">
                  <c:v>2010-14 average</c:v>
                </c:pt>
              </c:strCache>
            </c:strRef>
          </c:tx>
          <c:spPr>
            <a:ln w="28575" cap="rnd">
              <a:solidFill>
                <a:srgbClr val="521A13"/>
              </a:solidFill>
              <a:round/>
            </a:ln>
            <a:effectLst/>
          </c:spPr>
          <c:marker>
            <c:symbol val="none"/>
          </c:marker>
          <c:cat>
            <c:strRef>
              <c:extLst>
                <c:ext xmlns:c15="http://schemas.microsoft.com/office/drawing/2012/chart" uri="{02D57815-91ED-43cb-92C2-25804820EDAC}">
                  <c15:fullRef>
                    <c15:sqref>'Table 9'!$B$2:$Q$2</c15:sqref>
                  </c15:fullRef>
                </c:ext>
              </c:extLst>
              <c:f>'Table 9'!$G$2:$Q$2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9'!$B$13:$Q$13</c15:sqref>
                  </c15:fullRef>
                </c:ext>
              </c:extLst>
              <c:f>'Table 9'!$G$13:$Q$13</c:f>
              <c:numCache>
                <c:formatCode>_(* #,##0_);_(* \(#,##0\);_(* "-"??_);_(@_)</c:formatCode>
                <c:ptCount val="11"/>
                <c:pt idx="0">
                  <c:v>31604.2</c:v>
                </c:pt>
                <c:pt idx="1">
                  <c:v>31604.2</c:v>
                </c:pt>
                <c:pt idx="2">
                  <c:v>31604.2</c:v>
                </c:pt>
                <c:pt idx="3">
                  <c:v>31604.2</c:v>
                </c:pt>
                <c:pt idx="4">
                  <c:v>31604.2</c:v>
                </c:pt>
                <c:pt idx="5">
                  <c:v>31604.2</c:v>
                </c:pt>
                <c:pt idx="6">
                  <c:v>31604.2</c:v>
                </c:pt>
                <c:pt idx="7">
                  <c:v>31604.2</c:v>
                </c:pt>
                <c:pt idx="8">
                  <c:v>31604.2</c:v>
                </c:pt>
                <c:pt idx="9">
                  <c:v>31604.2</c:v>
                </c:pt>
                <c:pt idx="10">
                  <c:v>31604.2</c:v>
                </c:pt>
              </c:numCache>
            </c:numRef>
          </c:val>
          <c:smooth val="0"/>
          <c:extLst>
            <c:ext xmlns:c16="http://schemas.microsoft.com/office/drawing/2014/chart" uri="{C3380CC4-5D6E-409C-BE32-E72D297353CC}">
              <c16:uniqueId val="{00000009-9462-4911-9BD6-EE628B45E06A}"/>
            </c:ext>
          </c:extLst>
        </c:ser>
        <c:dLbls>
          <c:showLegendKey val="0"/>
          <c:showVal val="0"/>
          <c:showCatName val="0"/>
          <c:showSerName val="0"/>
          <c:showPercent val="0"/>
          <c:showBubbleSize val="0"/>
        </c:dLbls>
        <c:marker val="1"/>
        <c:smooth val="0"/>
        <c:axId val="1016932384"/>
        <c:axId val="1016940664"/>
      </c:lineChart>
      <c:catAx>
        <c:axId val="1016932384"/>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sz="1100">
                    <a:solidFill>
                      <a:sysClr val="windowText" lastClr="000000"/>
                    </a:solidFill>
                    <a:latin typeface="Arial" panose="020B0604020202020204" pitchFamily="34" charset="0"/>
                    <a:cs typeface="Arial" panose="020B0604020202020204" pitchFamily="34" charset="0"/>
                  </a:rPr>
                  <a:t>Year</a:t>
                </a:r>
              </a:p>
            </c:rich>
          </c:tx>
          <c:layout>
            <c:manualLayout>
              <c:xMode val="edge"/>
              <c:yMode val="edge"/>
              <c:x val="0.48945226308922929"/>
              <c:y val="0.86585256517485265"/>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16940664"/>
        <c:crosses val="autoZero"/>
        <c:auto val="1"/>
        <c:lblAlgn val="ctr"/>
        <c:lblOffset val="100"/>
        <c:noMultiLvlLbl val="0"/>
      </c:catAx>
      <c:valAx>
        <c:axId val="1016940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16932384"/>
        <c:crosses val="autoZero"/>
        <c:crossBetween val="between"/>
      </c:valAx>
      <c:spPr>
        <a:noFill/>
        <a:ln>
          <a:noFill/>
        </a:ln>
        <a:effectLst/>
      </c:spPr>
    </c:plotArea>
    <c:legend>
      <c:legendPos val="b"/>
      <c:layout>
        <c:manualLayout>
          <c:xMode val="edge"/>
          <c:yMode val="edge"/>
          <c:x val="2.4167754753239321E-2"/>
          <c:y val="0.89919273801171418"/>
          <c:w val="0.95387143371492278"/>
          <c:h val="0.1008072619882858"/>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521A13"/>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237697131839751E-2"/>
          <c:y val="7.3147392927561755E-2"/>
          <c:w val="0.91709352090321117"/>
          <c:h val="0.75044516683300633"/>
        </c:manualLayout>
      </c:layout>
      <c:barChart>
        <c:barDir val="col"/>
        <c:grouping val="stacked"/>
        <c:varyColors val="0"/>
        <c:ser>
          <c:idx val="2"/>
          <c:order val="0"/>
          <c:tx>
            <c:strRef>
              <c:f>'Table 10'!$A$3</c:f>
              <c:strCache>
                <c:ptCount val="1"/>
                <c:pt idx="0">
                  <c:v>Pedestrians</c:v>
                </c:pt>
              </c:strCache>
            </c:strRef>
          </c:tx>
          <c:spPr>
            <a:solidFill>
              <a:srgbClr val="AA4499"/>
            </a:solidFill>
            <a:ln>
              <a:noFill/>
            </a:ln>
            <a:effectLst/>
          </c:spPr>
          <c:invertIfNegative val="0"/>
          <c:cat>
            <c:strRef>
              <c:extLst>
                <c:ext xmlns:c15="http://schemas.microsoft.com/office/drawing/2012/chart" uri="{02D57815-91ED-43cb-92C2-25804820EDAC}">
                  <c15:fullRef>
                    <c15:sqref>'Table 10'!$B$2:$Q$2</c15:sqref>
                  </c15:fullRef>
                </c:ext>
              </c:extLst>
              <c:f>'Table 10'!$G$2:$Q$2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10'!$B$3:$Q$3</c15:sqref>
                  </c15:fullRef>
                </c:ext>
              </c:extLst>
              <c:f>'Table 10'!$G$3:$Q$3</c:f>
              <c:numCache>
                <c:formatCode>0</c:formatCode>
                <c:ptCount val="11"/>
                <c:pt idx="0">
                  <c:v>278.57</c:v>
                </c:pt>
                <c:pt idx="1">
                  <c:v>199.32</c:v>
                </c:pt>
                <c:pt idx="2">
                  <c:v>189.18</c:v>
                </c:pt>
                <c:pt idx="3">
                  <c:v>187</c:v>
                </c:pt>
                <c:pt idx="4">
                  <c:v>176</c:v>
                </c:pt>
                <c:pt idx="5">
                  <c:v>157</c:v>
                </c:pt>
                <c:pt idx="6">
                  <c:v>112</c:v>
                </c:pt>
                <c:pt idx="7">
                  <c:v>147</c:v>
                </c:pt>
                <c:pt idx="8">
                  <c:v>157</c:v>
                </c:pt>
                <c:pt idx="9">
                  <c:v>168</c:v>
                </c:pt>
                <c:pt idx="10">
                  <c:v>136</c:v>
                </c:pt>
              </c:numCache>
            </c:numRef>
          </c:val>
          <c:extLst>
            <c:ext xmlns:c16="http://schemas.microsoft.com/office/drawing/2014/chart" uri="{C3380CC4-5D6E-409C-BE32-E72D297353CC}">
              <c16:uniqueId val="{00000000-09A7-4BDB-B5C8-0141BBE97D45}"/>
            </c:ext>
          </c:extLst>
        </c:ser>
        <c:ser>
          <c:idx val="1"/>
          <c:order val="1"/>
          <c:tx>
            <c:strRef>
              <c:f>'Table 10'!$A$4</c:f>
              <c:strCache>
                <c:ptCount val="1"/>
                <c:pt idx="0">
                  <c:v>Pedal cyclists</c:v>
                </c:pt>
              </c:strCache>
            </c:strRef>
          </c:tx>
          <c:spPr>
            <a:solidFill>
              <a:srgbClr val="999933"/>
            </a:solidFill>
            <a:ln>
              <a:noFill/>
            </a:ln>
            <a:effectLst/>
          </c:spPr>
          <c:invertIfNegative val="0"/>
          <c:cat>
            <c:strRef>
              <c:extLst>
                <c:ext xmlns:c15="http://schemas.microsoft.com/office/drawing/2012/chart" uri="{02D57815-91ED-43cb-92C2-25804820EDAC}">
                  <c15:fullRef>
                    <c15:sqref>'Table 10'!$B$2:$Q$2</c15:sqref>
                  </c15:fullRef>
                </c:ext>
              </c:extLst>
              <c:f>'Table 10'!$G$2:$Q$2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10'!$B$4:$Q$4</c15:sqref>
                  </c15:fullRef>
                </c:ext>
              </c:extLst>
              <c:f>'Table 10'!$G$4:$Q$4</c:f>
              <c:numCache>
                <c:formatCode>0</c:formatCode>
                <c:ptCount val="11"/>
                <c:pt idx="0">
                  <c:v>34.124590184655872</c:v>
                </c:pt>
                <c:pt idx="1">
                  <c:v>28.77</c:v>
                </c:pt>
                <c:pt idx="2">
                  <c:v>25.11</c:v>
                </c:pt>
                <c:pt idx="3">
                  <c:v>20</c:v>
                </c:pt>
                <c:pt idx="4">
                  <c:v>17</c:v>
                </c:pt>
                <c:pt idx="5">
                  <c:v>22</c:v>
                </c:pt>
                <c:pt idx="6">
                  <c:v>22</c:v>
                </c:pt>
                <c:pt idx="7">
                  <c:v>24</c:v>
                </c:pt>
                <c:pt idx="8">
                  <c:v>27</c:v>
                </c:pt>
                <c:pt idx="9">
                  <c:v>25</c:v>
                </c:pt>
                <c:pt idx="10">
                  <c:v>22</c:v>
                </c:pt>
              </c:numCache>
            </c:numRef>
          </c:val>
          <c:extLst>
            <c:ext xmlns:c16="http://schemas.microsoft.com/office/drawing/2014/chart" uri="{C3380CC4-5D6E-409C-BE32-E72D297353CC}">
              <c16:uniqueId val="{00000001-09A7-4BDB-B5C8-0141BBE97D45}"/>
            </c:ext>
          </c:extLst>
        </c:ser>
        <c:ser>
          <c:idx val="3"/>
          <c:order val="2"/>
          <c:tx>
            <c:strRef>
              <c:f>'Table 10'!$A$5</c:f>
              <c:strCache>
                <c:ptCount val="1"/>
                <c:pt idx="0">
                  <c:v>Motorcycle users</c:v>
                </c:pt>
              </c:strCache>
            </c:strRef>
          </c:tx>
          <c:spPr>
            <a:solidFill>
              <a:srgbClr val="44AA99"/>
            </a:solidFill>
            <a:ln>
              <a:noFill/>
            </a:ln>
            <a:effectLst/>
          </c:spPr>
          <c:invertIfNegative val="0"/>
          <c:cat>
            <c:strRef>
              <c:extLst>
                <c:ext xmlns:c15="http://schemas.microsoft.com/office/drawing/2012/chart" uri="{02D57815-91ED-43cb-92C2-25804820EDAC}">
                  <c15:fullRef>
                    <c15:sqref>'Table 10'!$B$2:$Q$2</c15:sqref>
                  </c15:fullRef>
                </c:ext>
              </c:extLst>
              <c:f>'Table 10'!$G$2:$Q$2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10'!$B$5:$Q$5</c15:sqref>
                  </c15:fullRef>
                </c:ext>
              </c:extLst>
              <c:f>'Table 10'!$G$5:$Q$5</c:f>
              <c:numCache>
                <c:formatCode>0</c:formatCode>
                <c:ptCount val="11"/>
                <c:pt idx="0">
                  <c:v>4.3840000000000003</c:v>
                </c:pt>
                <c:pt idx="1">
                  <c:v>3.09</c:v>
                </c:pt>
                <c:pt idx="2">
                  <c:v>5.03</c:v>
                </c:pt>
                <c:pt idx="3">
                  <c:v>14</c:v>
                </c:pt>
                <c:pt idx="4">
                  <c:v>18</c:v>
                </c:pt>
                <c:pt idx="5">
                  <c:v>10</c:v>
                </c:pt>
                <c:pt idx="6">
                  <c:v>5</c:v>
                </c:pt>
                <c:pt idx="7">
                  <c:v>7</c:v>
                </c:pt>
                <c:pt idx="8">
                  <c:v>11</c:v>
                </c:pt>
                <c:pt idx="9">
                  <c:v>4</c:v>
                </c:pt>
                <c:pt idx="10">
                  <c:v>5</c:v>
                </c:pt>
              </c:numCache>
            </c:numRef>
          </c:val>
          <c:extLst>
            <c:ext xmlns:c16="http://schemas.microsoft.com/office/drawing/2014/chart" uri="{C3380CC4-5D6E-409C-BE32-E72D297353CC}">
              <c16:uniqueId val="{00000002-09A7-4BDB-B5C8-0141BBE97D45}"/>
            </c:ext>
          </c:extLst>
        </c:ser>
        <c:ser>
          <c:idx val="0"/>
          <c:order val="3"/>
          <c:tx>
            <c:strRef>
              <c:f>'Table 10'!$A$6</c:f>
              <c:strCache>
                <c:ptCount val="1"/>
                <c:pt idx="0">
                  <c:v>Car occupants</c:v>
                </c:pt>
              </c:strCache>
            </c:strRef>
          </c:tx>
          <c:spPr>
            <a:solidFill>
              <a:srgbClr val="882255"/>
            </a:solidFill>
            <a:ln>
              <a:noFill/>
            </a:ln>
            <a:effectLst/>
          </c:spPr>
          <c:invertIfNegative val="0"/>
          <c:cat>
            <c:strRef>
              <c:extLst>
                <c:ext xmlns:c15="http://schemas.microsoft.com/office/drawing/2012/chart" uri="{02D57815-91ED-43cb-92C2-25804820EDAC}">
                  <c15:fullRef>
                    <c15:sqref>'Table 10'!$B$2:$Q$2</c15:sqref>
                  </c15:fullRef>
                </c:ext>
              </c:extLst>
              <c:f>'Table 10'!$G$2:$Q$2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10'!$B$6:$Q$6</c15:sqref>
                  </c15:fullRef>
                </c:ext>
              </c:extLst>
              <c:f>'Table 10'!$G$6:$Q$6</c:f>
              <c:numCache>
                <c:formatCode>0</c:formatCode>
                <c:ptCount val="11"/>
                <c:pt idx="0">
                  <c:v>30.085939450912594</c:v>
                </c:pt>
                <c:pt idx="1">
                  <c:v>22.695390150499559</c:v>
                </c:pt>
                <c:pt idx="2">
                  <c:v>26.630538944050588</c:v>
                </c:pt>
                <c:pt idx="3">
                  <c:v>12</c:v>
                </c:pt>
                <c:pt idx="4">
                  <c:v>19</c:v>
                </c:pt>
                <c:pt idx="5">
                  <c:v>16</c:v>
                </c:pt>
                <c:pt idx="6">
                  <c:v>13</c:v>
                </c:pt>
                <c:pt idx="7">
                  <c:v>6</c:v>
                </c:pt>
                <c:pt idx="8">
                  <c:v>16</c:v>
                </c:pt>
                <c:pt idx="9">
                  <c:v>7</c:v>
                </c:pt>
                <c:pt idx="10">
                  <c:v>16</c:v>
                </c:pt>
              </c:numCache>
            </c:numRef>
          </c:val>
          <c:extLst>
            <c:ext xmlns:c16="http://schemas.microsoft.com/office/drawing/2014/chart" uri="{C3380CC4-5D6E-409C-BE32-E72D297353CC}">
              <c16:uniqueId val="{00000003-09A7-4BDB-B5C8-0141BBE97D45}"/>
            </c:ext>
          </c:extLst>
        </c:ser>
        <c:ser>
          <c:idx val="7"/>
          <c:order val="4"/>
          <c:tx>
            <c:strRef>
              <c:f>'Table 10'!$A$7</c:f>
              <c:strCache>
                <c:ptCount val="1"/>
                <c:pt idx="0">
                  <c:v>Bus or coach occupants</c:v>
                </c:pt>
              </c:strCache>
            </c:strRef>
          </c:tx>
          <c:spPr>
            <a:solidFill>
              <a:srgbClr val="88CCEE"/>
            </a:solidFill>
            <a:ln>
              <a:noFill/>
            </a:ln>
            <a:effectLst/>
          </c:spPr>
          <c:invertIfNegative val="0"/>
          <c:cat>
            <c:strRef>
              <c:extLst>
                <c:ext xmlns:c15="http://schemas.microsoft.com/office/drawing/2012/chart" uri="{02D57815-91ED-43cb-92C2-25804820EDAC}">
                  <c15:fullRef>
                    <c15:sqref>'Table 10'!$B$2:$Q$2</c15:sqref>
                  </c15:fullRef>
                </c:ext>
              </c:extLst>
              <c:f>'Table 10'!$G$2:$Q$2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10'!$B$7:$Q$7</c15:sqref>
                  </c15:fullRef>
                </c:ext>
              </c:extLst>
              <c:f>'Table 10'!$G$7:$Q$7</c:f>
              <c:numCache>
                <c:formatCode>0</c:formatCode>
                <c:ptCount val="11"/>
                <c:pt idx="0">
                  <c:v>8.6980000000000004</c:v>
                </c:pt>
                <c:pt idx="1">
                  <c:v>8.11</c:v>
                </c:pt>
                <c:pt idx="2">
                  <c:v>6.72</c:v>
                </c:pt>
                <c:pt idx="3">
                  <c:v>10</c:v>
                </c:pt>
                <c:pt idx="4">
                  <c:v>9</c:v>
                </c:pt>
                <c:pt idx="5">
                  <c:v>5</c:v>
                </c:pt>
                <c:pt idx="6">
                  <c:v>1</c:v>
                </c:pt>
                <c:pt idx="7">
                  <c:v>2</c:v>
                </c:pt>
                <c:pt idx="8">
                  <c:v>8</c:v>
                </c:pt>
                <c:pt idx="9">
                  <c:v>6</c:v>
                </c:pt>
                <c:pt idx="10">
                  <c:v>3</c:v>
                </c:pt>
              </c:numCache>
            </c:numRef>
          </c:val>
          <c:extLst>
            <c:ext xmlns:c16="http://schemas.microsoft.com/office/drawing/2014/chart" uri="{C3380CC4-5D6E-409C-BE32-E72D297353CC}">
              <c16:uniqueId val="{00000004-09A7-4BDB-B5C8-0141BBE97D45}"/>
            </c:ext>
          </c:extLst>
        </c:ser>
        <c:ser>
          <c:idx val="8"/>
          <c:order val="5"/>
          <c:tx>
            <c:strRef>
              <c:f>'Table 10'!$A$8</c:f>
              <c:strCache>
                <c:ptCount val="1"/>
                <c:pt idx="0">
                  <c:v>Other vehicle occupants</c:v>
                </c:pt>
              </c:strCache>
            </c:strRef>
          </c:tx>
          <c:spPr>
            <a:solidFill>
              <a:srgbClr val="117733"/>
            </a:solidFill>
            <a:ln>
              <a:noFill/>
            </a:ln>
            <a:effectLst/>
          </c:spPr>
          <c:invertIfNegative val="0"/>
          <c:cat>
            <c:strRef>
              <c:extLst>
                <c:ext xmlns:c15="http://schemas.microsoft.com/office/drawing/2012/chart" uri="{02D57815-91ED-43cb-92C2-25804820EDAC}">
                  <c15:fullRef>
                    <c15:sqref>'Table 10'!$B$2:$Q$2</c15:sqref>
                  </c15:fullRef>
                </c:ext>
              </c:extLst>
              <c:f>'Table 10'!$G$2:$Q$2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10'!$B$8:$Q$8</c15:sqref>
                  </c15:fullRef>
                </c:ext>
              </c:extLst>
              <c:f>'Table 10'!$G$8:$Q$8</c:f>
              <c:numCache>
                <c:formatCode>0</c:formatCode>
                <c:ptCount val="11"/>
                <c:pt idx="0">
                  <c:v>0.73599999999999999</c:v>
                </c:pt>
                <c:pt idx="1">
                  <c:v>1</c:v>
                </c:pt>
                <c:pt idx="2">
                  <c:v>0.26</c:v>
                </c:pt>
                <c:pt idx="3">
                  <c:v>1</c:v>
                </c:pt>
                <c:pt idx="4">
                  <c:v>0</c:v>
                </c:pt>
                <c:pt idx="5">
                  <c:v>1</c:v>
                </c:pt>
                <c:pt idx="6">
                  <c:v>2</c:v>
                </c:pt>
                <c:pt idx="7">
                  <c:v>10</c:v>
                </c:pt>
                <c:pt idx="8">
                  <c:v>6</c:v>
                </c:pt>
                <c:pt idx="9">
                  <c:v>6</c:v>
                </c:pt>
                <c:pt idx="10">
                  <c:v>4</c:v>
                </c:pt>
              </c:numCache>
            </c:numRef>
          </c:val>
          <c:extLst>
            <c:ext xmlns:c16="http://schemas.microsoft.com/office/drawing/2014/chart" uri="{C3380CC4-5D6E-409C-BE32-E72D297353CC}">
              <c16:uniqueId val="{00000005-09A7-4BDB-B5C8-0141BBE97D45}"/>
            </c:ext>
          </c:extLst>
        </c:ser>
        <c:ser>
          <c:idx val="6"/>
          <c:order val="6"/>
          <c:tx>
            <c:strRef>
              <c:f>'Table 10'!$A$9</c:f>
              <c:strCache>
                <c:ptCount val="1"/>
                <c:pt idx="0">
                  <c:v>Goods vehicle occupants</c:v>
                </c:pt>
              </c:strCache>
            </c:strRef>
          </c:tx>
          <c:spPr>
            <a:solidFill>
              <a:srgbClr val="DDCC77"/>
            </a:solidFill>
            <a:ln>
              <a:noFill/>
            </a:ln>
            <a:effectLst/>
          </c:spPr>
          <c:invertIfNegative val="0"/>
          <c:cat>
            <c:strRef>
              <c:extLst>
                <c:ext xmlns:c15="http://schemas.microsoft.com/office/drawing/2012/chart" uri="{02D57815-91ED-43cb-92C2-25804820EDAC}">
                  <c15:fullRef>
                    <c15:sqref>'Table 10'!$B$2:$Q$2</c15:sqref>
                  </c15:fullRef>
                </c:ext>
              </c:extLst>
              <c:f>'Table 10'!$G$2:$Q$2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10'!$B$9:$Q$9</c15:sqref>
                  </c15:fullRef>
                </c:ext>
              </c:extLst>
              <c:f>'Table 10'!$G$9:$Q$9</c:f>
              <c:numCache>
                <c:formatCode>0</c:formatCode>
                <c:ptCount val="11"/>
                <c:pt idx="0">
                  <c:v>0.36399999999999999</c:v>
                </c:pt>
                <c:pt idx="1">
                  <c:v>0.16</c:v>
                </c:pt>
                <c:pt idx="2">
                  <c:v>0.18</c:v>
                </c:pt>
                <c:pt idx="3">
                  <c:v>0</c:v>
                </c:pt>
                <c:pt idx="4">
                  <c:v>0</c:v>
                </c:pt>
                <c:pt idx="5">
                  <c:v>0</c:v>
                </c:pt>
                <c:pt idx="6">
                  <c:v>1</c:v>
                </c:pt>
                <c:pt idx="7">
                  <c:v>0</c:v>
                </c:pt>
                <c:pt idx="8">
                  <c:v>0</c:v>
                </c:pt>
                <c:pt idx="9">
                  <c:v>0</c:v>
                </c:pt>
                <c:pt idx="10">
                  <c:v>0</c:v>
                </c:pt>
              </c:numCache>
            </c:numRef>
          </c:val>
          <c:extLst>
            <c:ext xmlns:c16="http://schemas.microsoft.com/office/drawing/2014/chart" uri="{C3380CC4-5D6E-409C-BE32-E72D297353CC}">
              <c16:uniqueId val="{00000006-09A7-4BDB-B5C8-0141BBE97D45}"/>
            </c:ext>
          </c:extLst>
        </c:ser>
        <c:ser>
          <c:idx val="5"/>
          <c:order val="7"/>
          <c:tx>
            <c:strRef>
              <c:f>'Table 10'!$A$10</c:f>
              <c:strCache>
                <c:ptCount val="1"/>
                <c:pt idx="0">
                  <c:v>Private hire occupants*</c:v>
                </c:pt>
              </c:strCache>
            </c:strRef>
          </c:tx>
          <c:spPr>
            <a:solidFill>
              <a:srgbClr val="332288"/>
            </a:solidFill>
            <a:ln>
              <a:noFill/>
            </a:ln>
            <a:effectLst/>
          </c:spPr>
          <c:invertIfNegative val="0"/>
          <c:cat>
            <c:strRef>
              <c:extLst>
                <c:ext xmlns:c15="http://schemas.microsoft.com/office/drawing/2012/chart" uri="{02D57815-91ED-43cb-92C2-25804820EDAC}">
                  <c15:fullRef>
                    <c15:sqref>'Table 10'!$B$2:$Q$2</c15:sqref>
                  </c15:fullRef>
                </c:ext>
              </c:extLst>
              <c:f>'Table 10'!$G$2:$Q$2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10'!$B$10:$Q$10</c15:sqref>
                  </c15:fullRef>
                </c:ext>
              </c:extLst>
              <c:f>'Table 10'!$G$10:$Q$10</c:f>
              <c:numCache>
                <c:formatCode>0</c:formatCode>
                <c:ptCount val="11"/>
                <c:pt idx="0">
                  <c:v>0</c:v>
                </c:pt>
                <c:pt idx="1">
                  <c:v>0</c:v>
                </c:pt>
                <c:pt idx="2">
                  <c:v>0</c:v>
                </c:pt>
                <c:pt idx="3">
                  <c:v>0</c:v>
                </c:pt>
                <c:pt idx="4">
                  <c:v>1</c:v>
                </c:pt>
                <c:pt idx="5">
                  <c:v>0</c:v>
                </c:pt>
                <c:pt idx="6">
                  <c:v>0</c:v>
                </c:pt>
                <c:pt idx="7">
                  <c:v>0</c:v>
                </c:pt>
                <c:pt idx="8">
                  <c:v>0</c:v>
                </c:pt>
                <c:pt idx="9">
                  <c:v>0</c:v>
                </c:pt>
                <c:pt idx="10">
                  <c:v>1</c:v>
                </c:pt>
              </c:numCache>
            </c:numRef>
          </c:val>
          <c:extLst>
            <c:ext xmlns:c16="http://schemas.microsoft.com/office/drawing/2014/chart" uri="{C3380CC4-5D6E-409C-BE32-E72D297353CC}">
              <c16:uniqueId val="{00000007-09A7-4BDB-B5C8-0141BBE97D45}"/>
            </c:ext>
          </c:extLst>
        </c:ser>
        <c:ser>
          <c:idx val="4"/>
          <c:order val="8"/>
          <c:tx>
            <c:strRef>
              <c:f>'Table 10'!$A$11</c:f>
              <c:strCache>
                <c:ptCount val="1"/>
                <c:pt idx="0">
                  <c:v>Taxi occupants*</c:v>
                </c:pt>
              </c:strCache>
            </c:strRef>
          </c:tx>
          <c:spPr>
            <a:solidFill>
              <a:srgbClr val="CC6677"/>
            </a:solidFill>
            <a:ln>
              <a:noFill/>
            </a:ln>
            <a:effectLst/>
          </c:spPr>
          <c:invertIfNegative val="0"/>
          <c:cat>
            <c:strRef>
              <c:extLst>
                <c:ext xmlns:c15="http://schemas.microsoft.com/office/drawing/2012/chart" uri="{02D57815-91ED-43cb-92C2-25804820EDAC}">
                  <c15:fullRef>
                    <c15:sqref>'Table 10'!$B$2:$Q$2</c15:sqref>
                  </c15:fullRef>
                </c:ext>
              </c:extLst>
              <c:f>'Table 10'!$G$2:$Q$2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10'!$B$11:$Q$11</c15:sqref>
                  </c15:fullRef>
                </c:ext>
              </c:extLst>
              <c:f>'Table 10'!$G$11:$Q$11</c:f>
              <c:numCache>
                <c:formatCode>0</c:formatCode>
                <c:ptCount val="11"/>
                <c:pt idx="0">
                  <c:v>0.38600000000000001</c:v>
                </c:pt>
                <c:pt idx="1">
                  <c:v>0.48</c:v>
                </c:pt>
                <c:pt idx="2">
                  <c:v>1.1499999999999999</c:v>
                </c:pt>
                <c:pt idx="3">
                  <c:v>1</c:v>
                </c:pt>
                <c:pt idx="4">
                  <c:v>1</c:v>
                </c:pt>
                <c:pt idx="5">
                  <c:v>0</c:v>
                </c:pt>
                <c:pt idx="6">
                  <c:v>0</c:v>
                </c:pt>
                <c:pt idx="7">
                  <c:v>0</c:v>
                </c:pt>
                <c:pt idx="8">
                  <c:v>0</c:v>
                </c:pt>
                <c:pt idx="9">
                  <c:v>0</c:v>
                </c:pt>
                <c:pt idx="10">
                  <c:v>1</c:v>
                </c:pt>
              </c:numCache>
            </c:numRef>
          </c:val>
          <c:extLst>
            <c:ext xmlns:c16="http://schemas.microsoft.com/office/drawing/2014/chart" uri="{C3380CC4-5D6E-409C-BE32-E72D297353CC}">
              <c16:uniqueId val="{00000008-09A7-4BDB-B5C8-0141BBE97D45}"/>
            </c:ext>
          </c:extLst>
        </c:ser>
        <c:dLbls>
          <c:showLegendKey val="0"/>
          <c:showVal val="0"/>
          <c:showCatName val="0"/>
          <c:showSerName val="0"/>
          <c:showPercent val="0"/>
          <c:showBubbleSize val="0"/>
        </c:dLbls>
        <c:gapWidth val="219"/>
        <c:overlap val="100"/>
        <c:axId val="1007618136"/>
        <c:axId val="1007611656"/>
      </c:barChart>
      <c:lineChart>
        <c:grouping val="standard"/>
        <c:varyColors val="0"/>
        <c:ser>
          <c:idx val="10"/>
          <c:order val="10"/>
          <c:tx>
            <c:strRef>
              <c:f>'Table 10'!$A$13</c:f>
              <c:strCache>
                <c:ptCount val="1"/>
                <c:pt idx="0">
                  <c:v>2010-14 average</c:v>
                </c:pt>
              </c:strCache>
            </c:strRef>
          </c:tx>
          <c:spPr>
            <a:ln w="28575" cap="rnd">
              <a:solidFill>
                <a:srgbClr val="521A13"/>
              </a:solidFill>
              <a:round/>
            </a:ln>
            <a:effectLst/>
          </c:spPr>
          <c:marker>
            <c:symbol val="none"/>
          </c:marker>
          <c:cat>
            <c:strRef>
              <c:extLst>
                <c:ext xmlns:c15="http://schemas.microsoft.com/office/drawing/2012/chart" uri="{02D57815-91ED-43cb-92C2-25804820EDAC}">
                  <c15:fullRef>
                    <c15:sqref>'Table 10'!$B$2:$Q$2</c15:sqref>
                  </c15:fullRef>
                </c:ext>
              </c:extLst>
              <c:f>'Table 10'!$G$2:$Q$2</c:f>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xmlns:c15="http://schemas.microsoft.com/office/drawing/2012/chart" uri="{02D57815-91ED-43cb-92C2-25804820EDAC}">
                  <c15:fullRef>
                    <c15:sqref>'Table 10'!$B$13:$Q$13</c15:sqref>
                  </c15:fullRef>
                </c:ext>
              </c:extLst>
              <c:f>'Table 10'!$G$13:$Q$13</c:f>
              <c:numCache>
                <c:formatCode>0</c:formatCode>
                <c:ptCount val="11"/>
                <c:pt idx="0">
                  <c:v>357.34852963556853</c:v>
                </c:pt>
                <c:pt idx="1">
                  <c:v>357.34852963556853</c:v>
                </c:pt>
                <c:pt idx="2">
                  <c:v>357.34852963556853</c:v>
                </c:pt>
                <c:pt idx="3">
                  <c:v>357.34852963556853</c:v>
                </c:pt>
                <c:pt idx="4">
                  <c:v>357.34852963556853</c:v>
                </c:pt>
                <c:pt idx="5">
                  <c:v>357.34852963556853</c:v>
                </c:pt>
                <c:pt idx="6">
                  <c:v>357.34852963556853</c:v>
                </c:pt>
                <c:pt idx="7">
                  <c:v>357.34852963556853</c:v>
                </c:pt>
                <c:pt idx="8">
                  <c:v>357.34852963556853</c:v>
                </c:pt>
                <c:pt idx="9">
                  <c:v>357.34852963556853</c:v>
                </c:pt>
                <c:pt idx="10">
                  <c:v>356.61252963556848</c:v>
                </c:pt>
              </c:numCache>
            </c:numRef>
          </c:val>
          <c:smooth val="0"/>
          <c:extLst>
            <c:ext xmlns:c16="http://schemas.microsoft.com/office/drawing/2014/chart" uri="{C3380CC4-5D6E-409C-BE32-E72D297353CC}">
              <c16:uniqueId val="{0000000A-09A7-4BDB-B5C8-0141BBE97D45}"/>
            </c:ext>
          </c:extLst>
        </c:ser>
        <c:dLbls>
          <c:showLegendKey val="0"/>
          <c:showVal val="0"/>
          <c:showCatName val="0"/>
          <c:showSerName val="0"/>
          <c:showPercent val="0"/>
          <c:showBubbleSize val="0"/>
        </c:dLbls>
        <c:marker val="1"/>
        <c:smooth val="0"/>
        <c:axId val="1007618136"/>
        <c:axId val="1007611656"/>
        <c:extLst>
          <c:ext xmlns:c15="http://schemas.microsoft.com/office/drawing/2012/chart" uri="{02D57815-91ED-43cb-92C2-25804820EDAC}">
            <c15:filteredLineSeries>
              <c15:ser>
                <c:idx val="9"/>
                <c:order val="9"/>
                <c:tx>
                  <c:strRef>
                    <c:extLst>
                      <c:ext uri="{02D57815-91ED-43cb-92C2-25804820EDAC}">
                        <c15:formulaRef>
                          <c15:sqref>'Table 10'!$A$12</c15:sqref>
                        </c15:formulaRef>
                      </c:ext>
                    </c:extLst>
                    <c:strCache>
                      <c:ptCount val="1"/>
                      <c:pt idx="0">
                        <c:v>Total</c:v>
                      </c:pt>
                    </c:strCache>
                  </c:strRef>
                </c:tx>
                <c:spPr>
                  <a:ln w="28575" cap="rnd">
                    <a:solidFill>
                      <a:schemeClr val="accent4">
                        <a:lumMod val="60000"/>
                      </a:schemeClr>
                    </a:solidFill>
                    <a:round/>
                  </a:ln>
                  <a:effectLst/>
                </c:spPr>
                <c:marker>
                  <c:symbol val="none"/>
                </c:marker>
                <c:cat>
                  <c:strRef>
                    <c:extLst>
                      <c:ext uri="{02D57815-91ED-43cb-92C2-25804820EDAC}">
                        <c15:fullRef>
                          <c15:sqref>'Table 10'!$B$2:$Q$2</c15:sqref>
                        </c15:fullRef>
                        <c15:formulaRef>
                          <c15:sqref>'Table 10'!$G$2:$Q$2</c15:sqref>
                        </c15:formulaRef>
                      </c:ext>
                    </c:extLst>
                    <c:strCache>
                      <c:ptCount val="11"/>
                      <c:pt idx="0">
                        <c:v>2010-14 average</c:v>
                      </c:pt>
                      <c:pt idx="1">
                        <c:v>2015</c:v>
                      </c:pt>
                      <c:pt idx="2">
                        <c:v>2016</c:v>
                      </c:pt>
                      <c:pt idx="3">
                        <c:v>2017</c:v>
                      </c:pt>
                      <c:pt idx="4">
                        <c:v>2018</c:v>
                      </c:pt>
                      <c:pt idx="5">
                        <c:v>2019</c:v>
                      </c:pt>
                      <c:pt idx="6">
                        <c:v>2020</c:v>
                      </c:pt>
                      <c:pt idx="7">
                        <c:v>2021</c:v>
                      </c:pt>
                      <c:pt idx="8">
                        <c:v>2022</c:v>
                      </c:pt>
                      <c:pt idx="9">
                        <c:v>2023</c:v>
                      </c:pt>
                      <c:pt idx="10">
                        <c:v>2024</c:v>
                      </c:pt>
                    </c:strCache>
                  </c:strRef>
                </c:cat>
                <c:val>
                  <c:numRef>
                    <c:extLst>
                      <c:ext uri="{02D57815-91ED-43cb-92C2-25804820EDAC}">
                        <c15:fullRef>
                          <c15:sqref>'Table 10'!$B$12:$Q$12</c15:sqref>
                        </c15:fullRef>
                        <c15:formulaRef>
                          <c15:sqref>'Table 10'!$G$12:$Q$12</c15:sqref>
                        </c15:formulaRef>
                      </c:ext>
                    </c:extLst>
                    <c:numCache>
                      <c:formatCode>0</c:formatCode>
                      <c:ptCount val="11"/>
                      <c:pt idx="0">
                        <c:v>357.34852963556853</c:v>
                      </c:pt>
                      <c:pt idx="1">
                        <c:v>263.62539015049958</c:v>
                      </c:pt>
                      <c:pt idx="2">
                        <c:v>254.26053894405061</c:v>
                      </c:pt>
                      <c:pt idx="3">
                        <c:v>245</c:v>
                      </c:pt>
                      <c:pt idx="4">
                        <c:v>241</c:v>
                      </c:pt>
                      <c:pt idx="5">
                        <c:v>211</c:v>
                      </c:pt>
                      <c:pt idx="6">
                        <c:v>156</c:v>
                      </c:pt>
                      <c:pt idx="7">
                        <c:v>196</c:v>
                      </c:pt>
                      <c:pt idx="8">
                        <c:v>225</c:v>
                      </c:pt>
                      <c:pt idx="9">
                        <c:v>216</c:v>
                      </c:pt>
                      <c:pt idx="10">
                        <c:v>188</c:v>
                      </c:pt>
                    </c:numCache>
                  </c:numRef>
                </c:val>
                <c:smooth val="0"/>
                <c:extLst>
                  <c:ext xmlns:c16="http://schemas.microsoft.com/office/drawing/2014/chart" uri="{C3380CC4-5D6E-409C-BE32-E72D297353CC}">
                    <c16:uniqueId val="{00000009-09A7-4BDB-B5C8-0141BBE97D45}"/>
                  </c:ext>
                </c:extLst>
              </c15:ser>
            </c15:filteredLineSeries>
          </c:ext>
        </c:extLst>
      </c:lineChart>
      <c:catAx>
        <c:axId val="1007618136"/>
        <c:scaling>
          <c:orientation val="minMax"/>
        </c:scaling>
        <c:delete val="0"/>
        <c:axPos val="b"/>
        <c:title>
          <c:tx>
            <c:rich>
              <a:bodyPr rot="0" spcFirstLastPara="1" vertOverflow="ellipsis" vert="horz" wrap="square" anchor="ctr" anchorCtr="1"/>
              <a:lstStyle/>
              <a:p>
                <a:pPr>
                  <a:defRPr lang="en-US" sz="1100" b="0" i="0" u="none" strike="noStrike" kern="1200" baseline="0">
                    <a:solidFill>
                      <a:schemeClr val="tx1"/>
                    </a:solidFill>
                    <a:latin typeface="Arial" panose="020B0604020202020204" pitchFamily="34" charset="0"/>
                    <a:ea typeface="+mn-ea"/>
                    <a:cs typeface="Arial" panose="020B0604020202020204" pitchFamily="34" charset="0"/>
                  </a:defRPr>
                </a:pPr>
                <a:r>
                  <a:rPr lang="en-GB" sz="1100"/>
                  <a:t>Year</a:t>
                </a:r>
              </a:p>
            </c:rich>
          </c:tx>
          <c:layout>
            <c:manualLayout>
              <c:xMode val="edge"/>
              <c:yMode val="edge"/>
              <c:x val="0.48572191342085991"/>
              <c:y val="0.87192875315772522"/>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7611656"/>
        <c:crosses val="autoZero"/>
        <c:auto val="1"/>
        <c:lblAlgn val="ctr"/>
        <c:lblOffset val="100"/>
        <c:noMultiLvlLbl val="0"/>
      </c:catAx>
      <c:valAx>
        <c:axId val="1007611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07618136"/>
        <c:crosses val="autoZero"/>
        <c:crossBetween val="between"/>
      </c:valAx>
      <c:spPr>
        <a:noFill/>
        <a:ln>
          <a:noFill/>
        </a:ln>
        <a:effectLst/>
      </c:spPr>
    </c:plotArea>
    <c:legend>
      <c:legendPos val="b"/>
      <c:layout>
        <c:manualLayout>
          <c:xMode val="edge"/>
          <c:yMode val="edge"/>
          <c:x val="0.13207849963168866"/>
          <c:y val="0.91884237137220359"/>
          <c:w val="0.72030803321174142"/>
          <c:h val="5.864311638125131E-2"/>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521A13"/>
      </a:solidFill>
      <a:round/>
    </a:ln>
    <a:effectLst/>
  </c:spPr>
  <c:txPr>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938884022923663E-2"/>
          <c:y val="4.334095674968827E-2"/>
          <c:w val="0.92756973808512433"/>
          <c:h val="0.82644200310428806"/>
        </c:manualLayout>
      </c:layout>
      <c:barChart>
        <c:barDir val="col"/>
        <c:grouping val="stacked"/>
        <c:varyColors val="0"/>
        <c:ser>
          <c:idx val="0"/>
          <c:order val="0"/>
          <c:tx>
            <c:strRef>
              <c:f>'Table 11'!$C$2</c:f>
              <c:strCache>
                <c:ptCount val="1"/>
                <c:pt idx="0">
                  <c:v>Vehicle users killed or seriously injured in 2024</c:v>
                </c:pt>
              </c:strCache>
            </c:strRef>
          </c:tx>
          <c:spPr>
            <a:solidFill>
              <a:srgbClr val="88CCEE"/>
            </a:solidFill>
            <a:ln>
              <a:noFill/>
            </a:ln>
            <a:effectLst/>
          </c:spPr>
          <c:invertIfNegative val="0"/>
          <c:cat>
            <c:strRef>
              <c:f>'Table 11'!$A$3:$A$11</c:f>
              <c:strCache>
                <c:ptCount val="9"/>
                <c:pt idx="0">
                  <c:v>Pedestrian</c:v>
                </c:pt>
                <c:pt idx="1">
                  <c:v>Pedal cycle</c:v>
                </c:pt>
                <c:pt idx="2">
                  <c:v>Motorcycle</c:v>
                </c:pt>
                <c:pt idx="3">
                  <c:v>Car</c:v>
                </c:pt>
                <c:pt idx="4">
                  <c:v>Bus or coach</c:v>
                </c:pt>
                <c:pt idx="5">
                  <c:v>Other vehicle</c:v>
                </c:pt>
                <c:pt idx="6">
                  <c:v>Goods vehicle</c:v>
                </c:pt>
                <c:pt idx="7">
                  <c:v>Private hire vehicle</c:v>
                </c:pt>
                <c:pt idx="8">
                  <c:v>Taxi</c:v>
                </c:pt>
              </c:strCache>
            </c:strRef>
          </c:cat>
          <c:val>
            <c:numRef>
              <c:f>'Table 11'!$C$3:$C$11</c:f>
              <c:numCache>
                <c:formatCode>_-* #,##0_-;\-* #,##0_-;_-* "-"??_-;_-@_-</c:formatCode>
                <c:ptCount val="9"/>
                <c:pt idx="0">
                  <c:v>1194</c:v>
                </c:pt>
                <c:pt idx="1">
                  <c:v>994</c:v>
                </c:pt>
                <c:pt idx="2">
                  <c:v>806</c:v>
                </c:pt>
                <c:pt idx="3">
                  <c:v>470</c:v>
                </c:pt>
                <c:pt idx="4">
                  <c:v>115</c:v>
                </c:pt>
                <c:pt idx="5">
                  <c:v>70</c:v>
                </c:pt>
                <c:pt idx="6">
                  <c:v>34</c:v>
                </c:pt>
                <c:pt idx="7">
                  <c:v>12</c:v>
                </c:pt>
                <c:pt idx="8">
                  <c:v>12</c:v>
                </c:pt>
              </c:numCache>
            </c:numRef>
          </c:val>
          <c:extLst>
            <c:ext xmlns:c16="http://schemas.microsoft.com/office/drawing/2014/chart" uri="{C3380CC4-5D6E-409C-BE32-E72D297353CC}">
              <c16:uniqueId val="{00000000-B35E-4C75-8172-610C29FB5643}"/>
            </c:ext>
          </c:extLst>
        </c:ser>
        <c:ser>
          <c:idx val="1"/>
          <c:order val="1"/>
          <c:tx>
            <c:strRef>
              <c:f>'Table 11'!$G$2</c:f>
              <c:strCache>
                <c:ptCount val="1"/>
                <c:pt idx="0">
                  <c:v>Other road users killed or seriously injured in 2024</c:v>
                </c:pt>
              </c:strCache>
            </c:strRef>
          </c:tx>
          <c:spPr>
            <a:solidFill>
              <a:srgbClr val="882255"/>
            </a:solidFill>
            <a:ln>
              <a:noFill/>
            </a:ln>
            <a:effectLst/>
          </c:spPr>
          <c:invertIfNegative val="0"/>
          <c:cat>
            <c:strRef>
              <c:f>'Table 11'!$A$3:$A$11</c:f>
              <c:strCache>
                <c:ptCount val="9"/>
                <c:pt idx="0">
                  <c:v>Pedestrian</c:v>
                </c:pt>
                <c:pt idx="1">
                  <c:v>Pedal cycle</c:v>
                </c:pt>
                <c:pt idx="2">
                  <c:v>Motorcycle</c:v>
                </c:pt>
                <c:pt idx="3">
                  <c:v>Car</c:v>
                </c:pt>
                <c:pt idx="4">
                  <c:v>Bus or coach</c:v>
                </c:pt>
                <c:pt idx="5">
                  <c:v>Other vehicle</c:v>
                </c:pt>
                <c:pt idx="6">
                  <c:v>Goods vehicle</c:v>
                </c:pt>
                <c:pt idx="7">
                  <c:v>Private hire vehicle</c:v>
                </c:pt>
                <c:pt idx="8">
                  <c:v>Taxi</c:v>
                </c:pt>
              </c:strCache>
            </c:strRef>
          </c:cat>
          <c:val>
            <c:numRef>
              <c:f>'Table 11'!$G$3:$G$11</c:f>
              <c:numCache>
                <c:formatCode>_-* #,##0_-;\-* #,##0_-;_-* "-"??_-;_-@_-</c:formatCode>
                <c:ptCount val="9"/>
                <c:pt idx="0" formatCode="General">
                  <c:v>0</c:v>
                </c:pt>
                <c:pt idx="1">
                  <c:v>116</c:v>
                </c:pt>
                <c:pt idx="2">
                  <c:v>208</c:v>
                </c:pt>
                <c:pt idx="3">
                  <c:v>1918</c:v>
                </c:pt>
                <c:pt idx="4">
                  <c:v>164</c:v>
                </c:pt>
                <c:pt idx="5">
                  <c:v>67</c:v>
                </c:pt>
                <c:pt idx="6">
                  <c:v>457</c:v>
                </c:pt>
                <c:pt idx="7">
                  <c:v>59</c:v>
                </c:pt>
                <c:pt idx="8">
                  <c:v>67</c:v>
                </c:pt>
              </c:numCache>
            </c:numRef>
          </c:val>
          <c:extLst>
            <c:ext xmlns:c16="http://schemas.microsoft.com/office/drawing/2014/chart" uri="{C3380CC4-5D6E-409C-BE32-E72D297353CC}">
              <c16:uniqueId val="{00000001-B35E-4C75-8172-610C29FB5643}"/>
            </c:ext>
          </c:extLst>
        </c:ser>
        <c:dLbls>
          <c:showLegendKey val="0"/>
          <c:showVal val="0"/>
          <c:showCatName val="0"/>
          <c:showSerName val="0"/>
          <c:showPercent val="0"/>
          <c:showBubbleSize val="0"/>
        </c:dLbls>
        <c:gapWidth val="150"/>
        <c:overlap val="100"/>
        <c:axId val="703312984"/>
        <c:axId val="703312656"/>
      </c:barChart>
      <c:catAx>
        <c:axId val="703312984"/>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100">
                    <a:solidFill>
                      <a:sysClr val="windowText" lastClr="000000"/>
                    </a:solidFill>
                  </a:rPr>
                  <a:t>Mode</a:t>
                </a:r>
              </a:p>
            </c:rich>
          </c:tx>
          <c:layout>
            <c:manualLayout>
              <c:xMode val="edge"/>
              <c:yMode val="edge"/>
              <c:x val="0.48492443167245047"/>
              <c:y val="0.90577000514951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03312656"/>
        <c:crosses val="autoZero"/>
        <c:auto val="1"/>
        <c:lblAlgn val="ctr"/>
        <c:lblOffset val="100"/>
        <c:noMultiLvlLbl val="0"/>
      </c:catAx>
      <c:valAx>
        <c:axId val="703312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03312984"/>
        <c:crosses val="autoZero"/>
        <c:crossBetween val="between"/>
      </c:valAx>
      <c:spPr>
        <a:noFill/>
        <a:ln>
          <a:noFill/>
        </a:ln>
        <a:effectLst/>
      </c:spPr>
    </c:plotArea>
    <c:legend>
      <c:legendPos val="b"/>
      <c:layout>
        <c:manualLayout>
          <c:xMode val="edge"/>
          <c:yMode val="edge"/>
          <c:x val="0.05"/>
          <c:y val="0.9458488550701164"/>
          <c:w val="0.93021242603402132"/>
          <c:h val="4.0706912558500938E-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'Table 13'!$A$3</c:f>
              <c:strCache>
                <c:ptCount val="1"/>
                <c:pt idx="0">
                  <c:v>Inner London</c:v>
                </c:pt>
              </c:strCache>
            </c:strRef>
          </c:tx>
          <c:spPr>
            <a:ln w="28575" cap="rnd">
              <a:solidFill>
                <a:srgbClr val="88CCEE"/>
              </a:solidFill>
              <a:round/>
            </a:ln>
            <a:effectLst/>
          </c:spPr>
          <c:marker>
            <c:symbol val="none"/>
          </c:marker>
          <c:cat>
            <c:strRef>
              <c:f>'Table 13'!$B$2:$J$2</c:f>
              <c:strCache>
                <c:ptCount val="9"/>
                <c:pt idx="0">
                  <c:v>2010-14</c:v>
                </c:pt>
                <c:pt idx="1">
                  <c:v>2017</c:v>
                </c:pt>
                <c:pt idx="2">
                  <c:v>2018</c:v>
                </c:pt>
                <c:pt idx="3">
                  <c:v>2019</c:v>
                </c:pt>
                <c:pt idx="4">
                  <c:v>2020</c:v>
                </c:pt>
                <c:pt idx="5">
                  <c:v>2021</c:v>
                </c:pt>
                <c:pt idx="6">
                  <c:v>2022</c:v>
                </c:pt>
                <c:pt idx="7">
                  <c:v>2023</c:v>
                </c:pt>
                <c:pt idx="8">
                  <c:v>2024</c:v>
                </c:pt>
              </c:strCache>
            </c:strRef>
          </c:cat>
          <c:val>
            <c:numRef>
              <c:f>'Table 13'!$B$3:$J$3</c:f>
              <c:numCache>
                <c:formatCode>#,##0</c:formatCode>
                <c:ptCount val="9"/>
                <c:pt idx="0" formatCode="_-* #,##0_-;\-* #,##0_-;_-* &quot;-&quot;??_-;_-@_-">
                  <c:v>2348.2769794037486</c:v>
                </c:pt>
                <c:pt idx="1">
                  <c:v>1867</c:v>
                </c:pt>
                <c:pt idx="2">
                  <c:v>1984</c:v>
                </c:pt>
                <c:pt idx="3">
                  <c:v>1838</c:v>
                </c:pt>
                <c:pt idx="4">
                  <c:v>1423</c:v>
                </c:pt>
                <c:pt idx="5">
                  <c:v>1737</c:v>
                </c:pt>
                <c:pt idx="6">
                  <c:v>1909</c:v>
                </c:pt>
                <c:pt idx="7">
                  <c:v>1786</c:v>
                </c:pt>
                <c:pt idx="8">
                  <c:v>1822</c:v>
                </c:pt>
              </c:numCache>
            </c:numRef>
          </c:val>
          <c:smooth val="0"/>
          <c:extLst>
            <c:ext xmlns:c16="http://schemas.microsoft.com/office/drawing/2014/chart" uri="{C3380CC4-5D6E-409C-BE32-E72D297353CC}">
              <c16:uniqueId val="{00000000-62BB-4F41-A331-F601356EFE18}"/>
            </c:ext>
          </c:extLst>
        </c:ser>
        <c:ser>
          <c:idx val="1"/>
          <c:order val="1"/>
          <c:tx>
            <c:strRef>
              <c:f>'Table 13'!$A$4</c:f>
              <c:strCache>
                <c:ptCount val="1"/>
                <c:pt idx="0">
                  <c:v>Outer London</c:v>
                </c:pt>
              </c:strCache>
            </c:strRef>
          </c:tx>
          <c:spPr>
            <a:ln w="28575" cap="rnd">
              <a:solidFill>
                <a:srgbClr val="117733"/>
              </a:solidFill>
              <a:round/>
            </a:ln>
            <a:effectLst/>
          </c:spPr>
          <c:marker>
            <c:symbol val="none"/>
          </c:marker>
          <c:cat>
            <c:strRef>
              <c:f>'Table 13'!$B$2:$J$2</c:f>
              <c:strCache>
                <c:ptCount val="9"/>
                <c:pt idx="0">
                  <c:v>2010-14</c:v>
                </c:pt>
                <c:pt idx="1">
                  <c:v>2017</c:v>
                </c:pt>
                <c:pt idx="2">
                  <c:v>2018</c:v>
                </c:pt>
                <c:pt idx="3">
                  <c:v>2019</c:v>
                </c:pt>
                <c:pt idx="4">
                  <c:v>2020</c:v>
                </c:pt>
                <c:pt idx="5">
                  <c:v>2021</c:v>
                </c:pt>
                <c:pt idx="6">
                  <c:v>2022</c:v>
                </c:pt>
                <c:pt idx="7">
                  <c:v>2023</c:v>
                </c:pt>
                <c:pt idx="8">
                  <c:v>2024</c:v>
                </c:pt>
              </c:strCache>
            </c:strRef>
          </c:cat>
          <c:val>
            <c:numRef>
              <c:f>'Table 13'!$B$4:$J$4</c:f>
              <c:numCache>
                <c:formatCode>#,##0</c:formatCode>
                <c:ptCount val="9"/>
                <c:pt idx="0" formatCode="_-* #,##0_-;\-* #,##0_-;_-* &quot;-&quot;??_-;_-@_-">
                  <c:v>2520.8988178973891</c:v>
                </c:pt>
                <c:pt idx="1">
                  <c:v>2014</c:v>
                </c:pt>
                <c:pt idx="2">
                  <c:v>2081</c:v>
                </c:pt>
                <c:pt idx="3">
                  <c:v>2067</c:v>
                </c:pt>
                <c:pt idx="4">
                  <c:v>1647</c:v>
                </c:pt>
                <c:pt idx="5">
                  <c:v>1842</c:v>
                </c:pt>
                <c:pt idx="6">
                  <c:v>2052</c:v>
                </c:pt>
                <c:pt idx="7">
                  <c:v>1924</c:v>
                </c:pt>
                <c:pt idx="8">
                  <c:v>1885</c:v>
                </c:pt>
              </c:numCache>
            </c:numRef>
          </c:val>
          <c:smooth val="0"/>
          <c:extLst>
            <c:ext xmlns:c16="http://schemas.microsoft.com/office/drawing/2014/chart" uri="{C3380CC4-5D6E-409C-BE32-E72D297353CC}">
              <c16:uniqueId val="{00000001-62BB-4F41-A331-F601356EFE18}"/>
            </c:ext>
          </c:extLst>
        </c:ser>
        <c:ser>
          <c:idx val="2"/>
          <c:order val="2"/>
          <c:tx>
            <c:strRef>
              <c:f>'Table 13'!$A$5</c:f>
              <c:strCache>
                <c:ptCount val="1"/>
                <c:pt idx="0">
                  <c:v>All London</c:v>
                </c:pt>
              </c:strCache>
            </c:strRef>
          </c:tx>
          <c:spPr>
            <a:ln w="28575" cap="rnd">
              <a:solidFill>
                <a:srgbClr val="AA4499"/>
              </a:solidFill>
              <a:round/>
            </a:ln>
            <a:effectLst/>
          </c:spPr>
          <c:marker>
            <c:symbol val="none"/>
          </c:marker>
          <c:cat>
            <c:strRef>
              <c:f>'Table 13'!$B$2:$J$2</c:f>
              <c:strCache>
                <c:ptCount val="9"/>
                <c:pt idx="0">
                  <c:v>2010-14</c:v>
                </c:pt>
                <c:pt idx="1">
                  <c:v>2017</c:v>
                </c:pt>
                <c:pt idx="2">
                  <c:v>2018</c:v>
                </c:pt>
                <c:pt idx="3">
                  <c:v>2019</c:v>
                </c:pt>
                <c:pt idx="4">
                  <c:v>2020</c:v>
                </c:pt>
                <c:pt idx="5">
                  <c:v>2021</c:v>
                </c:pt>
                <c:pt idx="6">
                  <c:v>2022</c:v>
                </c:pt>
                <c:pt idx="7">
                  <c:v>2023</c:v>
                </c:pt>
                <c:pt idx="8">
                  <c:v>2024</c:v>
                </c:pt>
              </c:strCache>
            </c:strRef>
          </c:cat>
          <c:val>
            <c:numRef>
              <c:f>'Table 13'!$B$5:$J$5</c:f>
              <c:numCache>
                <c:formatCode>#,##0</c:formatCode>
                <c:ptCount val="9"/>
                <c:pt idx="0" formatCode="_-* #,##0_-;\-* #,##0_-;_-* &quot;-&quot;??_-;_-@_-">
                  <c:v>4869.1757973011381</c:v>
                </c:pt>
                <c:pt idx="1">
                  <c:v>3881</c:v>
                </c:pt>
                <c:pt idx="2">
                  <c:v>4065</c:v>
                </c:pt>
                <c:pt idx="3">
                  <c:v>3905</c:v>
                </c:pt>
                <c:pt idx="4">
                  <c:v>3070</c:v>
                </c:pt>
                <c:pt idx="5">
                  <c:v>3579</c:v>
                </c:pt>
                <c:pt idx="6">
                  <c:v>3961</c:v>
                </c:pt>
                <c:pt idx="7">
                  <c:v>3710</c:v>
                </c:pt>
                <c:pt idx="8">
                  <c:v>3707</c:v>
                </c:pt>
              </c:numCache>
            </c:numRef>
          </c:val>
          <c:smooth val="0"/>
          <c:extLst>
            <c:ext xmlns:c16="http://schemas.microsoft.com/office/drawing/2014/chart" uri="{C3380CC4-5D6E-409C-BE32-E72D297353CC}">
              <c16:uniqueId val="{00000002-62BB-4F41-A331-F601356EFE18}"/>
            </c:ext>
          </c:extLst>
        </c:ser>
        <c:dLbls>
          <c:showLegendKey val="0"/>
          <c:showVal val="0"/>
          <c:showCatName val="0"/>
          <c:showSerName val="0"/>
          <c:showPercent val="0"/>
          <c:showBubbleSize val="0"/>
        </c:dLbls>
        <c:smooth val="0"/>
        <c:axId val="485048247"/>
        <c:axId val="485049327"/>
      </c:lineChart>
      <c:catAx>
        <c:axId val="485048247"/>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sz="1200">
                    <a:latin typeface="Arial" panose="020B0604020202020204" pitchFamily="34" charset="0"/>
                    <a:cs typeface="Arial" panose="020B0604020202020204" pitchFamily="34" charset="0"/>
                  </a:rPr>
                  <a:t>Year</a:t>
                </a:r>
              </a:p>
            </c:rich>
          </c:tx>
          <c:layout>
            <c:manualLayout>
              <c:xMode val="edge"/>
              <c:yMode val="edge"/>
              <c:x val="0.47692580080080077"/>
              <c:y val="0.8989604700854700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85049327"/>
        <c:crosses val="autoZero"/>
        <c:auto val="1"/>
        <c:lblAlgn val="ctr"/>
        <c:lblOffset val="100"/>
        <c:noMultiLvlLbl val="0"/>
      </c:catAx>
      <c:valAx>
        <c:axId val="48504932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85048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0443883870388E-2"/>
          <c:y val="2.5559759103590873E-2"/>
          <c:w val="0.91023105306503593"/>
          <c:h val="0.76749361191118981"/>
        </c:manualLayout>
      </c:layout>
      <c:lineChart>
        <c:grouping val="standard"/>
        <c:varyColors val="0"/>
        <c:ser>
          <c:idx val="0"/>
          <c:order val="0"/>
          <c:tx>
            <c:strRef>
              <c:f>'Table 15'!$A$4:$B$4</c:f>
              <c:strCache>
                <c:ptCount val="2"/>
                <c:pt idx="0">
                  <c:v>Inner London</c:v>
                </c:pt>
                <c:pt idx="1">
                  <c:v>Borough road</c:v>
                </c:pt>
              </c:strCache>
            </c:strRef>
          </c:tx>
          <c:spPr>
            <a:ln w="28575" cap="rnd">
              <a:solidFill>
                <a:srgbClr val="AA4499"/>
              </a:solidFill>
              <a:round/>
            </a:ln>
            <a:effectLst/>
          </c:spPr>
          <c:marker>
            <c:symbol val="none"/>
          </c:marker>
          <c:cat>
            <c:strRef>
              <c:f>'Table 15'!$C$2:$J$2</c:f>
              <c:strCache>
                <c:ptCount val="8"/>
                <c:pt idx="0">
                  <c:v>2017</c:v>
                </c:pt>
                <c:pt idx="1">
                  <c:v>2018</c:v>
                </c:pt>
                <c:pt idx="2">
                  <c:v>2019</c:v>
                </c:pt>
                <c:pt idx="3">
                  <c:v>2020</c:v>
                </c:pt>
                <c:pt idx="4">
                  <c:v>2021</c:v>
                </c:pt>
                <c:pt idx="5">
                  <c:v>2022</c:v>
                </c:pt>
                <c:pt idx="6">
                  <c:v>2023</c:v>
                </c:pt>
                <c:pt idx="7">
                  <c:v>2024</c:v>
                </c:pt>
              </c:strCache>
            </c:strRef>
          </c:cat>
          <c:val>
            <c:numRef>
              <c:f>'Table 15'!$C$4:$J$4</c:f>
              <c:numCache>
                <c:formatCode>#,##0</c:formatCode>
                <c:ptCount val="8"/>
                <c:pt idx="0">
                  <c:v>1071</c:v>
                </c:pt>
                <c:pt idx="1">
                  <c:v>1168</c:v>
                </c:pt>
                <c:pt idx="2">
                  <c:v>1099</c:v>
                </c:pt>
                <c:pt idx="3">
                  <c:v>838</c:v>
                </c:pt>
                <c:pt idx="4">
                  <c:v>1028</c:v>
                </c:pt>
                <c:pt idx="5">
                  <c:v>1143</c:v>
                </c:pt>
                <c:pt idx="6">
                  <c:v>1107</c:v>
                </c:pt>
                <c:pt idx="7">
                  <c:v>1110</c:v>
                </c:pt>
              </c:numCache>
            </c:numRef>
          </c:val>
          <c:smooth val="0"/>
          <c:extLst>
            <c:ext xmlns:c16="http://schemas.microsoft.com/office/drawing/2014/chart" uri="{C3380CC4-5D6E-409C-BE32-E72D297353CC}">
              <c16:uniqueId val="{0000000C-4B2A-4F75-B4DA-906262E6B8FE}"/>
            </c:ext>
          </c:extLst>
        </c:ser>
        <c:ser>
          <c:idx val="1"/>
          <c:order val="1"/>
          <c:tx>
            <c:strRef>
              <c:f>'Table 15'!$A$5:$B$5</c:f>
              <c:strCache>
                <c:ptCount val="2"/>
                <c:pt idx="0">
                  <c:v>Inner London</c:v>
                </c:pt>
                <c:pt idx="1">
                  <c:v>TLRN</c:v>
                </c:pt>
              </c:strCache>
            </c:strRef>
          </c:tx>
          <c:spPr>
            <a:ln w="28575" cap="rnd">
              <a:solidFill>
                <a:srgbClr val="882255"/>
              </a:solidFill>
              <a:round/>
            </a:ln>
            <a:effectLst/>
          </c:spPr>
          <c:marker>
            <c:symbol val="none"/>
          </c:marker>
          <c:cat>
            <c:strRef>
              <c:f>'Table 15'!$C$2:$J$2</c:f>
              <c:strCache>
                <c:ptCount val="8"/>
                <c:pt idx="0">
                  <c:v>2017</c:v>
                </c:pt>
                <c:pt idx="1">
                  <c:v>2018</c:v>
                </c:pt>
                <c:pt idx="2">
                  <c:v>2019</c:v>
                </c:pt>
                <c:pt idx="3">
                  <c:v>2020</c:v>
                </c:pt>
                <c:pt idx="4">
                  <c:v>2021</c:v>
                </c:pt>
                <c:pt idx="5">
                  <c:v>2022</c:v>
                </c:pt>
                <c:pt idx="6">
                  <c:v>2023</c:v>
                </c:pt>
                <c:pt idx="7">
                  <c:v>2024</c:v>
                </c:pt>
              </c:strCache>
            </c:strRef>
          </c:cat>
          <c:val>
            <c:numRef>
              <c:f>'Table 15'!$C$5:$J$5</c:f>
              <c:numCache>
                <c:formatCode>#,##0</c:formatCode>
                <c:ptCount val="8"/>
                <c:pt idx="0">
                  <c:v>796</c:v>
                </c:pt>
                <c:pt idx="1">
                  <c:v>816</c:v>
                </c:pt>
                <c:pt idx="2">
                  <c:v>739</c:v>
                </c:pt>
                <c:pt idx="3">
                  <c:v>585</c:v>
                </c:pt>
                <c:pt idx="4">
                  <c:v>709</c:v>
                </c:pt>
                <c:pt idx="5">
                  <c:v>766</c:v>
                </c:pt>
                <c:pt idx="6">
                  <c:v>679</c:v>
                </c:pt>
                <c:pt idx="7">
                  <c:v>712</c:v>
                </c:pt>
              </c:numCache>
            </c:numRef>
          </c:val>
          <c:smooth val="0"/>
          <c:extLst>
            <c:ext xmlns:c16="http://schemas.microsoft.com/office/drawing/2014/chart" uri="{C3380CC4-5D6E-409C-BE32-E72D297353CC}">
              <c16:uniqueId val="{0000000D-4B2A-4F75-B4DA-906262E6B8FE}"/>
            </c:ext>
          </c:extLst>
        </c:ser>
        <c:ser>
          <c:idx val="2"/>
          <c:order val="2"/>
          <c:tx>
            <c:strRef>
              <c:f>'Table 15'!$A$6:$B$6</c:f>
              <c:strCache>
                <c:ptCount val="2"/>
                <c:pt idx="0">
                  <c:v>Inner London</c:v>
                </c:pt>
                <c:pt idx="1">
                  <c:v>Highways Agency</c:v>
                </c:pt>
              </c:strCache>
            </c:strRef>
          </c:tx>
          <c:spPr>
            <a:ln w="28575" cap="rnd">
              <a:solidFill>
                <a:srgbClr val="CC6677"/>
              </a:solidFill>
              <a:round/>
            </a:ln>
            <a:effectLst/>
          </c:spPr>
          <c:marker>
            <c:symbol val="none"/>
          </c:marker>
          <c:cat>
            <c:strRef>
              <c:f>'Table 15'!$C$2:$J$2</c:f>
              <c:strCache>
                <c:ptCount val="8"/>
                <c:pt idx="0">
                  <c:v>2017</c:v>
                </c:pt>
                <c:pt idx="1">
                  <c:v>2018</c:v>
                </c:pt>
                <c:pt idx="2">
                  <c:v>2019</c:v>
                </c:pt>
                <c:pt idx="3">
                  <c:v>2020</c:v>
                </c:pt>
                <c:pt idx="4">
                  <c:v>2021</c:v>
                </c:pt>
                <c:pt idx="5">
                  <c:v>2022</c:v>
                </c:pt>
                <c:pt idx="6">
                  <c:v>2023</c:v>
                </c:pt>
                <c:pt idx="7">
                  <c:v>2024</c:v>
                </c:pt>
              </c:strCache>
            </c:strRef>
          </c:cat>
          <c:val>
            <c:numRef>
              <c:f>'Table 15'!$C$6:$J$6</c:f>
              <c:numCache>
                <c:formatCode>#,##0</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E-4B2A-4F75-B4DA-906262E6B8FE}"/>
            </c:ext>
          </c:extLst>
        </c:ser>
        <c:ser>
          <c:idx val="4"/>
          <c:order val="3"/>
          <c:tx>
            <c:strRef>
              <c:f>'Table 15'!$A$9:$B$9</c:f>
              <c:strCache>
                <c:ptCount val="2"/>
                <c:pt idx="0">
                  <c:v>Outer London</c:v>
                </c:pt>
                <c:pt idx="1">
                  <c:v>TLRN</c:v>
                </c:pt>
              </c:strCache>
            </c:strRef>
          </c:tx>
          <c:spPr>
            <a:ln w="28575" cap="rnd">
              <a:solidFill>
                <a:srgbClr val="44AA99"/>
              </a:solidFill>
              <a:round/>
            </a:ln>
            <a:effectLst/>
          </c:spPr>
          <c:marker>
            <c:symbol val="none"/>
          </c:marker>
          <c:cat>
            <c:strRef>
              <c:f>'Table 15'!$C$2:$J$2</c:f>
              <c:strCache>
                <c:ptCount val="8"/>
                <c:pt idx="0">
                  <c:v>2017</c:v>
                </c:pt>
                <c:pt idx="1">
                  <c:v>2018</c:v>
                </c:pt>
                <c:pt idx="2">
                  <c:v>2019</c:v>
                </c:pt>
                <c:pt idx="3">
                  <c:v>2020</c:v>
                </c:pt>
                <c:pt idx="4">
                  <c:v>2021</c:v>
                </c:pt>
                <c:pt idx="5">
                  <c:v>2022</c:v>
                </c:pt>
                <c:pt idx="6">
                  <c:v>2023</c:v>
                </c:pt>
                <c:pt idx="7">
                  <c:v>2024</c:v>
                </c:pt>
              </c:strCache>
            </c:strRef>
          </c:cat>
          <c:val>
            <c:numRef>
              <c:f>'Table 15'!$C$9:$J$9</c:f>
              <c:numCache>
                <c:formatCode>#,##0</c:formatCode>
                <c:ptCount val="8"/>
                <c:pt idx="0">
                  <c:v>314</c:v>
                </c:pt>
                <c:pt idx="1">
                  <c:v>377</c:v>
                </c:pt>
                <c:pt idx="2">
                  <c:v>360</c:v>
                </c:pt>
                <c:pt idx="3">
                  <c:v>301</c:v>
                </c:pt>
                <c:pt idx="4">
                  <c:v>307</c:v>
                </c:pt>
                <c:pt idx="5">
                  <c:v>351</c:v>
                </c:pt>
                <c:pt idx="6">
                  <c:v>319</c:v>
                </c:pt>
                <c:pt idx="7">
                  <c:v>329</c:v>
                </c:pt>
              </c:numCache>
            </c:numRef>
          </c:val>
          <c:smooth val="0"/>
          <c:extLst>
            <c:ext xmlns:c16="http://schemas.microsoft.com/office/drawing/2014/chart" uri="{C3380CC4-5D6E-409C-BE32-E72D297353CC}">
              <c16:uniqueId val="{00000010-4B2A-4F75-B4DA-906262E6B8FE}"/>
            </c:ext>
          </c:extLst>
        </c:ser>
        <c:ser>
          <c:idx val="5"/>
          <c:order val="4"/>
          <c:tx>
            <c:strRef>
              <c:f>'Table 15'!$A$10:$B$10</c:f>
              <c:strCache>
                <c:ptCount val="2"/>
                <c:pt idx="0">
                  <c:v>Outer London</c:v>
                </c:pt>
                <c:pt idx="1">
                  <c:v>Highways Agency</c:v>
                </c:pt>
              </c:strCache>
            </c:strRef>
          </c:tx>
          <c:spPr>
            <a:ln w="28575" cap="rnd">
              <a:solidFill>
                <a:srgbClr val="332288"/>
              </a:solidFill>
              <a:round/>
            </a:ln>
            <a:effectLst/>
          </c:spPr>
          <c:marker>
            <c:symbol val="none"/>
          </c:marker>
          <c:cat>
            <c:strRef>
              <c:f>'Table 15'!$C$2:$J$2</c:f>
              <c:strCache>
                <c:ptCount val="8"/>
                <c:pt idx="0">
                  <c:v>2017</c:v>
                </c:pt>
                <c:pt idx="1">
                  <c:v>2018</c:v>
                </c:pt>
                <c:pt idx="2">
                  <c:v>2019</c:v>
                </c:pt>
                <c:pt idx="3">
                  <c:v>2020</c:v>
                </c:pt>
                <c:pt idx="4">
                  <c:v>2021</c:v>
                </c:pt>
                <c:pt idx="5">
                  <c:v>2022</c:v>
                </c:pt>
                <c:pt idx="6">
                  <c:v>2023</c:v>
                </c:pt>
                <c:pt idx="7">
                  <c:v>2024</c:v>
                </c:pt>
              </c:strCache>
            </c:strRef>
          </c:cat>
          <c:val>
            <c:numRef>
              <c:f>'Table 15'!$C$10:$J$10</c:f>
              <c:numCache>
                <c:formatCode>#,##0</c:formatCode>
                <c:ptCount val="8"/>
                <c:pt idx="0">
                  <c:v>20</c:v>
                </c:pt>
                <c:pt idx="1">
                  <c:v>31</c:v>
                </c:pt>
                <c:pt idx="2">
                  <c:v>29</c:v>
                </c:pt>
                <c:pt idx="3">
                  <c:v>15</c:v>
                </c:pt>
                <c:pt idx="4">
                  <c:v>12</c:v>
                </c:pt>
                <c:pt idx="5">
                  <c:v>23</c:v>
                </c:pt>
                <c:pt idx="6">
                  <c:v>39</c:v>
                </c:pt>
                <c:pt idx="7">
                  <c:v>22</c:v>
                </c:pt>
              </c:numCache>
            </c:numRef>
          </c:val>
          <c:smooth val="0"/>
          <c:extLst>
            <c:ext xmlns:c16="http://schemas.microsoft.com/office/drawing/2014/chart" uri="{C3380CC4-5D6E-409C-BE32-E72D297353CC}">
              <c16:uniqueId val="{00000011-4B2A-4F75-B4DA-906262E6B8FE}"/>
            </c:ext>
          </c:extLst>
        </c:ser>
        <c:ser>
          <c:idx val="6"/>
          <c:order val="5"/>
          <c:tx>
            <c:strRef>
              <c:f>'Table 15'!$A$12:$B$12</c:f>
              <c:strCache>
                <c:ptCount val="2"/>
                <c:pt idx="0">
                  <c:v>All London</c:v>
                </c:pt>
                <c:pt idx="1">
                  <c:v>Borough road</c:v>
                </c:pt>
              </c:strCache>
            </c:strRef>
          </c:tx>
          <c:spPr>
            <a:ln w="28575" cap="rnd">
              <a:solidFill>
                <a:schemeClr val="accent1">
                  <a:lumMod val="60000"/>
                </a:schemeClr>
              </a:solidFill>
              <a:round/>
            </a:ln>
            <a:effectLst/>
          </c:spPr>
          <c:marker>
            <c:symbol val="none"/>
          </c:marker>
          <c:cat>
            <c:strRef>
              <c:f>'Table 15'!$C$2:$J$2</c:f>
              <c:strCache>
                <c:ptCount val="8"/>
                <c:pt idx="0">
                  <c:v>2017</c:v>
                </c:pt>
                <c:pt idx="1">
                  <c:v>2018</c:v>
                </c:pt>
                <c:pt idx="2">
                  <c:v>2019</c:v>
                </c:pt>
                <c:pt idx="3">
                  <c:v>2020</c:v>
                </c:pt>
                <c:pt idx="4">
                  <c:v>2021</c:v>
                </c:pt>
                <c:pt idx="5">
                  <c:v>2022</c:v>
                </c:pt>
                <c:pt idx="6">
                  <c:v>2023</c:v>
                </c:pt>
                <c:pt idx="7">
                  <c:v>2024</c:v>
                </c:pt>
              </c:strCache>
            </c:strRef>
          </c:cat>
          <c:val>
            <c:numRef>
              <c:f>'Table 15'!$C$12:$J$12</c:f>
              <c:numCache>
                <c:formatCode>#,##0</c:formatCode>
                <c:ptCount val="8"/>
                <c:pt idx="0">
                  <c:v>2751</c:v>
                </c:pt>
                <c:pt idx="1">
                  <c:v>2841</c:v>
                </c:pt>
                <c:pt idx="2">
                  <c:v>2777</c:v>
                </c:pt>
                <c:pt idx="3">
                  <c:v>2169</c:v>
                </c:pt>
                <c:pt idx="4">
                  <c:v>2551</c:v>
                </c:pt>
                <c:pt idx="5">
                  <c:v>2821</c:v>
                </c:pt>
                <c:pt idx="6">
                  <c:v>2673</c:v>
                </c:pt>
                <c:pt idx="7">
                  <c:v>2644</c:v>
                </c:pt>
              </c:numCache>
            </c:numRef>
          </c:val>
          <c:smooth val="0"/>
          <c:extLst xmlns:c15="http://schemas.microsoft.com/office/drawing/2012/chart">
            <c:ext xmlns:c16="http://schemas.microsoft.com/office/drawing/2014/chart" uri="{C3380CC4-5D6E-409C-BE32-E72D297353CC}">
              <c16:uniqueId val="{00000012-4B2A-4F75-B4DA-906262E6B8FE}"/>
            </c:ext>
          </c:extLst>
        </c:ser>
        <c:dLbls>
          <c:showLegendKey val="0"/>
          <c:showVal val="0"/>
          <c:showCatName val="0"/>
          <c:showSerName val="0"/>
          <c:showPercent val="0"/>
          <c:showBubbleSize val="0"/>
        </c:dLbls>
        <c:smooth val="0"/>
        <c:axId val="485048247"/>
        <c:axId val="485049327"/>
        <c:extLst>
          <c:ext xmlns:c15="http://schemas.microsoft.com/office/drawing/2012/chart" uri="{02D57815-91ED-43cb-92C2-25804820EDAC}">
            <c15:filteredLineSeries>
              <c15:ser>
                <c:idx val="7"/>
                <c:order val="6"/>
                <c:tx>
                  <c:strRef>
                    <c:extLst>
                      <c:ext uri="{02D57815-91ED-43cb-92C2-25804820EDAC}">
                        <c15:formulaRef>
                          <c15:sqref>'Table 15'!$A$13:$B$13</c15:sqref>
                        </c15:formulaRef>
                      </c:ext>
                    </c:extLst>
                    <c:strCache>
                      <c:ptCount val="2"/>
                      <c:pt idx="0">
                        <c:v>All London</c:v>
                      </c:pt>
                      <c:pt idx="1">
                        <c:v>TLRN</c:v>
                      </c:pt>
                    </c:strCache>
                  </c:strRef>
                </c:tx>
                <c:spPr>
                  <a:ln w="28575" cap="rnd">
                    <a:solidFill>
                      <a:schemeClr val="accent2">
                        <a:lumMod val="60000"/>
                      </a:schemeClr>
                    </a:solidFill>
                    <a:round/>
                  </a:ln>
                  <a:effectLst/>
                </c:spPr>
                <c:marker>
                  <c:symbol val="none"/>
                </c:marker>
                <c:cat>
                  <c:strRef>
                    <c:extLst>
                      <c:ext uri="{02D57815-91ED-43cb-92C2-25804820EDAC}">
                        <c15:formulaRef>
                          <c15:sqref>'Table 15'!$C$2:$J$2</c15:sqref>
                        </c15:formulaRef>
                      </c:ext>
                    </c:extLst>
                    <c:strCache>
                      <c:ptCount val="8"/>
                      <c:pt idx="0">
                        <c:v>2017</c:v>
                      </c:pt>
                      <c:pt idx="1">
                        <c:v>2018</c:v>
                      </c:pt>
                      <c:pt idx="2">
                        <c:v>2019</c:v>
                      </c:pt>
                      <c:pt idx="3">
                        <c:v>2020</c:v>
                      </c:pt>
                      <c:pt idx="4">
                        <c:v>2021</c:v>
                      </c:pt>
                      <c:pt idx="5">
                        <c:v>2022</c:v>
                      </c:pt>
                      <c:pt idx="6">
                        <c:v>2023</c:v>
                      </c:pt>
                      <c:pt idx="7">
                        <c:v>2024</c:v>
                      </c:pt>
                    </c:strCache>
                  </c:strRef>
                </c:cat>
                <c:val>
                  <c:numRef>
                    <c:extLst>
                      <c:ext uri="{02D57815-91ED-43cb-92C2-25804820EDAC}">
                        <c15:formulaRef>
                          <c15:sqref>'Table 15'!$C$13:$J$13</c15:sqref>
                        </c15:formulaRef>
                      </c:ext>
                    </c:extLst>
                    <c:numCache>
                      <c:formatCode>#,##0</c:formatCode>
                      <c:ptCount val="8"/>
                      <c:pt idx="0">
                        <c:v>1110</c:v>
                      </c:pt>
                      <c:pt idx="1">
                        <c:v>1193</c:v>
                      </c:pt>
                      <c:pt idx="2">
                        <c:v>1099</c:v>
                      </c:pt>
                      <c:pt idx="3">
                        <c:v>886</c:v>
                      </c:pt>
                      <c:pt idx="4">
                        <c:v>1016</c:v>
                      </c:pt>
                      <c:pt idx="5">
                        <c:v>1117</c:v>
                      </c:pt>
                      <c:pt idx="6">
                        <c:v>998</c:v>
                      </c:pt>
                      <c:pt idx="7">
                        <c:v>1041</c:v>
                      </c:pt>
                    </c:numCache>
                  </c:numRef>
                </c:val>
                <c:smooth val="0"/>
                <c:extLst>
                  <c:ext xmlns:c16="http://schemas.microsoft.com/office/drawing/2014/chart" uri="{C3380CC4-5D6E-409C-BE32-E72D297353CC}">
                    <c16:uniqueId val="{00000013-4B2A-4F75-B4DA-906262E6B8FE}"/>
                  </c:ext>
                </c:extLst>
              </c15:ser>
            </c15:filteredLineSeries>
            <c15:filteredLineSeries>
              <c15:ser>
                <c:idx val="8"/>
                <c:order val="7"/>
                <c:tx>
                  <c:strRef>
                    <c:extLst xmlns:c15="http://schemas.microsoft.com/office/drawing/2012/chart">
                      <c:ext xmlns:c15="http://schemas.microsoft.com/office/drawing/2012/chart" uri="{02D57815-91ED-43cb-92C2-25804820EDAC}">
                        <c15:formulaRef>
                          <c15:sqref>'Table 15'!$A$14:$B$14</c15:sqref>
                        </c15:formulaRef>
                      </c:ext>
                    </c:extLst>
                    <c:strCache>
                      <c:ptCount val="2"/>
                      <c:pt idx="0">
                        <c:v>All London</c:v>
                      </c:pt>
                      <c:pt idx="1">
                        <c:v>Highways Agency</c:v>
                      </c:pt>
                    </c:strCache>
                  </c:strRef>
                </c:tx>
                <c:spPr>
                  <a:ln w="28575" cap="rnd">
                    <a:solidFill>
                      <a:schemeClr val="accent3">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'Table 15'!$C$2:$J$2</c15:sqref>
                        </c15:formulaRef>
                      </c:ext>
                    </c:extLst>
                    <c:strCache>
                      <c:ptCount val="8"/>
                      <c:pt idx="0">
                        <c:v>2017</c:v>
                      </c:pt>
                      <c:pt idx="1">
                        <c:v>2018</c:v>
                      </c:pt>
                      <c:pt idx="2">
                        <c:v>2019</c:v>
                      </c:pt>
                      <c:pt idx="3">
                        <c:v>2020</c:v>
                      </c:pt>
                      <c:pt idx="4">
                        <c:v>2021</c:v>
                      </c:pt>
                      <c:pt idx="5">
                        <c:v>2022</c:v>
                      </c:pt>
                      <c:pt idx="6">
                        <c:v>2023</c:v>
                      </c:pt>
                      <c:pt idx="7">
                        <c:v>2024</c:v>
                      </c:pt>
                    </c:strCache>
                  </c:strRef>
                </c:cat>
                <c:val>
                  <c:numRef>
                    <c:extLst xmlns:c15="http://schemas.microsoft.com/office/drawing/2012/chart">
                      <c:ext xmlns:c15="http://schemas.microsoft.com/office/drawing/2012/chart" uri="{02D57815-91ED-43cb-92C2-25804820EDAC}">
                        <c15:formulaRef>
                          <c15:sqref>'Table 15'!$C$14:$J$14</c15:sqref>
                        </c15:formulaRef>
                      </c:ext>
                    </c:extLst>
                    <c:numCache>
                      <c:formatCode>#,##0</c:formatCode>
                      <c:ptCount val="8"/>
                      <c:pt idx="0">
                        <c:v>20</c:v>
                      </c:pt>
                      <c:pt idx="1">
                        <c:v>31</c:v>
                      </c:pt>
                      <c:pt idx="2">
                        <c:v>29</c:v>
                      </c:pt>
                      <c:pt idx="3">
                        <c:v>15</c:v>
                      </c:pt>
                      <c:pt idx="4">
                        <c:v>12</c:v>
                      </c:pt>
                      <c:pt idx="5">
                        <c:v>23</c:v>
                      </c:pt>
                      <c:pt idx="6">
                        <c:v>39</c:v>
                      </c:pt>
                      <c:pt idx="7">
                        <c:v>22</c:v>
                      </c:pt>
                    </c:numCache>
                  </c:numRef>
                </c:val>
                <c:smooth val="0"/>
                <c:extLst xmlns:c15="http://schemas.microsoft.com/office/drawing/2012/chart">
                  <c:ext xmlns:c16="http://schemas.microsoft.com/office/drawing/2014/chart" uri="{C3380CC4-5D6E-409C-BE32-E72D297353CC}">
                    <c16:uniqueId val="{00000014-4B2A-4F75-B4DA-906262E6B8FE}"/>
                  </c:ext>
                </c:extLst>
              </c15:ser>
            </c15:filteredLineSeries>
          </c:ext>
        </c:extLst>
      </c:lineChart>
      <c:catAx>
        <c:axId val="485048247"/>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sz="1200">
                    <a:latin typeface="Arial" panose="020B0604020202020204" pitchFamily="34" charset="0"/>
                    <a:cs typeface="Arial" panose="020B0604020202020204" pitchFamily="34" charset="0"/>
                  </a:rPr>
                  <a:t>Year</a:t>
                </a:r>
              </a:p>
            </c:rich>
          </c:tx>
          <c:layout>
            <c:manualLayout>
              <c:xMode val="edge"/>
              <c:yMode val="edge"/>
              <c:x val="0.47692579322995787"/>
              <c:y val="0.84920975783475783"/>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85049327"/>
        <c:crosses val="autoZero"/>
        <c:auto val="1"/>
        <c:lblAlgn val="ctr"/>
        <c:lblOffset val="100"/>
        <c:noMultiLvlLbl val="0"/>
      </c:catAx>
      <c:valAx>
        <c:axId val="485049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85048247"/>
        <c:crosses val="autoZero"/>
        <c:crossBetween val="between"/>
      </c:valAx>
      <c:spPr>
        <a:noFill/>
        <a:ln>
          <a:noFill/>
        </a:ln>
        <a:effectLst/>
      </c:spPr>
    </c:plotArea>
    <c:legend>
      <c:legendPos val="b"/>
      <c:layout>
        <c:manualLayout>
          <c:xMode val="edge"/>
          <c:yMode val="edge"/>
          <c:x val="5.9816739836712991E-2"/>
          <c:y val="0.89635113960113955"/>
          <c:w val="0.86978178681901608"/>
          <c:h val="7.7330781231563908E-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'Table 17'!$B$2</c:f>
              <c:strCache>
                <c:ptCount val="1"/>
                <c:pt idx="0">
                  <c:v>Most deprived 30%</c:v>
                </c:pt>
              </c:strCache>
            </c:strRef>
          </c:tx>
          <c:spPr>
            <a:ln w="28575" cap="rnd">
              <a:solidFill>
                <a:srgbClr val="AA4499"/>
              </a:solidFill>
              <a:prstDash val="solid"/>
              <a:round/>
            </a:ln>
            <a:effectLst/>
          </c:spPr>
          <c:marker>
            <c:symbol val="circle"/>
            <c:size val="10"/>
            <c:spPr>
              <a:solidFill>
                <a:srgbClr val="AA4499"/>
              </a:solidFill>
              <a:ln w="9525">
                <a:solidFill>
                  <a:schemeClr val="accent2"/>
                </a:solidFill>
              </a:ln>
              <a:effectLst/>
            </c:spPr>
          </c:marker>
          <c:dLbls>
            <c:spPr>
              <a:solidFill>
                <a:srgbClr val="404040"/>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FFFF"/>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 17'!$A$3:$A$10</c:f>
              <c:numCache>
                <c:formatCode>General</c:formatCode>
                <c:ptCount val="8"/>
                <c:pt idx="0">
                  <c:v>2017</c:v>
                </c:pt>
                <c:pt idx="1">
                  <c:v>2018</c:v>
                </c:pt>
                <c:pt idx="2">
                  <c:v>2019</c:v>
                </c:pt>
                <c:pt idx="3">
                  <c:v>2020</c:v>
                </c:pt>
                <c:pt idx="4">
                  <c:v>2021</c:v>
                </c:pt>
                <c:pt idx="5">
                  <c:v>2022</c:v>
                </c:pt>
                <c:pt idx="6">
                  <c:v>2023</c:v>
                </c:pt>
                <c:pt idx="7">
                  <c:v>2024</c:v>
                </c:pt>
              </c:numCache>
            </c:numRef>
          </c:cat>
          <c:val>
            <c:numRef>
              <c:f>'Table 17'!$B$3:$B$10</c:f>
              <c:numCache>
                <c:formatCode>0.00</c:formatCode>
                <c:ptCount val="8"/>
                <c:pt idx="0">
                  <c:v>0.44400000000000001</c:v>
                </c:pt>
                <c:pt idx="1">
                  <c:v>0.46899999999999997</c:v>
                </c:pt>
                <c:pt idx="2">
                  <c:v>0.44</c:v>
                </c:pt>
                <c:pt idx="3">
                  <c:v>0.34599999999999997</c:v>
                </c:pt>
                <c:pt idx="4">
                  <c:v>0.41599999999999998</c:v>
                </c:pt>
                <c:pt idx="5">
                  <c:v>0.42099999999999999</c:v>
                </c:pt>
                <c:pt idx="6">
                  <c:v>0.41299999999999998</c:v>
                </c:pt>
                <c:pt idx="7">
                  <c:v>0.4</c:v>
                </c:pt>
              </c:numCache>
            </c:numRef>
          </c:val>
          <c:smooth val="0"/>
          <c:extLst>
            <c:ext xmlns:c16="http://schemas.microsoft.com/office/drawing/2014/chart" uri="{C3380CC4-5D6E-409C-BE32-E72D297353CC}">
              <c16:uniqueId val="{00000006-A35F-4086-AC28-A4762AB40D03}"/>
            </c:ext>
          </c:extLst>
        </c:ser>
        <c:ser>
          <c:idx val="2"/>
          <c:order val="1"/>
          <c:tx>
            <c:strRef>
              <c:f>'Table 17'!$C$2</c:f>
              <c:strCache>
                <c:ptCount val="1"/>
                <c:pt idx="0">
                  <c:v>Middle deprivation 40%</c:v>
                </c:pt>
              </c:strCache>
            </c:strRef>
          </c:tx>
          <c:spPr>
            <a:ln w="28575" cap="rnd">
              <a:solidFill>
                <a:srgbClr val="44AA99"/>
              </a:solidFill>
              <a:prstDash val="solid"/>
              <a:round/>
            </a:ln>
            <a:effectLst/>
          </c:spPr>
          <c:marker>
            <c:symbol val="triangle"/>
            <c:size val="10"/>
            <c:spPr>
              <a:solidFill>
                <a:srgbClr val="44AA99"/>
              </a:solidFill>
              <a:ln w="9525">
                <a:solidFill>
                  <a:schemeClr val="accent3"/>
                </a:solidFill>
              </a:ln>
              <a:effectLst/>
            </c:spPr>
          </c:marker>
          <c:dLbls>
            <c:spPr>
              <a:solidFill>
                <a:srgbClr val="404040"/>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FFFF"/>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 17'!$A$3:$A$10</c:f>
              <c:numCache>
                <c:formatCode>General</c:formatCode>
                <c:ptCount val="8"/>
                <c:pt idx="0">
                  <c:v>2017</c:v>
                </c:pt>
                <c:pt idx="1">
                  <c:v>2018</c:v>
                </c:pt>
                <c:pt idx="2">
                  <c:v>2019</c:v>
                </c:pt>
                <c:pt idx="3">
                  <c:v>2020</c:v>
                </c:pt>
                <c:pt idx="4">
                  <c:v>2021</c:v>
                </c:pt>
                <c:pt idx="5">
                  <c:v>2022</c:v>
                </c:pt>
                <c:pt idx="6">
                  <c:v>2023</c:v>
                </c:pt>
                <c:pt idx="7">
                  <c:v>2024</c:v>
                </c:pt>
              </c:numCache>
            </c:numRef>
          </c:cat>
          <c:val>
            <c:numRef>
              <c:f>'Table 17'!$C$3:$C$10</c:f>
              <c:numCache>
                <c:formatCode>0.00</c:formatCode>
                <c:ptCount val="8"/>
                <c:pt idx="0">
                  <c:v>0.371</c:v>
                </c:pt>
                <c:pt idx="1">
                  <c:v>0.36099999999999999</c:v>
                </c:pt>
                <c:pt idx="2">
                  <c:v>0.35499999999999998</c:v>
                </c:pt>
                <c:pt idx="3">
                  <c:v>0.29799999999999999</c:v>
                </c:pt>
                <c:pt idx="4">
                  <c:v>0.36099999999999999</c:v>
                </c:pt>
                <c:pt idx="5">
                  <c:v>0.38200000000000001</c:v>
                </c:pt>
                <c:pt idx="6">
                  <c:v>0.35099999999999998</c:v>
                </c:pt>
                <c:pt idx="7">
                  <c:v>0.35</c:v>
                </c:pt>
              </c:numCache>
            </c:numRef>
          </c:val>
          <c:smooth val="0"/>
          <c:extLst>
            <c:ext xmlns:c16="http://schemas.microsoft.com/office/drawing/2014/chart" uri="{C3380CC4-5D6E-409C-BE32-E72D297353CC}">
              <c16:uniqueId val="{00000008-A35F-4086-AC28-A4762AB40D03}"/>
            </c:ext>
          </c:extLst>
        </c:ser>
        <c:ser>
          <c:idx val="3"/>
          <c:order val="2"/>
          <c:tx>
            <c:strRef>
              <c:f>'Table 17'!$D$2</c:f>
              <c:strCache>
                <c:ptCount val="1"/>
                <c:pt idx="0">
                  <c:v>Least deprived 30%</c:v>
                </c:pt>
              </c:strCache>
            </c:strRef>
          </c:tx>
          <c:spPr>
            <a:ln w="28575" cap="rnd">
              <a:solidFill>
                <a:srgbClr val="999933"/>
              </a:solidFill>
              <a:prstDash val="solid"/>
              <a:round/>
            </a:ln>
            <a:effectLst/>
          </c:spPr>
          <c:marker>
            <c:symbol val="square"/>
            <c:size val="10"/>
            <c:spPr>
              <a:solidFill>
                <a:srgbClr val="999933"/>
              </a:solidFill>
              <a:ln w="9525">
                <a:solidFill>
                  <a:schemeClr val="accent4"/>
                </a:solidFill>
              </a:ln>
              <a:effectLst/>
            </c:spPr>
          </c:marker>
          <c:dLbls>
            <c:spPr>
              <a:solidFill>
                <a:srgbClr val="404040"/>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FFFF"/>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 17'!$A$3:$A$10</c:f>
              <c:numCache>
                <c:formatCode>General</c:formatCode>
                <c:ptCount val="8"/>
                <c:pt idx="0">
                  <c:v>2017</c:v>
                </c:pt>
                <c:pt idx="1">
                  <c:v>2018</c:v>
                </c:pt>
                <c:pt idx="2">
                  <c:v>2019</c:v>
                </c:pt>
                <c:pt idx="3">
                  <c:v>2020</c:v>
                </c:pt>
                <c:pt idx="4">
                  <c:v>2021</c:v>
                </c:pt>
                <c:pt idx="5">
                  <c:v>2022</c:v>
                </c:pt>
                <c:pt idx="6">
                  <c:v>2023</c:v>
                </c:pt>
                <c:pt idx="7">
                  <c:v>2024</c:v>
                </c:pt>
              </c:numCache>
            </c:numRef>
          </c:cat>
          <c:val>
            <c:numRef>
              <c:f>'Table 17'!$D$3:$D$10</c:f>
              <c:numCache>
                <c:formatCode>0.00</c:formatCode>
                <c:ptCount val="8"/>
                <c:pt idx="0">
                  <c:v>0.25600000000000001</c:v>
                </c:pt>
                <c:pt idx="1">
                  <c:v>0.26700000000000002</c:v>
                </c:pt>
                <c:pt idx="2">
                  <c:v>0.26100000000000001</c:v>
                </c:pt>
                <c:pt idx="3">
                  <c:v>0.23200000000000001</c:v>
                </c:pt>
                <c:pt idx="4">
                  <c:v>0.26100000000000001</c:v>
                </c:pt>
                <c:pt idx="5">
                  <c:v>0.30199999999999999</c:v>
                </c:pt>
                <c:pt idx="6">
                  <c:v>0.27700000000000002</c:v>
                </c:pt>
                <c:pt idx="7">
                  <c:v>0.26</c:v>
                </c:pt>
              </c:numCache>
            </c:numRef>
          </c:val>
          <c:smooth val="0"/>
          <c:extLst>
            <c:ext xmlns:c16="http://schemas.microsoft.com/office/drawing/2014/chart" uri="{C3380CC4-5D6E-409C-BE32-E72D297353CC}">
              <c16:uniqueId val="{0000000A-A35F-4086-AC28-A4762AB40D03}"/>
            </c:ext>
          </c:extLst>
        </c:ser>
        <c:dLbls>
          <c:showLegendKey val="0"/>
          <c:showVal val="0"/>
          <c:showCatName val="0"/>
          <c:showSerName val="0"/>
          <c:showPercent val="0"/>
          <c:showBubbleSize val="0"/>
        </c:dLbls>
        <c:marker val="1"/>
        <c:smooth val="0"/>
        <c:axId val="13134855"/>
        <c:axId val="13163527"/>
      </c:lineChart>
      <c:catAx>
        <c:axId val="13134855"/>
        <c:scaling>
          <c:orientation val="minMax"/>
        </c:scaling>
        <c:delete val="0"/>
        <c:axPos val="b"/>
        <c:title>
          <c:tx>
            <c:rich>
              <a:bodyPr rot="0" spcFirstLastPara="1" vertOverflow="ellipsis" vert="horz" wrap="square" anchor="ctr" anchorCtr="1"/>
              <a:lstStyle/>
              <a:p>
                <a:pPr>
                  <a:defRPr sz="1100" b="0" i="0" u="none" strike="noStrike" kern="1200" baseline="0">
                    <a:solidFill>
                      <a:srgbClr val="000000"/>
                    </a:solidFill>
                    <a:latin typeface="Arial"/>
                    <a:ea typeface="Arial"/>
                    <a:cs typeface="Arial"/>
                  </a:defRPr>
                </a:pPr>
                <a:r>
                  <a:rPr lang="en-US"/>
                  <a:t>Year</a:t>
                </a:r>
              </a:p>
            </c:rich>
          </c:tx>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a:ea typeface="Arial"/>
                  <a:cs typeface="Arial"/>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crossAx val="13163527"/>
        <c:crosses val="autoZero"/>
        <c:auto val="1"/>
        <c:lblAlgn val="ctr"/>
        <c:lblOffset val="100"/>
        <c:noMultiLvlLbl val="0"/>
      </c:catAx>
      <c:valAx>
        <c:axId val="13163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crossAx val="13134855"/>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'Table 18'!$B$2</c:f>
              <c:strCache>
                <c:ptCount val="1"/>
                <c:pt idx="0">
                  <c:v>Most deprived 30%</c:v>
                </c:pt>
              </c:strCache>
            </c:strRef>
          </c:tx>
          <c:spPr>
            <a:ln w="28575" cap="rnd">
              <a:solidFill>
                <a:srgbClr val="AA4499"/>
              </a:solidFill>
              <a:prstDash val="solid"/>
              <a:round/>
            </a:ln>
            <a:effectLst/>
          </c:spPr>
          <c:marker>
            <c:symbol val="circle"/>
            <c:size val="10"/>
            <c:spPr>
              <a:solidFill>
                <a:srgbClr val="AA4499"/>
              </a:solidFill>
              <a:ln w="9525">
                <a:solidFill>
                  <a:schemeClr val="accent2"/>
                </a:solidFill>
              </a:ln>
              <a:effectLst/>
            </c:spPr>
          </c:marker>
          <c:dLbls>
            <c:spPr>
              <a:solidFill>
                <a:srgbClr val="595959"/>
              </a:solidFill>
              <a:ln>
                <a:solidFill>
                  <a:srgbClr val="595959"/>
                </a:solidFill>
                <a:prstDash val="solid"/>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FFFF"/>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 18'!$A$3:$A$10</c:f>
              <c:numCache>
                <c:formatCode>General</c:formatCode>
                <c:ptCount val="8"/>
                <c:pt idx="0">
                  <c:v>2017</c:v>
                </c:pt>
                <c:pt idx="1">
                  <c:v>2018</c:v>
                </c:pt>
                <c:pt idx="2">
                  <c:v>2019</c:v>
                </c:pt>
                <c:pt idx="3">
                  <c:v>2020</c:v>
                </c:pt>
                <c:pt idx="4">
                  <c:v>2021</c:v>
                </c:pt>
                <c:pt idx="5">
                  <c:v>2022</c:v>
                </c:pt>
                <c:pt idx="6">
                  <c:v>2023</c:v>
                </c:pt>
                <c:pt idx="7">
                  <c:v>2024</c:v>
                </c:pt>
              </c:numCache>
            </c:numRef>
          </c:cat>
          <c:val>
            <c:numRef>
              <c:f>'Table 18'!$B$3:$B$10</c:f>
              <c:numCache>
                <c:formatCode>0.00</c:formatCode>
                <c:ptCount val="8"/>
                <c:pt idx="0">
                  <c:v>0.251</c:v>
                </c:pt>
                <c:pt idx="1">
                  <c:v>0.25900000000000001</c:v>
                </c:pt>
                <c:pt idx="2">
                  <c:v>0.255</c:v>
                </c:pt>
                <c:pt idx="3">
                  <c:v>0.19400000000000001</c:v>
                </c:pt>
                <c:pt idx="4">
                  <c:v>0.224</c:v>
                </c:pt>
                <c:pt idx="5">
                  <c:v>0.246</c:v>
                </c:pt>
                <c:pt idx="6">
                  <c:v>0.22800000000000001</c:v>
                </c:pt>
                <c:pt idx="7">
                  <c:v>0.23</c:v>
                </c:pt>
              </c:numCache>
            </c:numRef>
          </c:val>
          <c:smooth val="0"/>
          <c:extLst>
            <c:ext xmlns:c16="http://schemas.microsoft.com/office/drawing/2014/chart" uri="{C3380CC4-5D6E-409C-BE32-E72D297353CC}">
              <c16:uniqueId val="{00000004-1241-4857-9A39-4B46766CD6A1}"/>
            </c:ext>
          </c:extLst>
        </c:ser>
        <c:ser>
          <c:idx val="2"/>
          <c:order val="1"/>
          <c:tx>
            <c:strRef>
              <c:f>'Table 18'!$C$2</c:f>
              <c:strCache>
                <c:ptCount val="1"/>
                <c:pt idx="0">
                  <c:v>Middle deprivation 40%</c:v>
                </c:pt>
              </c:strCache>
            </c:strRef>
          </c:tx>
          <c:spPr>
            <a:ln w="28575" cap="rnd">
              <a:solidFill>
                <a:srgbClr val="44AA99"/>
              </a:solidFill>
              <a:prstDash val="solid"/>
              <a:round/>
            </a:ln>
            <a:effectLst/>
          </c:spPr>
          <c:marker>
            <c:symbol val="triangle"/>
            <c:size val="10"/>
            <c:spPr>
              <a:solidFill>
                <a:srgbClr val="44AA99"/>
              </a:solidFill>
              <a:ln w="9525">
                <a:solidFill>
                  <a:schemeClr val="accent3"/>
                </a:solidFill>
              </a:ln>
              <a:effectLst/>
            </c:spPr>
          </c:marker>
          <c:dLbls>
            <c:spPr>
              <a:solidFill>
                <a:srgbClr val="595959"/>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FFFF"/>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 18'!$A$3:$A$10</c:f>
              <c:numCache>
                <c:formatCode>General</c:formatCode>
                <c:ptCount val="8"/>
                <c:pt idx="0">
                  <c:v>2017</c:v>
                </c:pt>
                <c:pt idx="1">
                  <c:v>2018</c:v>
                </c:pt>
                <c:pt idx="2">
                  <c:v>2019</c:v>
                </c:pt>
                <c:pt idx="3">
                  <c:v>2020</c:v>
                </c:pt>
                <c:pt idx="4">
                  <c:v>2021</c:v>
                </c:pt>
                <c:pt idx="5">
                  <c:v>2022</c:v>
                </c:pt>
                <c:pt idx="6">
                  <c:v>2023</c:v>
                </c:pt>
                <c:pt idx="7">
                  <c:v>2024</c:v>
                </c:pt>
              </c:numCache>
            </c:numRef>
          </c:cat>
          <c:val>
            <c:numRef>
              <c:f>'Table 18'!$C$3:$C$10</c:f>
              <c:numCache>
                <c:formatCode>0.00</c:formatCode>
                <c:ptCount val="8"/>
                <c:pt idx="0">
                  <c:v>0.19</c:v>
                </c:pt>
                <c:pt idx="1">
                  <c:v>0.19600000000000001</c:v>
                </c:pt>
                <c:pt idx="2">
                  <c:v>0.186</c:v>
                </c:pt>
                <c:pt idx="3">
                  <c:v>0.14899999999999999</c:v>
                </c:pt>
                <c:pt idx="4">
                  <c:v>0.17199999999999999</c:v>
                </c:pt>
                <c:pt idx="5">
                  <c:v>0.192</c:v>
                </c:pt>
                <c:pt idx="6">
                  <c:v>0.17699999999999999</c:v>
                </c:pt>
                <c:pt idx="7">
                  <c:v>0.18</c:v>
                </c:pt>
              </c:numCache>
            </c:numRef>
          </c:val>
          <c:smooth val="0"/>
          <c:extLst>
            <c:ext xmlns:c16="http://schemas.microsoft.com/office/drawing/2014/chart" uri="{C3380CC4-5D6E-409C-BE32-E72D297353CC}">
              <c16:uniqueId val="{00000006-1241-4857-9A39-4B46766CD6A1}"/>
            </c:ext>
          </c:extLst>
        </c:ser>
        <c:ser>
          <c:idx val="3"/>
          <c:order val="2"/>
          <c:tx>
            <c:strRef>
              <c:f>'Table 18'!$D$2</c:f>
              <c:strCache>
                <c:ptCount val="1"/>
                <c:pt idx="0">
                  <c:v>Least deprived 30%</c:v>
                </c:pt>
              </c:strCache>
            </c:strRef>
          </c:tx>
          <c:spPr>
            <a:ln w="28575" cap="rnd">
              <a:solidFill>
                <a:srgbClr val="999933"/>
              </a:solidFill>
              <a:prstDash val="solid"/>
              <a:round/>
            </a:ln>
            <a:effectLst/>
          </c:spPr>
          <c:marker>
            <c:symbol val="square"/>
            <c:size val="10"/>
            <c:spPr>
              <a:solidFill>
                <a:srgbClr val="999933"/>
              </a:solidFill>
              <a:ln w="9525">
                <a:solidFill>
                  <a:schemeClr val="accent4"/>
                </a:solidFill>
              </a:ln>
              <a:effectLst/>
            </c:spPr>
          </c:marker>
          <c:dLbls>
            <c:spPr>
              <a:solidFill>
                <a:srgbClr val="595959"/>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FFFF"/>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 18'!$A$3:$A$10</c:f>
              <c:numCache>
                <c:formatCode>General</c:formatCode>
                <c:ptCount val="8"/>
                <c:pt idx="0">
                  <c:v>2017</c:v>
                </c:pt>
                <c:pt idx="1">
                  <c:v>2018</c:v>
                </c:pt>
                <c:pt idx="2">
                  <c:v>2019</c:v>
                </c:pt>
                <c:pt idx="3">
                  <c:v>2020</c:v>
                </c:pt>
                <c:pt idx="4">
                  <c:v>2021</c:v>
                </c:pt>
                <c:pt idx="5">
                  <c:v>2022</c:v>
                </c:pt>
                <c:pt idx="6">
                  <c:v>2023</c:v>
                </c:pt>
                <c:pt idx="7">
                  <c:v>2024</c:v>
                </c:pt>
              </c:numCache>
            </c:numRef>
          </c:cat>
          <c:val>
            <c:numRef>
              <c:f>'Table 18'!$D$3:$D$10</c:f>
              <c:numCache>
                <c:formatCode>0.00</c:formatCode>
                <c:ptCount val="8"/>
                <c:pt idx="0">
                  <c:v>0.112</c:v>
                </c:pt>
                <c:pt idx="1">
                  <c:v>0.127</c:v>
                </c:pt>
                <c:pt idx="2">
                  <c:v>0.11799999999999999</c:v>
                </c:pt>
                <c:pt idx="3">
                  <c:v>9.5000000000000001E-2</c:v>
                </c:pt>
                <c:pt idx="4">
                  <c:v>0.11799999999999999</c:v>
                </c:pt>
                <c:pt idx="5">
                  <c:v>0.13</c:v>
                </c:pt>
                <c:pt idx="6">
                  <c:v>0.13</c:v>
                </c:pt>
                <c:pt idx="7">
                  <c:v>0.12</c:v>
                </c:pt>
              </c:numCache>
            </c:numRef>
          </c:val>
          <c:smooth val="0"/>
          <c:extLst>
            <c:ext xmlns:c16="http://schemas.microsoft.com/office/drawing/2014/chart" uri="{C3380CC4-5D6E-409C-BE32-E72D297353CC}">
              <c16:uniqueId val="{00000008-1241-4857-9A39-4B46766CD6A1}"/>
            </c:ext>
          </c:extLst>
        </c:ser>
        <c:dLbls>
          <c:showLegendKey val="0"/>
          <c:showVal val="0"/>
          <c:showCatName val="0"/>
          <c:showSerName val="0"/>
          <c:showPercent val="0"/>
          <c:showBubbleSize val="0"/>
        </c:dLbls>
        <c:marker val="1"/>
        <c:smooth val="0"/>
        <c:axId val="13134855"/>
        <c:axId val="13163527"/>
      </c:lineChart>
      <c:catAx>
        <c:axId val="13134855"/>
        <c:scaling>
          <c:orientation val="minMax"/>
        </c:scaling>
        <c:delete val="0"/>
        <c:axPos val="b"/>
        <c:title>
          <c:tx>
            <c:rich>
              <a:bodyPr rot="0" spcFirstLastPara="1" vertOverflow="ellipsis" vert="horz" wrap="square" anchor="ctr" anchorCtr="1"/>
              <a:lstStyle/>
              <a:p>
                <a:pPr>
                  <a:defRPr sz="1100" b="0" i="0" u="none" strike="noStrike" kern="1200" baseline="0">
                    <a:solidFill>
                      <a:srgbClr val="000000"/>
                    </a:solidFill>
                    <a:latin typeface="Arial"/>
                    <a:ea typeface="Arial"/>
                    <a:cs typeface="Arial"/>
                  </a:defRPr>
                </a:pPr>
                <a:r>
                  <a:rPr lang="en-US"/>
                  <a:t>Year</a:t>
                </a:r>
              </a:p>
            </c:rich>
          </c:tx>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a:ea typeface="Arial"/>
                  <a:cs typeface="Arial"/>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crossAx val="13163527"/>
        <c:crosses val="autoZero"/>
        <c:auto val="1"/>
        <c:lblAlgn val="ctr"/>
        <c:lblOffset val="100"/>
        <c:noMultiLvlLbl val="0"/>
      </c:catAx>
      <c:valAx>
        <c:axId val="13163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crossAx val="13134855"/>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20991598343854"/>
          <c:y val="0.12318187374979681"/>
          <c:w val="0.87404080062767509"/>
          <c:h val="0.7269200232677171"/>
        </c:manualLayout>
      </c:layout>
      <c:lineChart>
        <c:grouping val="standard"/>
        <c:varyColors val="0"/>
        <c:ser>
          <c:idx val="1"/>
          <c:order val="0"/>
          <c:tx>
            <c:strRef>
              <c:f>'Table 19'!$B$2</c:f>
              <c:strCache>
                <c:ptCount val="1"/>
                <c:pt idx="0">
                  <c:v>Police reported casualties</c:v>
                </c:pt>
              </c:strCache>
            </c:strRef>
          </c:tx>
          <c:spPr>
            <a:ln w="28575" cap="rnd">
              <a:solidFill>
                <a:srgbClr val="AA4499"/>
              </a:solidFill>
              <a:round/>
            </a:ln>
            <a:effectLst/>
          </c:spPr>
          <c:marker>
            <c:symbol val="none"/>
          </c:marker>
          <c:cat>
            <c:numRef>
              <c:f>'Table 19'!$A$3:$A$11</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'Table 19'!$B$3:$B$11</c:f>
              <c:numCache>
                <c:formatCode>_-* #,##0_-;\-* #,##0_-;_-* "-"??_-;_-@_-</c:formatCode>
                <c:ptCount val="9"/>
                <c:pt idx="0">
                  <c:v>27906.822276738545</c:v>
                </c:pt>
                <c:pt idx="1">
                  <c:v>25713</c:v>
                </c:pt>
                <c:pt idx="2">
                  <c:v>22256</c:v>
                </c:pt>
                <c:pt idx="3">
                  <c:v>20113</c:v>
                </c:pt>
                <c:pt idx="4">
                  <c:v>14980</c:v>
                </c:pt>
                <c:pt idx="5">
                  <c:v>17171</c:v>
                </c:pt>
                <c:pt idx="6">
                  <c:v>17080</c:v>
                </c:pt>
                <c:pt idx="7">
                  <c:v>15277</c:v>
                </c:pt>
                <c:pt idx="8">
                  <c:v>14683</c:v>
                </c:pt>
              </c:numCache>
            </c:numRef>
          </c:val>
          <c:smooth val="0"/>
          <c:extLst>
            <c:ext xmlns:c16="http://schemas.microsoft.com/office/drawing/2014/chart" uri="{C3380CC4-5D6E-409C-BE32-E72D297353CC}">
              <c16:uniqueId val="{00000000-BD9A-4112-B9F9-AA87486BA08A}"/>
            </c:ext>
          </c:extLst>
        </c:ser>
        <c:ser>
          <c:idx val="2"/>
          <c:order val="1"/>
          <c:tx>
            <c:strRef>
              <c:f>'Table 19'!$C$2</c:f>
              <c:strCache>
                <c:ptCount val="1"/>
                <c:pt idx="0">
                  <c:v>Self-reported casualties*</c:v>
                </c:pt>
              </c:strCache>
            </c:strRef>
          </c:tx>
          <c:spPr>
            <a:ln w="28575" cap="rnd">
              <a:solidFill>
                <a:srgbClr val="117733"/>
              </a:solidFill>
              <a:round/>
            </a:ln>
            <a:effectLst/>
          </c:spPr>
          <c:marker>
            <c:symbol val="none"/>
          </c:marker>
          <c:cat>
            <c:numRef>
              <c:f>'Table 19'!$A$3:$A$11</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'Table 19'!$C$3:$C$11</c:f>
              <c:numCache>
                <c:formatCode>_-* #,##0_-;\-* #,##0_-;_-* "-"??_-;_-@_-</c:formatCode>
                <c:ptCount val="9"/>
                <c:pt idx="0">
                  <c:v>5080</c:v>
                </c:pt>
                <c:pt idx="1">
                  <c:v>6854</c:v>
                </c:pt>
                <c:pt idx="2">
                  <c:v>8335</c:v>
                </c:pt>
                <c:pt idx="3">
                  <c:v>9894</c:v>
                </c:pt>
                <c:pt idx="4">
                  <c:v>9365</c:v>
                </c:pt>
                <c:pt idx="5">
                  <c:v>9500</c:v>
                </c:pt>
                <c:pt idx="6">
                  <c:v>10127</c:v>
                </c:pt>
                <c:pt idx="7">
                  <c:v>10899</c:v>
                </c:pt>
                <c:pt idx="8">
                  <c:v>9336</c:v>
                </c:pt>
              </c:numCache>
            </c:numRef>
          </c:val>
          <c:smooth val="0"/>
          <c:extLst>
            <c:ext xmlns:c16="http://schemas.microsoft.com/office/drawing/2014/chart" uri="{C3380CC4-5D6E-409C-BE32-E72D297353CC}">
              <c16:uniqueId val="{00000001-BD9A-4112-B9F9-AA87486BA08A}"/>
            </c:ext>
          </c:extLst>
        </c:ser>
        <c:ser>
          <c:idx val="0"/>
          <c:order val="2"/>
          <c:tx>
            <c:strRef>
              <c:f>'Table 19'!$D$2</c:f>
              <c:strCache>
                <c:ptCount val="1"/>
                <c:pt idx="0">
                  <c:v>Total casualties</c:v>
                </c:pt>
              </c:strCache>
            </c:strRef>
          </c:tx>
          <c:spPr>
            <a:ln w="28575" cap="rnd">
              <a:solidFill>
                <a:schemeClr val="accent1"/>
              </a:solidFill>
              <a:round/>
            </a:ln>
            <a:effectLst/>
          </c:spPr>
          <c:marker>
            <c:symbol val="none"/>
          </c:marker>
          <c:cat>
            <c:numRef>
              <c:f>'Table 19'!$A$3:$A$11</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'Table 19'!$D$3:$D$11</c:f>
              <c:numCache>
                <c:formatCode>_-* #,##0_-;\-* #,##0_-;_-* "-"??_-;_-@_-</c:formatCode>
                <c:ptCount val="9"/>
                <c:pt idx="0">
                  <c:v>32986.822276738545</c:v>
                </c:pt>
                <c:pt idx="1">
                  <c:v>32567</c:v>
                </c:pt>
                <c:pt idx="2">
                  <c:v>30591</c:v>
                </c:pt>
                <c:pt idx="3">
                  <c:v>30007</c:v>
                </c:pt>
                <c:pt idx="4">
                  <c:v>24345</c:v>
                </c:pt>
                <c:pt idx="5">
                  <c:v>26671</c:v>
                </c:pt>
                <c:pt idx="6">
                  <c:v>27207</c:v>
                </c:pt>
                <c:pt idx="7">
                  <c:v>26176</c:v>
                </c:pt>
                <c:pt idx="8">
                  <c:v>24019</c:v>
                </c:pt>
              </c:numCache>
            </c:numRef>
          </c:val>
          <c:smooth val="0"/>
          <c:extLst>
            <c:ext xmlns:c16="http://schemas.microsoft.com/office/drawing/2014/chart" uri="{C3380CC4-5D6E-409C-BE32-E72D297353CC}">
              <c16:uniqueId val="{00000000-3175-4EB2-9304-B28FAD0A8551}"/>
            </c:ext>
          </c:extLst>
        </c:ser>
        <c:dLbls>
          <c:showLegendKey val="0"/>
          <c:showVal val="0"/>
          <c:showCatName val="0"/>
          <c:showSerName val="0"/>
          <c:showPercent val="0"/>
          <c:showBubbleSize val="0"/>
        </c:dLbls>
        <c:smooth val="0"/>
        <c:axId val="714892696"/>
        <c:axId val="714894008"/>
      </c:lineChart>
      <c:catAx>
        <c:axId val="714892696"/>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solidFill>
                      <a:sysClr val="windowText" lastClr="000000"/>
                    </a:solidFill>
                  </a:rPr>
                  <a:t>Year</a:t>
                </a:r>
              </a:p>
            </c:rich>
          </c:tx>
          <c:layout>
            <c:manualLayout>
              <c:xMode val="edge"/>
              <c:yMode val="edge"/>
              <c:x val="0.47431238216896582"/>
              <c:y val="0.9002959751659174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4894008"/>
        <c:crosses val="autoZero"/>
        <c:auto val="1"/>
        <c:lblAlgn val="ctr"/>
        <c:lblOffset val="100"/>
        <c:noMultiLvlLbl val="0"/>
      </c:catAx>
      <c:valAx>
        <c:axId val="714894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4892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lgn="ct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184149</xdr:colOff>
      <xdr:row>24</xdr:row>
      <xdr:rowOff>101600</xdr:rowOff>
    </xdr:from>
    <xdr:to>
      <xdr:col>5</xdr:col>
      <xdr:colOff>8871</xdr:colOff>
      <xdr:row>43</xdr:row>
      <xdr:rowOff>152400</xdr:rowOff>
    </xdr:to>
    <xdr:pic>
      <xdr:nvPicPr>
        <xdr:cNvPr id="3" name="Picture 2">
          <a:extLst>
            <a:ext uri="{FF2B5EF4-FFF2-40B4-BE49-F238E27FC236}">
              <a16:creationId xmlns:a16="http://schemas.microsoft.com/office/drawing/2014/main" id="{C587B6C6-3685-07A6-2667-DA4BF71820D0}"/>
            </a:ext>
          </a:extLst>
        </xdr:cNvPr>
        <xdr:cNvPicPr>
          <a:picLocks noChangeAspect="1"/>
        </xdr:cNvPicPr>
      </xdr:nvPicPr>
      <xdr:blipFill>
        <a:blip xmlns:r="http://schemas.openxmlformats.org/officeDocument/2006/relationships" r:embed="rId1"/>
        <a:stretch>
          <a:fillRect/>
        </a:stretch>
      </xdr:blipFill>
      <xdr:spPr>
        <a:xfrm>
          <a:off x="184149" y="6521450"/>
          <a:ext cx="8260697" cy="4984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249557</xdr:colOff>
      <xdr:row>14</xdr:row>
      <xdr:rowOff>104451</xdr:rowOff>
    </xdr:from>
    <xdr:to>
      <xdr:col>17</xdr:col>
      <xdr:colOff>301870</xdr:colOff>
      <xdr:row>42</xdr:row>
      <xdr:rowOff>123825</xdr:rowOff>
    </xdr:to>
    <xdr:graphicFrame macro="">
      <xdr:nvGraphicFramePr>
        <xdr:cNvPr id="2" name="Chart 1" descr="A stacked column chart showing the number of people killed or seriously injured by mode, covering the years 2015 to 2023. The X-axis shows the years from 2015 to 2023, and the Y-axis represents the number of people killed or seriously injured. Each column is divided into segments representing different modes of transportation, including pedestrians, pedal cyclists, motorcycle users, car occupants, bus or coach occupants, other vehicle occupants, goods vehicle occupants, private hire occupants, and taxi occupants. The full data values are available in the Casualties in Greater London, 2023 Data Annex found on tfl.gov.uk.">
          <a:extLst>
            <a:ext uri="{FF2B5EF4-FFF2-40B4-BE49-F238E27FC236}">
              <a16:creationId xmlns:a16="http://schemas.microsoft.com/office/drawing/2014/main" id="{68E6D0B3-6B24-4623-8ED3-50AB1E6C9CC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146049</xdr:colOff>
      <xdr:row>25</xdr:row>
      <xdr:rowOff>101600</xdr:rowOff>
    </xdr:from>
    <xdr:to>
      <xdr:col>8</xdr:col>
      <xdr:colOff>123786</xdr:colOff>
      <xdr:row>46</xdr:row>
      <xdr:rowOff>158750</xdr:rowOff>
    </xdr:to>
    <xdr:pic>
      <xdr:nvPicPr>
        <xdr:cNvPr id="2" name="Picture 1">
          <a:extLst>
            <a:ext uri="{FF2B5EF4-FFF2-40B4-BE49-F238E27FC236}">
              <a16:creationId xmlns:a16="http://schemas.microsoft.com/office/drawing/2014/main" id="{8CF7C08C-48E0-FF01-07FC-F8ABAAC12396}"/>
            </a:ext>
          </a:extLst>
        </xdr:cNvPr>
        <xdr:cNvPicPr>
          <a:picLocks noChangeAspect="1"/>
        </xdr:cNvPicPr>
      </xdr:nvPicPr>
      <xdr:blipFill>
        <a:blip xmlns:r="http://schemas.openxmlformats.org/officeDocument/2006/relationships" r:embed="rId1"/>
        <a:stretch>
          <a:fillRect/>
        </a:stretch>
      </xdr:blipFill>
      <xdr:spPr>
        <a:xfrm>
          <a:off x="146049" y="6515100"/>
          <a:ext cx="9337637" cy="5568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149997</xdr:colOff>
      <xdr:row>14</xdr:row>
      <xdr:rowOff>86515</xdr:rowOff>
    </xdr:from>
    <xdr:to>
      <xdr:col>10</xdr:col>
      <xdr:colOff>1085850</xdr:colOff>
      <xdr:row>34</xdr:row>
      <xdr:rowOff>180429</xdr:rowOff>
    </xdr:to>
    <xdr:graphicFrame macro="">
      <xdr:nvGraphicFramePr>
        <xdr:cNvPr id="4" name="Chart 2" descr="A stacked column chart show the number of people killed or seriously injured on or by a bus, split by mode. The X-axis represents the years from 2017 to 2023, and the Y-axis shows the number of people killed or seriously injured. Each column is divided into segments representing different modes of transportation, including bus or coach occupants, pedestrians, pedal cyclists, motorcycle users, car occupants, other vehicle occupants, goods vehicle occupants, private hire occupants, and taxi occupants. The full data values are available in the Casualties in Greater London, 2023 Data Annex found on tfl.gov.uk.">
          <a:extLst>
            <a:ext uri="{FF2B5EF4-FFF2-40B4-BE49-F238E27FC236}">
              <a16:creationId xmlns:a16="http://schemas.microsoft.com/office/drawing/2014/main" id="{CD2604BE-3573-4815-A17B-005951DAB13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263644</xdr:colOff>
      <xdr:row>14</xdr:row>
      <xdr:rowOff>48573</xdr:rowOff>
    </xdr:from>
    <xdr:to>
      <xdr:col>15</xdr:col>
      <xdr:colOff>85498</xdr:colOff>
      <xdr:row>42</xdr:row>
      <xdr:rowOff>123824</xdr:rowOff>
    </xdr:to>
    <xdr:graphicFrame macro="">
      <xdr:nvGraphicFramePr>
        <xdr:cNvPr id="2" name="Chart 1" descr="A stacked column chart showing the number of fatalities by mode for the years 2015 to 2023. The X-axis represents the years from 2015 to 2023, while the Y-axis indicates the number of people killed. Each column is divided into segments representing different modes of transportation, including pedestrians, pedal cyclists, motorcycle users, car occupants, bus or coach occupants, other vehicle occupants, goods vehicle occupants, private hire occupants, and taxi occupants. The full data values are available in the Casualties in Greater London, 2023 Data Annex found on tfl.gov.uk">
          <a:extLst>
            <a:ext uri="{FF2B5EF4-FFF2-40B4-BE49-F238E27FC236}">
              <a16:creationId xmlns:a16="http://schemas.microsoft.com/office/drawing/2014/main" id="{25C5659F-3FF5-4742-B848-3DCCA057B71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436708</xdr:colOff>
      <xdr:row>14</xdr:row>
      <xdr:rowOff>86888</xdr:rowOff>
    </xdr:from>
    <xdr:to>
      <xdr:col>17</xdr:col>
      <xdr:colOff>771525</xdr:colOff>
      <xdr:row>42</xdr:row>
      <xdr:rowOff>215900</xdr:rowOff>
    </xdr:to>
    <xdr:graphicFrame macro="">
      <xdr:nvGraphicFramePr>
        <xdr:cNvPr id="2" name="Chart 1" descr="A stacked column chart showing the number of people seriously injured by mode from 2015 to 2023. The X-axis represents the years from 2015 to 2023, while the Y-axis shows the number of people seriously injured. The chart includes a horizontal line indicating the 2010-14 average of 4,733 people seriously injured. Each column is divided into segments representing different modes. The full data values are available in the Casualties in Greater London, 2023 Data Annex found on tfl.gov.uk.">
          <a:extLst>
            <a:ext uri="{FF2B5EF4-FFF2-40B4-BE49-F238E27FC236}">
              <a16:creationId xmlns:a16="http://schemas.microsoft.com/office/drawing/2014/main" id="{5CA5EA4A-7ED7-4C0A-B15B-A9B459A328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231140</xdr:colOff>
      <xdr:row>14</xdr:row>
      <xdr:rowOff>68260</xdr:rowOff>
    </xdr:from>
    <xdr:to>
      <xdr:col>17</xdr:col>
      <xdr:colOff>439523</xdr:colOff>
      <xdr:row>42</xdr:row>
      <xdr:rowOff>152399</xdr:rowOff>
    </xdr:to>
    <xdr:graphicFrame macro="">
      <xdr:nvGraphicFramePr>
        <xdr:cNvPr id="2" name="Chart 1" descr="A stacked column chart titled 'People Slightly Injured by Mode from 2015 to 2023.' The X-axis represents the years from 2015 to 2023, while the Y-axis indicates the number of people slightly injured. The chart includes a horizontal line representing the 2010-14 average of 26,735 slightly injured people. Each column is divided into segments representing different modes of transportation.">
          <a:extLst>
            <a:ext uri="{FF2B5EF4-FFF2-40B4-BE49-F238E27FC236}">
              <a16:creationId xmlns:a16="http://schemas.microsoft.com/office/drawing/2014/main" id="{65112562-78F0-4A98-B724-C9392BA8D87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245795</xdr:colOff>
      <xdr:row>12</xdr:row>
      <xdr:rowOff>141971</xdr:rowOff>
    </xdr:from>
    <xdr:to>
      <xdr:col>12</xdr:col>
      <xdr:colOff>127000</xdr:colOff>
      <xdr:row>42</xdr:row>
      <xdr:rowOff>160625</xdr:rowOff>
    </xdr:to>
    <xdr:graphicFrame macro="">
      <xdr:nvGraphicFramePr>
        <xdr:cNvPr id="4" name="Chart 3" descr="A bar chart titled showing the number of casualties by mode of travel and severity in 2023. The X-axis represents different modes of travel, including pedestrians, pedal cyclists, motorcycle users, car occupants, bus or coach occupants, other vehicle occupants, goods vehicle occupants, private hire occupants, and taxi occupants. The Y-axis indicates the number of casualties. The full data values are available in the Casualties in Greater London, 2023 Data Annex found on tfl.gov.uk.">
          <a:extLst>
            <a:ext uri="{FF2B5EF4-FFF2-40B4-BE49-F238E27FC236}">
              <a16:creationId xmlns:a16="http://schemas.microsoft.com/office/drawing/2014/main" id="{17209352-E3DF-48B9-8334-A86BB077C80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164622</xdr:colOff>
      <xdr:row>14</xdr:row>
      <xdr:rowOff>86519</xdr:rowOff>
    </xdr:from>
    <xdr:to>
      <xdr:col>16</xdr:col>
      <xdr:colOff>225949</xdr:colOff>
      <xdr:row>42</xdr:row>
      <xdr:rowOff>142875</xdr:rowOff>
    </xdr:to>
    <xdr:graphicFrame macro="">
      <xdr:nvGraphicFramePr>
        <xdr:cNvPr id="2" name="Chart 6" descr="A stacked column chart showing the total number of casualties by mode from 2015 to 2023. The X-axis represents the years from 2015 to 2023, while the Y-axis indicates the number of people injured. The chart includes a horizontal line representing the 2010-14 average of 31,604 casualties. Each column is divided into segments representing different modes. The full data values are available in the Casualties in Greater London, 2023 Data Annex found on tfl.gov.uk.">
          <a:extLst>
            <a:ext uri="{FF2B5EF4-FFF2-40B4-BE49-F238E27FC236}">
              <a16:creationId xmlns:a16="http://schemas.microsoft.com/office/drawing/2014/main" id="{23D81F24-4527-4857-B4B6-A33CFD3F20A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254000</xdr:colOff>
      <xdr:row>14</xdr:row>
      <xdr:rowOff>69849</xdr:rowOff>
    </xdr:from>
    <xdr:to>
      <xdr:col>17</xdr:col>
      <xdr:colOff>1097439</xdr:colOff>
      <xdr:row>42</xdr:row>
      <xdr:rowOff>190500</xdr:rowOff>
    </xdr:to>
    <xdr:graphicFrame macro="">
      <xdr:nvGraphicFramePr>
        <xdr:cNvPr id="2" name="Chart 3" descr="A stacked column chart titled 'Children Killed or Seriously Injured by Mode from 2015 to 2023.' The X-axis represents the years from 2015 to 2023, while the Y-axis indicates the number of children killed or seriously injured. The chart includes a horizontal line representing the 2010-14 average of 357 children killed or seriously injured. Each column is divided into segments representing different modes.">
          <a:extLst>
            <a:ext uri="{FF2B5EF4-FFF2-40B4-BE49-F238E27FC236}">
              <a16:creationId xmlns:a16="http://schemas.microsoft.com/office/drawing/2014/main" id="{F4CB98B4-1CA3-44CD-90DD-9AFB7239FEA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258975</xdr:colOff>
      <xdr:row>11</xdr:row>
      <xdr:rowOff>145743</xdr:rowOff>
    </xdr:from>
    <xdr:to>
      <xdr:col>8</xdr:col>
      <xdr:colOff>896719</xdr:colOff>
      <xdr:row>42</xdr:row>
      <xdr:rowOff>114299</xdr:rowOff>
    </xdr:to>
    <xdr:graphicFrame macro="">
      <xdr:nvGraphicFramePr>
        <xdr:cNvPr id="5" name="Chart 2" descr="A bar chart titled 'People Killed or Seriously Injured Involving Each Mode of Transport.' The X-axis represents different modes, including pedestrians, pedal cycles, motorcycles, cars, buses or coaches, other vehicles, goods vehicles, private hire vehicles, and taxis. The Y-axis indicates the number of people killed or seriously injured in 2023.">
          <a:extLst>
            <a:ext uri="{FF2B5EF4-FFF2-40B4-BE49-F238E27FC236}">
              <a16:creationId xmlns:a16="http://schemas.microsoft.com/office/drawing/2014/main" id="{E3267F1B-818E-47E6-AC2B-09902B49B0AF}"/>
            </a:ext>
            <a:ext uri="{147F2762-F138-4A5C-976F-8EAC2B608ADB}">
              <a16:predDERef xmlns:a16="http://schemas.microsoft.com/office/drawing/2014/main" pred="{1CA08F4A-350A-4DCE-BE42-80C68FE745A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191294</xdr:colOff>
      <xdr:row>38</xdr:row>
      <xdr:rowOff>101601</xdr:rowOff>
    </xdr:from>
    <xdr:to>
      <xdr:col>10</xdr:col>
      <xdr:colOff>944719</xdr:colOff>
      <xdr:row>66</xdr:row>
      <xdr:rowOff>150551</xdr:rowOff>
    </xdr:to>
    <xdr:graphicFrame macro="">
      <xdr:nvGraphicFramePr>
        <xdr:cNvPr id="10" name="Chart 1" descr="A line graph showing the number of people killed and seriously injured in inner, outer, and all of London. The X-axis represents the years from 2010-14 to 2023, while the Y-axis indicates the number of people killed or seriously injured. The graph displays three lines representing Inner London, Outer London, and All London. The full data values are available in the Casualties in Greater London, 2023 Data Annex found on tfl.gov.uk.">
          <a:extLst>
            <a:ext uri="{FF2B5EF4-FFF2-40B4-BE49-F238E27FC236}">
              <a16:creationId xmlns:a16="http://schemas.microsoft.com/office/drawing/2014/main" id="{0E8B4DB6-D656-405E-A590-B01F44F25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95250</xdr:colOff>
      <xdr:row>146</xdr:row>
      <xdr:rowOff>106362</xdr:rowOff>
    </xdr:from>
    <xdr:to>
      <xdr:col>10</xdr:col>
      <xdr:colOff>1066800</xdr:colOff>
      <xdr:row>178</xdr:row>
      <xdr:rowOff>57150</xdr:rowOff>
    </xdr:to>
    <xdr:graphicFrame macro="">
      <xdr:nvGraphicFramePr>
        <xdr:cNvPr id="2" name="Chart 1">
          <a:extLst>
            <a:ext uri="{FF2B5EF4-FFF2-40B4-BE49-F238E27FC236}">
              <a16:creationId xmlns:a16="http://schemas.microsoft.com/office/drawing/2014/main" id="{254C40A8-F446-4133-BA85-92C48FC5A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114300</xdr:colOff>
      <xdr:row>10</xdr:row>
      <xdr:rowOff>177800</xdr:rowOff>
    </xdr:from>
    <xdr:to>
      <xdr:col>9</xdr:col>
      <xdr:colOff>647700</xdr:colOff>
      <xdr:row>35</xdr:row>
      <xdr:rowOff>180975</xdr:rowOff>
    </xdr:to>
    <xdr:graphicFrame macro="">
      <xdr:nvGraphicFramePr>
        <xdr:cNvPr id="4" name="Chart 1" descr="A chart showing the rate of people killed or seriously injured (per 1,000 people) by deprivation. The y-axis shows the casualty rate, with the most deprived 30%, middle deprivation 40% and least deprived 30% represented by separate lines. The most deprived consistenty have higher rates, with some fluctuation over the years (2017 to 2023). The full data values are available in the Casualties in Greater London, 2023 Data Annex found on tfl.gov.uk.">
          <a:extLst>
            <a:ext uri="{FF2B5EF4-FFF2-40B4-BE49-F238E27FC236}">
              <a16:creationId xmlns:a16="http://schemas.microsoft.com/office/drawing/2014/main" id="{3A35EBE6-1AE3-B175-DC0F-02F72705248D}"/>
            </a:ext>
            <a:ext uri="{147F2762-F138-4A5C-976F-8EAC2B608ADB}">
              <a16:predDERef xmlns:a16="http://schemas.microsoft.com/office/drawing/2014/main" pred="{B0BD14B2-1BF6-F5F9-30FF-81F225D0F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142081</xdr:colOff>
      <xdr:row>10</xdr:row>
      <xdr:rowOff>78581</xdr:rowOff>
    </xdr:from>
    <xdr:to>
      <xdr:col>9</xdr:col>
      <xdr:colOff>619125</xdr:colOff>
      <xdr:row>35</xdr:row>
      <xdr:rowOff>152399</xdr:rowOff>
    </xdr:to>
    <xdr:graphicFrame macro="">
      <xdr:nvGraphicFramePr>
        <xdr:cNvPr id="4" name="Chart 1" descr="A chart showing the rate of people killed or seriously injured (per km of road) by deprivation&quot; from 2017 to 2023. The y-axis represent the casualty rate, with the most deprived 30%, middle deprivation 40% and least deprived 30% represented by separate lines. The chart indicates that the most deprived regions consistently have higher rates. The full data values are available in the Casualties in Greater London, 2023 Data Annex found on tfl.gov.uk.">
          <a:extLst>
            <a:ext uri="{FF2B5EF4-FFF2-40B4-BE49-F238E27FC236}">
              <a16:creationId xmlns:a16="http://schemas.microsoft.com/office/drawing/2014/main" id="{6AD8BF0C-47F2-4089-9147-F568FD648505}"/>
            </a:ext>
            <a:ext uri="{147F2762-F138-4A5C-976F-8EAC2B608ADB}">
              <a16:predDERef xmlns:a16="http://schemas.microsoft.com/office/drawing/2014/main" pred="{9D369B81-1855-6274-E79B-677B25A0F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164307</xdr:colOff>
      <xdr:row>12</xdr:row>
      <xdr:rowOff>159541</xdr:rowOff>
    </xdr:from>
    <xdr:to>
      <xdr:col>5</xdr:col>
      <xdr:colOff>295275</xdr:colOff>
      <xdr:row>35</xdr:row>
      <xdr:rowOff>133349</xdr:rowOff>
    </xdr:to>
    <xdr:graphicFrame macro="">
      <xdr:nvGraphicFramePr>
        <xdr:cNvPr id="4" name="Chart 2" descr="A chart showing the levels of self reported versus police reported casualties from 2016 to 2024.&quot; The y-axis represents the number of collisions and the x-axis represents the years. There are three lines: Police reported, self reported and total casualties. A decline in police reported casualties can be seen while self reported casualties increase gradually over the years shown. The full data values are available in the Casualties in Greater London, 2023 Data Annex found on tfl.gov.uk.">
          <a:extLst>
            <a:ext uri="{FF2B5EF4-FFF2-40B4-BE49-F238E27FC236}">
              <a16:creationId xmlns:a16="http://schemas.microsoft.com/office/drawing/2014/main" id="{DF586AA0-C06A-4137-B965-E506F584D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ouglas\Work\Issues\R&amp;A\MRKTREP\2000\working%20files\BEN1\OTHERMO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E table"/>
      <sheetName val="NSETRAF data"/>
      <sheetName val="NSEFARES"/>
      <sheetName val="NSE_table"/>
      <sheetName val="NSETRAF_data"/>
    </sheetNames>
    <sheetDataSet>
      <sheetData sheetId="0"/>
      <sheetData sheetId="1" refreshError="1"/>
      <sheetData sheetId="2" refreshError="1"/>
      <sheetData sheetId="3"/>
      <sheetData sheetId="4"/>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741302-F16E-46A9-907C-F366F17B4C2C}" name="Table1" displayName="Table1" ref="A2:E24" totalsRowShown="0" headerRowDxfId="329" dataDxfId="328" tableBorderDxfId="327">
  <autoFilter ref="A2:E24" xr:uid="{9A741302-F16E-46A9-907C-F366F17B4C2C}">
    <filterColumn colId="0" hiddenButton="1"/>
    <filterColumn colId="1" hiddenButton="1"/>
    <filterColumn colId="2" hiddenButton="1"/>
    <filterColumn colId="3" hiddenButton="1"/>
    <filterColumn colId="4" hiddenButton="1"/>
  </autoFilter>
  <tableColumns count="5">
    <tableColumn id="1" xr3:uid="{A7184FBB-709D-4975-B5C0-91EF22DCBE08}" name="Year" dataDxfId="326"/>
    <tableColumn id="2" xr3:uid="{6C5208AC-DD2F-45DE-B855-1414190CACED}" name="People killed or seriously injured" dataDxfId="325" dataCellStyle="Comma"/>
    <tableColumn id="3" xr3:uid="{A2BD175E-4DC5-4CCA-9EE5-A0B761D813D3}" name="2030 target" dataDxfId="324" dataCellStyle="Comma"/>
    <tableColumn id="4" xr3:uid="{22385F15-92F5-40F5-B71D-65A9A97FE650}" name="% change vs baseline" dataDxfId="323" dataCellStyle="Normal 2"/>
    <tableColumn id="5" xr3:uid="{4370A6C7-6CC6-48EC-B48C-FF2EE7562401}" name="Statistically significant" dataDxfId="322" dataCellStyle="Normal 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26B1C4A-4452-4FA0-AF2E-78669209D622}" name="Table10" displayName="Table10" ref="A2:U13" totalsRowShown="0" headerRowDxfId="321" dataDxfId="320">
  <autoFilter ref="A2:U13" xr:uid="{B26B1C4A-4452-4FA0-AF2E-78669209D6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57BB52B7-8AC1-4C74-B1C0-C670DC2EFA50}" name="Casualty mode" dataDxfId="319"/>
    <tableColumn id="2" xr3:uid="{792B7241-9093-4AEB-A1C2-39361B93984A}" name="2010" dataDxfId="318" dataCellStyle="Comma"/>
    <tableColumn id="3" xr3:uid="{6A95876B-61E5-4CFC-9F5B-BF04481C1852}" name="2011" dataDxfId="317" dataCellStyle="Comma"/>
    <tableColumn id="4" xr3:uid="{FBD2B503-88D5-4579-A900-5AA66789C297}" name="2012" dataDxfId="316" dataCellStyle="Comma"/>
    <tableColumn id="5" xr3:uid="{27E1A54B-CFFF-4EA5-9791-C349B1501446}" name="2013" dataDxfId="315" dataCellStyle="Comma"/>
    <tableColumn id="6" xr3:uid="{9FB469CD-85CD-4D06-8D74-D002D1524DDE}" name="2014" dataDxfId="314" dataCellStyle="Comma"/>
    <tableColumn id="21" xr3:uid="{B6E532ED-89EA-41D7-965B-90C6D6C83887}" name="2010-14 average" dataDxfId="313">
      <calculatedColumnFormula>SUM(Table10[[#This Row],[2010]:[2014]])/5</calculatedColumnFormula>
    </tableColumn>
    <tableColumn id="7" xr3:uid="{B904A68C-5490-49BC-88A7-4C2E30A280E1}" name="2015" dataDxfId="312" dataCellStyle="Comma"/>
    <tableColumn id="8" xr3:uid="{E1A21C7F-4D14-4FDF-B0AF-2FB766104F10}" name="2016" dataDxfId="311" dataCellStyle="Comma"/>
    <tableColumn id="9" xr3:uid="{D37C22DE-2215-4548-9CFE-1A2CBD5BEA67}" name="2017" dataDxfId="310" dataCellStyle="Comma"/>
    <tableColumn id="10" xr3:uid="{1BF11D07-0C00-4BBA-B8FB-C57357664E6A}" name="2018" dataDxfId="309" dataCellStyle="Comma"/>
    <tableColumn id="11" xr3:uid="{68F3185B-70EA-4C90-908C-DCF504D273D4}" name="2019" dataDxfId="308" dataCellStyle="Comma"/>
    <tableColumn id="12" xr3:uid="{4820206B-7B46-4EE4-BD70-01690F124B8F}" name="2020" dataDxfId="307" dataCellStyle="Comma"/>
    <tableColumn id="13" xr3:uid="{6AA40FFD-B0B7-4671-8BFF-FBE74E195CAA}" name="2021" dataDxfId="306" dataCellStyle="Comma"/>
    <tableColumn id="14" xr3:uid="{C69DA4F5-D0CE-4DC7-A2A7-0D385826E096}" name="2022" dataDxfId="305" dataCellStyle="Comma"/>
    <tableColumn id="15" xr3:uid="{3378540E-978F-4D83-8417-D739D803E870}" name="2023" dataDxfId="304" dataCellStyle="Comma"/>
    <tableColumn id="16" xr3:uid="{E8B70581-4B33-4251-A85A-466440F3BF7C}" name="2024" dataDxfId="303" dataCellStyle="Comma"/>
    <tableColumn id="17" xr3:uid="{96CBEE6C-32FB-437F-91FC-8A04A55C7A9B}" name="% change 2024 vs. 2023" dataDxfId="302"/>
    <tableColumn id="18" xr3:uid="{711FC34F-F6BF-45F3-9820-EC5AAAA123BD}" name="2024 vs. 2023 statistically significant" dataDxfId="301"/>
    <tableColumn id="19" xr3:uid="{260D83C8-2BEE-484A-A15F-D8E8DA858556}" name="% change 2024 vs. baseline" dataDxfId="300"/>
    <tableColumn id="20" xr3:uid="{A88088CF-C3B0-425F-90AE-10D90CED6C59}" name="2024 vs. baseline statistically significant" dataDxfId="299"/>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7C5AA2-7D77-4E29-B7CC-D1EBF4C127F7}" name="Table3" displayName="Table3" ref="A2:D24" totalsRowShown="0" headerRowDxfId="298" dataDxfId="297" tableBorderDxfId="296">
  <autoFilter ref="A2:D24" xr:uid="{2C7C5AA2-7D77-4E29-B7CC-D1EBF4C127F7}">
    <filterColumn colId="0" hiddenButton="1"/>
    <filterColumn colId="1" hiddenButton="1"/>
    <filterColumn colId="2" hiddenButton="1"/>
    <filterColumn colId="3" hiddenButton="1"/>
  </autoFilter>
  <tableColumns count="4">
    <tableColumn id="1" xr3:uid="{18E2870C-123F-40B8-8289-CB3035E926BB}" name="Year" dataDxfId="295"/>
    <tableColumn id="2" xr3:uid="{82BFB6E3-7819-4970-BFE1-ACC28FC7BD31}" name="People killed in or by a bus*" dataDxfId="294"/>
    <tableColumn id="3" xr3:uid="{73B0E0DB-2F5D-41E0-A6F8-3CF1C8D109EC}" name="2030 target" dataDxfId="293"/>
    <tableColumn id="4" xr3:uid="{213F9B0D-6131-47B7-A80A-F39CE230D791}" name="% change vs baseline" dataDxfId="292"/>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174795-2418-454C-ADBC-959C899550B0}" name="Table4" displayName="Table4" ref="A2:L13" totalsRowShown="0" headerRowDxfId="291" dataDxfId="289" headerRowBorderDxfId="290" tableBorderDxfId="288" totalsRowBorderDxfId="287">
  <autoFilter ref="A2:L13" xr:uid="{9A174795-2418-454C-ADBC-959C899550B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5DCB04ED-DE8A-40D1-9F41-36C14BC5C566}" name="Casualty mode" dataDxfId="286"/>
    <tableColumn id="2" xr3:uid="{6C2FD65A-BE94-47AF-B6D3-16C25B6073E0}" name="2017" dataDxfId="285"/>
    <tableColumn id="3" xr3:uid="{31AFEBD7-F6C6-4D46-B838-4E82B0575CF8}" name="2018" dataDxfId="284"/>
    <tableColumn id="4" xr3:uid="{B804BA27-7FAC-460B-9944-E6AE5BD6E8C5}" name="2019" dataDxfId="283"/>
    <tableColumn id="5" xr3:uid="{EBAA911F-843F-4C8A-9AC6-5D4266CEF0D8}" name="2020" dataDxfId="282"/>
    <tableColumn id="6" xr3:uid="{039BAC5F-DF77-4D05-8993-3D72F03095DC}" name="2021" dataDxfId="281"/>
    <tableColumn id="7" xr3:uid="{DF72FD8E-75EF-4301-BF06-3DEE2A0ACBB1}" name="2022" dataDxfId="280"/>
    <tableColumn id="8" xr3:uid="{FFCA2AFE-A20C-45B8-ACF4-CA2A03DF559A}" name="2023" dataDxfId="279"/>
    <tableColumn id="9" xr3:uid="{EF14471D-F27C-4D76-87BF-F004D92404EC}" name="2024" dataDxfId="278"/>
    <tableColumn id="10" xr3:uid="{D8D6EC22-BD6F-4A27-8B32-015A5A9B5C9A}" name="% change over 2023" dataDxfId="277"/>
    <tableColumn id="11" xr3:uid="{D2187235-4186-4CCF-B51C-8CB341B876A4}" name="Statistically significant" dataDxfId="276"/>
    <tableColumn id="12" xr3:uid="{A7AE4A91-4085-4689-BB21-043BC934D983}" name="% change over 2010-14 baseline" dataDxfId="275"/>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D2F5762-99B0-4A36-AD26-73E1912A0317}" name="Table12" displayName="Table12" ref="A2:U13" totalsRowShown="0" headerRowDxfId="274" dataDxfId="273" headerRowCellStyle="Normal 2" dataCellStyle="Normal 2">
  <autoFilter ref="A2:U13" xr:uid="{CD2F5762-99B0-4A36-AD26-73E1912A031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2F72F1CD-DB25-4F78-9771-9DEF3E30B32A}" name="Casualty mode" dataDxfId="272"/>
    <tableColumn id="2" xr3:uid="{93661517-6587-48D5-B797-2DF93B15AAEA}" name="2010" dataDxfId="271" dataCellStyle="Normal 2"/>
    <tableColumn id="3" xr3:uid="{1585E172-A15E-4DE2-A2A6-784A683E643E}" name="2011" dataDxfId="270" dataCellStyle="Normal 2"/>
    <tableColumn id="4" xr3:uid="{24E685B4-817E-4433-AF7C-3DB3C41AEA57}" name="2012" dataDxfId="269" dataCellStyle="Normal 2"/>
    <tableColumn id="5" xr3:uid="{279FF697-170E-407B-9FA7-4D79E5B32E54}" name="2013" dataDxfId="268"/>
    <tableColumn id="6" xr3:uid="{51FF4AAC-0CC2-40A8-B67C-DF88317110C9}" name="2014" dataDxfId="267" dataCellStyle="Normal 2"/>
    <tableColumn id="21" xr3:uid="{35632288-A9CE-4E1D-BE9F-F72371141E0B}" name="2010-14 average" dataDxfId="266">
      <calculatedColumnFormula>SUM(Table12[[#This Row],[2010]:[2014]])/5</calculatedColumnFormula>
    </tableColumn>
    <tableColumn id="7" xr3:uid="{F7D9B0CC-66ED-4621-B0D1-0766DEB0F514}" name="2015" dataDxfId="265" dataCellStyle="Normal 2"/>
    <tableColumn id="8" xr3:uid="{3146AFD0-BBBC-4A9D-9B8A-F99D646F1AFB}" name="2016" dataDxfId="264" dataCellStyle="Normal 2"/>
    <tableColumn id="9" xr3:uid="{73E49AB2-484C-4363-90A0-B033CB5D5099}" name="2017" dataDxfId="263" dataCellStyle="Normal 2"/>
    <tableColumn id="10" xr3:uid="{9A913294-0D2D-40D5-A475-059EDD518275}" name="2018" dataDxfId="262" dataCellStyle="Normal 2"/>
    <tableColumn id="11" xr3:uid="{B01968CD-1FB2-47DC-938A-47C2AB4F666D}" name="2019" dataDxfId="261" dataCellStyle="Normal 2"/>
    <tableColumn id="12" xr3:uid="{789EDF51-0C31-40C0-8D19-1E41875FEECB}" name="2020" dataDxfId="260" dataCellStyle="Normal 2"/>
    <tableColumn id="13" xr3:uid="{82873339-106D-4FCF-A68B-4AE8BCF73336}" name="2021" dataDxfId="259" dataCellStyle="Normal 2"/>
    <tableColumn id="14" xr3:uid="{D7E22912-A542-4B80-BC8F-B0E9005F266B}" name="2022" dataDxfId="258" dataCellStyle="Normal 2"/>
    <tableColumn id="15" xr3:uid="{8270617C-4467-4AFB-BA9A-59FAF11FE76A}" name="2023" dataDxfId="257" dataCellStyle="Normal 2"/>
    <tableColumn id="16" xr3:uid="{57F13D80-B09B-42EA-9533-B9A2EA94BFD7}" name="2024" dataDxfId="256" dataCellStyle="Normal 2"/>
    <tableColumn id="17" xr3:uid="{D3596CCB-9DAE-48B4-96F7-8AE47F3DB8D7}" name="% change 2024 vs. 2023" dataDxfId="255" dataCellStyle="Normal 2"/>
    <tableColumn id="18" xr3:uid="{19C22F6F-4027-4B15-B52B-8EA397F85A3D}" name="2024 vs. 2023 statistically significant" dataDxfId="254" dataCellStyle="Normal 2"/>
    <tableColumn id="19" xr3:uid="{28FB4EC4-B8A5-4D82-997F-DD34392ABA26}" name="% change 2024 vs. baseline" dataDxfId="253" dataCellStyle="Normal 2"/>
    <tableColumn id="20" xr3:uid="{B3380EAE-9CDB-443E-B746-C838D3A13E1A}" name="2024 vs. baseline statistically significant" dataDxfId="252" dataCellStyle="Normal 2"/>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E44E494-7EC5-4A54-9CE3-D68757926670}" name="Table14" displayName="Table14" ref="A2:U13" totalsRowShown="0" headerRowDxfId="251" dataDxfId="250" headerRowCellStyle="Normal 2" dataCellStyle="Normal 2">
  <autoFilter ref="A2:U13" xr:uid="{9E44E494-7EC5-4A54-9CE3-D687579266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BC373E3D-7D34-403C-9369-2469C8E75DF5}" name="Casualty mode" dataDxfId="249"/>
    <tableColumn id="2" xr3:uid="{5CBB93F9-3B78-41D5-BBCE-327B843DA984}" name="2010" dataDxfId="248" dataCellStyle="Comma"/>
    <tableColumn id="3" xr3:uid="{FAC28DAC-2DA8-4B15-95CF-85180B0C9D1B}" name="2011" dataDxfId="247" dataCellStyle="Comma"/>
    <tableColumn id="4" xr3:uid="{8A9ECD22-9AA9-4B96-8870-D530B98808CF}" name="2012" dataDxfId="246" dataCellStyle="Comma"/>
    <tableColumn id="5" xr3:uid="{62E8A104-1367-4455-9AB6-8D6CF13C93A8}" name="2013" dataDxfId="245" dataCellStyle="Comma"/>
    <tableColumn id="6" xr3:uid="{7515140D-301C-44E8-AF73-4F51AC82E5AD}" name="2014" dataDxfId="244" dataCellStyle="Comma"/>
    <tableColumn id="21" xr3:uid="{8479997A-8C64-4303-9DB3-5C9E83F82D70}" name="2010-14 average" dataDxfId="243">
      <calculatedColumnFormula>SUM(Table14[[#This Row],[2010]:[2014]])/5</calculatedColumnFormula>
    </tableColumn>
    <tableColumn id="7" xr3:uid="{8A6F0403-5B76-47F2-82E5-31D10717F99B}" name="2015" dataDxfId="242" dataCellStyle="Comma"/>
    <tableColumn id="8" xr3:uid="{B63688BE-184D-4358-8382-DCD9B104E8E9}" name="2016" dataDxfId="241" dataCellStyle="Comma"/>
    <tableColumn id="9" xr3:uid="{3516FF81-F951-46CF-8549-C848CD3487C6}" name="2017" dataDxfId="240" dataCellStyle="Comma"/>
    <tableColumn id="10" xr3:uid="{2DF93285-F977-476A-9494-C3987BAD93C7}" name="2018" dataDxfId="239" dataCellStyle="Comma"/>
    <tableColumn id="11" xr3:uid="{3707E771-1E0F-42C9-A06F-DD3BA14A4153}" name="2019" dataDxfId="238" dataCellStyle="Comma"/>
    <tableColumn id="12" xr3:uid="{537B74E1-312D-484E-BE07-FA3C7A023809}" name="2020" dataDxfId="237" dataCellStyle="Comma"/>
    <tableColumn id="13" xr3:uid="{AD5CD002-D248-423B-A972-314B88574FA5}" name="2021" dataDxfId="236" dataCellStyle="Comma"/>
    <tableColumn id="14" xr3:uid="{A996506E-B6C4-44E8-A42C-C2C7A3ED88DC}" name="2022" dataDxfId="235" dataCellStyle="Comma"/>
    <tableColumn id="15" xr3:uid="{77BBFAE4-E32F-433A-96EB-AE7BBE532699}" name="2023" dataDxfId="234" dataCellStyle="Comma"/>
    <tableColumn id="16" xr3:uid="{CAF61A85-B1A2-4A83-B2BD-80696A5598E2}" name="2024" dataDxfId="233" dataCellStyle="Comma"/>
    <tableColumn id="17" xr3:uid="{9C366A61-F425-4CD8-9034-7BA30EA2885F}" name="% change 2024 vs. 2023" dataDxfId="232"/>
    <tableColumn id="18" xr3:uid="{6D139D61-4F52-4B20-B494-018222076649}" name="2024 vs. 2023 statistically significant" dataDxfId="231" dataCellStyle="Normal 2"/>
    <tableColumn id="19" xr3:uid="{D913B4F9-3522-459D-9505-3240379AE8BA}" name="% change 2024 vs. baseline" dataDxfId="230"/>
    <tableColumn id="20" xr3:uid="{CAAA0093-0EE7-4D95-8E7A-23B1BDEDF919}" name="2024 vs. baseline statistically significant" dataDxfId="229" dataCellStyle="Normal 2"/>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776DC0D-F805-44E0-8969-6E69AA655045}" name="Table17" displayName="Table17" ref="A2:U13" totalsRowShown="0" headerRowDxfId="228" dataDxfId="227" headerRowCellStyle="Normal 2" dataCellStyle="Normal 2">
  <autoFilter ref="A2:U13" xr:uid="{C776DC0D-F805-44E0-8969-6E69AA65504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1E19D2A-676F-4299-A4FE-ECF44BB39C1B}" name="Year" dataDxfId="226"/>
    <tableColumn id="2" xr3:uid="{81D3C4FF-A0D4-4D78-BC65-96640D6A8AFE}" name="2010" dataDxfId="225" dataCellStyle="Comma"/>
    <tableColumn id="3" xr3:uid="{38859BEE-BCB4-4198-ADE1-8B755B2D779D}" name="2011" dataDxfId="224" dataCellStyle="Comma"/>
    <tableColumn id="4" xr3:uid="{95AC6826-A6DF-455E-A4CA-2FF043841257}" name="2012" dataDxfId="223" dataCellStyle="Comma"/>
    <tableColumn id="5" xr3:uid="{5285ED18-89BB-4C9A-A226-68A6BE5BF14C}" name="2013" dataDxfId="222" dataCellStyle="Comma"/>
    <tableColumn id="6" xr3:uid="{DC33BDAC-5106-4233-BF75-EA2E85A86462}" name="2014" dataDxfId="221" dataCellStyle="Comma"/>
    <tableColumn id="21" xr3:uid="{9A7785A0-AD67-4E32-AF89-EF45C6CF06AC}" name="2010-14 average" dataDxfId="220">
      <calculatedColumnFormula>SUM(Table17[[#This Row],[2010]:[2014]])/5</calculatedColumnFormula>
    </tableColumn>
    <tableColumn id="7" xr3:uid="{AC9D7B68-A186-4EF7-BEF7-18C28B5E11CE}" name="2015" dataDxfId="219" dataCellStyle="Comma"/>
    <tableColumn id="8" xr3:uid="{E22885E7-1900-4B98-85A1-B0821D76616C}" name="2016" dataDxfId="218" dataCellStyle="Comma"/>
    <tableColumn id="9" xr3:uid="{A1726ADA-797B-426A-9313-245E9AA0E7EF}" name="2017" dataDxfId="217" dataCellStyle="Comma"/>
    <tableColumn id="10" xr3:uid="{6B129DAF-A43F-4BC2-B412-412A07448D30}" name="2018" dataDxfId="216" dataCellStyle="Comma"/>
    <tableColumn id="11" xr3:uid="{4CC3198E-759F-489B-8563-8DA6A538B7E6}" name="2019" dataDxfId="215" dataCellStyle="Comma"/>
    <tableColumn id="12" xr3:uid="{E744DA27-FAF4-4D67-9BF8-C90DEFA378E8}" name="2020" dataDxfId="214" dataCellStyle="Comma"/>
    <tableColumn id="13" xr3:uid="{1425DC86-4C2E-43D2-BA72-5C50FA4D2160}" name="2021" dataDxfId="213" dataCellStyle="Comma"/>
    <tableColumn id="14" xr3:uid="{99096F13-4AFD-4E17-9399-A383B0763071}" name="2022" dataDxfId="212" dataCellStyle="Comma"/>
    <tableColumn id="15" xr3:uid="{2CA949C7-0199-49C7-8941-3BED86D48FA6}" name="2023" dataDxfId="211" dataCellStyle="Comma"/>
    <tableColumn id="16" xr3:uid="{6CB25EFB-F7ED-4354-BD47-2E26FF017112}" name="2024" dataDxfId="210" dataCellStyle="Comma"/>
    <tableColumn id="17" xr3:uid="{4B3BF030-1A43-4910-9FA3-541812B0BB08}" name="% change 2024 vs. 2023" dataDxfId="209"/>
    <tableColumn id="18" xr3:uid="{3739A68A-CA3F-4EC1-BADD-797F481FF6EF}" name="2024 vs. 2023 statistically significant" dataDxfId="208" dataCellStyle="Normal 2"/>
    <tableColumn id="19" xr3:uid="{319850B7-E8A9-4EFA-8EE6-F60348FC985C}" name="% change 2024 vs. baseline" dataDxfId="207"/>
    <tableColumn id="20" xr3:uid="{4914EAF9-30D0-4593-BF7A-99E272D97CC8}" name="2024 vs. baseline statistically significant" dataDxfId="206" dataCellStyle="Normal 2"/>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C65E4C-1148-422B-884A-FDAF4B03B7C7}" name="Table8" displayName="Table8" ref="A2:T11" totalsRowShown="0" headerRowDxfId="205" dataDxfId="203" headerRowBorderDxfId="204" tableBorderDxfId="202" totalsRowBorderDxfId="201">
  <autoFilter ref="A2:T11" xr:uid="{CAC65E4C-1148-422B-884A-FDAF4B03B7C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87DA2B52-DD68-4356-836D-0AC0DD12228E}" name="Casualty mode" dataDxfId="200"/>
    <tableColumn id="2" xr3:uid="{E6708824-AE17-47C5-A5E1-5A5F98FE9F48}" name="2023 fatalities" dataDxfId="199" dataCellStyle="Comma"/>
    <tableColumn id="3" xr3:uid="{58E94E26-4CCB-46DD-902D-52A7446FE402}" name="2024 fatalities" dataDxfId="198" dataCellStyle="Comma"/>
    <tableColumn id="4" xr3:uid="{93B5F936-F8A9-4E0E-AD5C-4F17E77238BA}" name="% change in fatalities" dataDxfId="197" dataCellStyle="Comma"/>
    <tableColumn id="5" xr3:uid="{A6BBF334-A5AE-4019-B6C7-8E272CDECD4F}" name="Fatalities - statistically significant" dataDxfId="196" dataCellStyle="Comma"/>
    <tableColumn id="6" xr3:uid="{B7C4357A-0F88-46BD-97E6-8749FE3EA989}" name="2023 serious injuries" dataDxfId="195" dataCellStyle="Comma"/>
    <tableColumn id="7" xr3:uid="{6D6E87A1-32C9-4903-9410-73E59ABB5820}" name="2024 serious injuries" dataDxfId="194" dataCellStyle="Comma"/>
    <tableColumn id="8" xr3:uid="{AEB033CE-CE28-4F5E-B6B7-3BE445825368}" name="% change in serious injuries" dataDxfId="193"/>
    <tableColumn id="9" xr3:uid="{75525DAB-35BD-40FE-9EAE-D594578DE30F}" name="Serious injuries - statistically significant" dataDxfId="192" dataCellStyle="Comma"/>
    <tableColumn id="10" xr3:uid="{5CE3B5BB-3A23-4E62-8D9C-44C2A6E29D8A}" name="2023 slight injuries" dataDxfId="191" dataCellStyle="Comma"/>
    <tableColumn id="11" xr3:uid="{A43694E4-AF95-4236-AC19-6F632352CB8A}" name="2024 slight injuries" dataDxfId="190" dataCellStyle="Comma"/>
    <tableColumn id="12" xr3:uid="{871FA530-25BD-4A38-87F0-1D34BD0ECA8A}" name="% change slight injuries" dataDxfId="189"/>
    <tableColumn id="13" xr3:uid="{3897DE58-0727-42D0-8D11-B55A72AF5EB7}" name="Slight injuries - statistically significant" dataDxfId="188" dataCellStyle="Comma"/>
    <tableColumn id="14" xr3:uid="{B1B349A5-15B8-428D-A517-558DDBD55233}" name="2023 total casualties" dataDxfId="187" dataCellStyle="Comma"/>
    <tableColumn id="15" xr3:uid="{6EA1F4F4-F0A0-49AE-9BB5-274038AF73EC}" name="2024 total casualties" dataDxfId="186" dataCellStyle="Comma"/>
    <tableColumn id="16" xr3:uid="{0A442F12-0B7C-492D-905A-55AAE46C75D1}" name="% change total casualties" dataDxfId="185"/>
    <tableColumn id="17" xr3:uid="{C838F741-D8E3-43DA-BAFD-7B9346C047B5}" name="Total casualties - statistically significant" dataDxfId="184" dataCellStyle="Comma"/>
    <tableColumn id="18" xr3:uid="{D400C4FD-A33D-4C81-8D08-438AB5B02C26}" name="2010-14 average total casualties" dataDxfId="183" dataCellStyle="Comma"/>
    <tableColumn id="19" xr3:uid="{5B8EBCC0-A3C6-48E9-88E1-7F4826C7E26F}" name="2024 vs. baseline (% change)" dataDxfId="182"/>
    <tableColumn id="20" xr3:uid="{4EAC0C07-4739-4775-913D-9F163834C9D0}" name="Statistically significant" dataDxfId="181"/>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A6930BF-6041-418E-8DFD-9A2ACDA242C9}" name="Table18" displayName="Table18" ref="A2:U13" totalsRowShown="0" headerRowDxfId="180" dataDxfId="179" headerRowCellStyle="Normal 2">
  <autoFilter ref="A2:U13" xr:uid="{6A6930BF-6041-418E-8DFD-9A2ACDA242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3E4C8FE8-9C75-4F73-B9C7-F969019FF2F0}" name="Casualty mode" dataDxfId="178"/>
    <tableColumn id="2" xr3:uid="{01C8C9CF-6B7C-42FD-B273-7BC5F6FB5197}" name="2010" dataDxfId="177" dataCellStyle="Comma"/>
    <tableColumn id="3" xr3:uid="{9A930166-15CA-416B-B382-0EF5BDC12229}" name="2011" dataDxfId="176" dataCellStyle="Comma"/>
    <tableColumn id="4" xr3:uid="{A52153D2-D6A8-41A4-BD41-E228D6AE79A6}" name="2012" dataDxfId="175" dataCellStyle="Comma"/>
    <tableColumn id="5" xr3:uid="{D6E27867-84DE-43E9-ACA1-EC35321A83DD}" name="2013" dataDxfId="174" dataCellStyle="Comma"/>
    <tableColumn id="6" xr3:uid="{47A11579-3030-4883-9B49-113D1B6253D9}" name="2014" dataDxfId="173" dataCellStyle="Comma"/>
    <tableColumn id="21" xr3:uid="{DD6AF93F-EC9A-42CC-9BDE-1C5DA0BB56B3}" name="2010-14 average" dataDxfId="172">
      <calculatedColumnFormula>SUM(Table18[[#This Row],[2010]:[2014]])/5</calculatedColumnFormula>
    </tableColumn>
    <tableColumn id="7" xr3:uid="{7C613589-6989-4ECC-A002-29EABEB57E73}" name="2015" dataDxfId="171" dataCellStyle="Comma"/>
    <tableColumn id="8" xr3:uid="{4B4C793C-C6A2-4DED-8CBE-1CE601125794}" name="2016" dataDxfId="170" dataCellStyle="Comma"/>
    <tableColumn id="9" xr3:uid="{92074C57-8D4C-42DD-AD87-764408CCF836}" name="2017" dataDxfId="169" dataCellStyle="Comma"/>
    <tableColumn id="10" xr3:uid="{A99F83D0-9879-4762-8485-F0C13B5D2DA0}" name="2018" dataDxfId="168" dataCellStyle="Comma"/>
    <tableColumn id="11" xr3:uid="{E651D2D4-B893-4715-9443-668D5B98F36B}" name="2019" dataDxfId="167" dataCellStyle="Comma"/>
    <tableColumn id="12" xr3:uid="{924604DE-D6B3-4D2E-BFAC-BBE76C784A3B}" name="2020" dataDxfId="166" dataCellStyle="Comma"/>
    <tableColumn id="13" xr3:uid="{630FB355-C527-4555-8775-DCDDDE4EB381}" name="2021" dataDxfId="165" dataCellStyle="Comma"/>
    <tableColumn id="14" xr3:uid="{918A17FF-C7BC-42F0-A69E-44E2C8C34E26}" name="2022" dataDxfId="164" dataCellStyle="Comma"/>
    <tableColumn id="15" xr3:uid="{914181D6-585D-44AC-9A62-7E48B2889929}" name="2023" dataDxfId="163" dataCellStyle="Comma"/>
    <tableColumn id="16" xr3:uid="{0D9DC646-D5CF-4B48-8D53-518E5070E146}" name="2024" dataDxfId="162" dataCellStyle="Comma"/>
    <tableColumn id="17" xr3:uid="{592570F2-0C83-43F0-86FB-04C633DDF81F}" name="% change 2024 vs. 2023" dataDxfId="161"/>
    <tableColumn id="18" xr3:uid="{AC412912-153E-45F9-81CE-9196E5FFED58}" name="2024 vs. 2023 statistically significant" dataDxfId="160"/>
    <tableColumn id="19" xr3:uid="{8424FA74-12E2-4CF0-98A3-4188DC449F4B}" name="% change 2024 vs. baseline" dataDxfId="159"/>
    <tableColumn id="20" xr3:uid="{0F755FB9-66C3-4458-9CC0-62CC4AD27214}" name="2024 vs. baseline statistically significant" dataDxfId="158"/>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A05C060-3C6F-45BB-87EC-2ACB8521C3C5}" name="Table19" displayName="Table19" ref="A2:U13" totalsRowShown="0" headerRowDxfId="157" dataDxfId="156" headerRowCellStyle="Normal 2">
  <autoFilter ref="A2:U13" xr:uid="{9A05C060-3C6F-45BB-87EC-2ACB8521C3C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E76DA50E-8E59-4A8E-A9E4-E8AC550EDC99}" name="Casualty mode" dataDxfId="155"/>
    <tableColumn id="2" xr3:uid="{05E4B01D-4CC1-4A58-833A-9D216240A10F}" name="2010" dataDxfId="154"/>
    <tableColumn id="3" xr3:uid="{22B31BC1-F42D-4E2F-B9A1-0D3FCF2E22BB}" name="2011" dataDxfId="153"/>
    <tableColumn id="4" xr3:uid="{7FEC7B01-F1CC-4F74-ACE4-534ADC754D6E}" name="2012" dataDxfId="152"/>
    <tableColumn id="5" xr3:uid="{93A674EF-BF1D-40D1-8EC5-BF73363683CB}" name="2013" dataDxfId="151"/>
    <tableColumn id="6" xr3:uid="{B604B624-69A0-4CF7-A206-80A63C8836A8}" name="2014" dataDxfId="150"/>
    <tableColumn id="21" xr3:uid="{93DBAB40-1DC6-4C18-9A56-4B98DB82CD9F}" name="2010-14 average" dataDxfId="149">
      <calculatedColumnFormula>SUM(Table19[[#This Row],[2010]:[2014]])/5</calculatedColumnFormula>
    </tableColumn>
    <tableColumn id="7" xr3:uid="{D2292569-23D8-44FC-A513-03E2693B2B8F}" name="2015" dataDxfId="148"/>
    <tableColumn id="8" xr3:uid="{5423663A-B2B2-42F6-92D6-B6B20650A462}" name="2016" dataDxfId="147"/>
    <tableColumn id="9" xr3:uid="{9FCE339A-0FBA-4465-8E24-E05EA3FB54C7}" name="2017" dataDxfId="146"/>
    <tableColumn id="10" xr3:uid="{26D1C541-6035-42DF-96B1-AC340FFEC02C}" name="2018" dataDxfId="145"/>
    <tableColumn id="11" xr3:uid="{B0D91A14-105F-4D23-A82F-FC916F2CA5FB}" name="2019" dataDxfId="144"/>
    <tableColumn id="12" xr3:uid="{926A56EE-4503-4BF6-8FA6-F34CAF85E826}" name="2020" dataDxfId="143"/>
    <tableColumn id="13" xr3:uid="{6AE22291-412A-466F-8EC2-FB9418904594}" name="2021" dataDxfId="142"/>
    <tableColumn id="14" xr3:uid="{17783241-F96B-41CB-9B21-9D3632783846}" name="2022" dataDxfId="141"/>
    <tableColumn id="15" xr3:uid="{CA7845DF-9BEA-44F4-AC21-D26F64DFF8ED}" name="2023" dataDxfId="140"/>
    <tableColumn id="16" xr3:uid="{58C93C8E-DFD0-4280-9A3D-2413B41AD5DD}" name="2024" dataDxfId="139"/>
    <tableColumn id="17" xr3:uid="{41145D5C-0859-4E87-A07A-ECFF6CFAF396}" name="% change 2024 vs. 2023" dataDxfId="138"/>
    <tableColumn id="18" xr3:uid="{D586EE3B-C9B8-43F4-B827-FBEDFFB13D23}" name="2024 vs. 2023 statistically significant" dataDxfId="137"/>
    <tableColumn id="19" xr3:uid="{6A6AA563-137E-46E5-AA54-D5A80FC098AD}" name="% change 2024 vs. baseline" dataDxfId="136"/>
    <tableColumn id="20" xr3:uid="{DE4E5A8D-8C82-46BD-BDBA-4927CA0A9510}" name="2024 vs. baseline statistically significant" dataDxfId="135"/>
  </tableColumns>
  <tableStyleInfo name="TableStyleMedium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C1A5E0-8E60-456C-B7FA-99892C0E3BF1}" name="Table20" displayName="Table20" ref="A2:J11" totalsRowShown="0" headerRowDxfId="134" dataDxfId="132" headerRowBorderDxfId="133" tableBorderDxfId="131" totalsRowBorderDxfId="130" dataCellStyle="Comma">
  <autoFilter ref="A2:J11" xr:uid="{5BC1A5E0-8E60-456C-B7FA-99892C0E3BF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B7D7C7-3672-49F2-9844-412AF8397330}" name="Mode" dataDxfId="129"/>
    <tableColumn id="2" xr3:uid="{D847065A-FBD2-43EB-A79A-800C5185E421}" name="Vehicle users killed or seriously injured in 2023" dataDxfId="128" dataCellStyle="Comma"/>
    <tableColumn id="3" xr3:uid="{7B245620-33BD-469B-8ED7-0A11F562351D}" name="Vehicle users killed or seriously injured in 2024" dataDxfId="127" dataCellStyle="Comma"/>
    <tableColumn id="4" xr3:uid="{245F92D4-794F-414D-800B-2FB177A1AEB8}" name="Vehicle users % change" dataDxfId="126"/>
    <tableColumn id="5" xr3:uid="{8D14427F-18A3-47DC-8672-3F1A7B1CD494}" name="Vehicle users statistically significant" dataDxfId="125" dataCellStyle="Comma"/>
    <tableColumn id="6" xr3:uid="{F17F4F6E-875C-40AB-BE79-97C9AC2665EE}" name="Other road users killed or seriously injured in 2023" dataDxfId="124" dataCellStyle="Comma"/>
    <tableColumn id="7" xr3:uid="{96F90DD8-976A-4988-9FD2-4431D202400E}" name="Other road users killed or seriously injured in 2024" dataDxfId="123" dataCellStyle="Comma"/>
    <tableColumn id="8" xr3:uid="{5A8FC431-F43E-4626-AC9C-18B213121DB1}" name="Other road users % change" dataDxfId="122"/>
    <tableColumn id="9" xr3:uid="{7513120E-78AD-4D1E-A248-C3BB948F72B6}" name="Other road users statistically significant" dataDxfId="121" dataCellStyle="Comma"/>
    <tableColumn id="10" xr3:uid="{61C6EEFB-C2C9-45EB-B5E2-011E8FC49A01}" name="Total" dataDxfId="120" dataCellStyle="Comma"/>
  </tableColumns>
  <tableStyleInfo name="TableStyleMedium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070F809-24E0-43C9-9547-4914D6FC1404}" name="Table21" displayName="Table21" ref="A4:N1657" totalsRowShown="0" headerRowDxfId="119" dataDxfId="118" tableBorderDxfId="117" dataCellStyle="Normal 10">
  <autoFilter ref="A4:N1657" xr:uid="{9070F809-24E0-43C9-9547-4914D6FC1404}"/>
  <tableColumns count="14">
    <tableColumn id="1" xr3:uid="{39BB7BD0-A013-4A99-8133-123AB5A9B3D4}" name="Area_x000a_ (Inner, Outer)" dataDxfId="116" dataCellStyle="Normal 10"/>
    <tableColumn id="2" xr3:uid="{DD82B70A-9200-438C-8B5B-39942CB5FC72}" name="Borough name" dataDxfId="115" dataCellStyle="Normal 10"/>
    <tableColumn id="3" xr3:uid="{CB796B3C-1220-4728-93E1-760E1F773E3C}" name="Casualty mode of travel" dataDxfId="114" dataCellStyle="Normal 10"/>
    <tableColumn id="4" xr3:uid="{D1769F60-4F13-4F37-9619-B9CFE368416B}" name="Casualty severity" dataDxfId="113" dataCellStyle="Normal 10"/>
    <tableColumn id="5" xr3:uid="{F447E780-617B-4108-A485-1BBF0E6FB16F}" name="2010-14 average* casualty count" dataDxfId="112" dataCellStyle="Normal 10"/>
    <tableColumn id="6" xr3:uid="{23C64556-F8DC-4397-8EE6-EAA7542C5FCA}" name="2017 casualty count" dataDxfId="111" dataCellStyle="Normal 10"/>
    <tableColumn id="7" xr3:uid="{A68BCE99-58C5-487A-88A2-60E91B863492}" name="2018 casualty count" dataDxfId="110" dataCellStyle="Normal 10"/>
    <tableColumn id="8" xr3:uid="{7B2901C9-3694-49A6-B0F7-4D69BCDE675C}" name="2019 casualty count" dataDxfId="109" dataCellStyle="Normal 10"/>
    <tableColumn id="9" xr3:uid="{74B95509-F2AF-4B49-8CEF-6571E84E3B63}" name="2020 casualty count" dataDxfId="108" dataCellStyle="Normal 10"/>
    <tableColumn id="10" xr3:uid="{12F4E72A-3A1E-4465-A7B0-5BE933A53FF2}" name="2021 casualty count" dataDxfId="107" dataCellStyle="Normal 10"/>
    <tableColumn id="11" xr3:uid="{B59E49C9-E2E1-4C9C-82D4-D8F0EC297423}" name="2022 casualty count" dataDxfId="106" dataCellStyle="Normal 10"/>
    <tableColumn id="12" xr3:uid="{9C215DAA-76F2-4900-BD96-5B8D4576D865}" name="2023 casualty count" dataDxfId="105" dataCellStyle="Normal 10"/>
    <tableColumn id="13" xr3:uid="{73B25032-6F0F-46B3-A0DF-1B471D903431}" name="2024 casualty count" dataDxfId="104" dataCellStyle="Normal 10"/>
    <tableColumn id="14" xr3:uid="{ACAB5C2F-4518-4137-A055-E0A25A017E79}" name="2024 vs baseline (% change)" dataDxfId="103"/>
  </tableColumns>
  <tableStyleInfo name="TableStyleMedium1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D5D738B-F39E-4226-8D0A-EEB608DD82D1}" name="Table22" displayName="Table22" ref="A2:L38" totalsRowShown="0" headerRowDxfId="102" dataDxfId="100" headerRowBorderDxfId="101" tableBorderDxfId="99" totalsRowBorderDxfId="98" dataCellStyle="Normal 10">
  <autoFilter ref="A2:L38" xr:uid="{2D5D738B-F39E-4226-8D0A-EEB608DD82D1}"/>
  <tableColumns count="12">
    <tableColumn id="1" xr3:uid="{F75C76A2-7283-47C2-8412-8E4AAE6E4C54}" name="Area / borough" dataDxfId="97" dataCellStyle="Normal 10"/>
    <tableColumn id="2" xr3:uid="{FBF59053-7A1B-4345-8DBB-5DAD36449B96}" name="2010-14" dataDxfId="96" dataCellStyle="Normal 10"/>
    <tableColumn id="3" xr3:uid="{94AEFA39-9A3E-402B-B038-BED24CA74A74}" name="2017" dataDxfId="95" dataCellStyle="Normal 10"/>
    <tableColumn id="4" xr3:uid="{47F7D50E-CE65-488A-821E-7A989030825C}" name="2018" dataDxfId="94" dataCellStyle="Normal 10"/>
    <tableColumn id="5" xr3:uid="{6DFD09F7-6ABD-467A-833F-6EA1E164214C}" name="2019" dataDxfId="93" dataCellStyle="Normal 10"/>
    <tableColumn id="6" xr3:uid="{F1E0FD90-03FE-46AF-93C8-AB93D759E0E8}" name="2020" dataDxfId="92" dataCellStyle="Normal 10"/>
    <tableColumn id="7" xr3:uid="{06782BBE-3C5B-4835-BA6B-9F9B353B3695}" name="2021" dataDxfId="91" dataCellStyle="Normal 10"/>
    <tableColumn id="8" xr3:uid="{0A78CFBE-3D80-4A79-999E-C73767F39ACF}" name="2022" dataDxfId="90" dataCellStyle="Normal 10"/>
    <tableColumn id="9" xr3:uid="{31B962D1-C77F-4CF6-873D-D81C4BD6AF60}" name="2023" dataDxfId="89" dataCellStyle="Normal 10"/>
    <tableColumn id="10" xr3:uid="{196CEF6F-75DE-4429-BCC6-9367C5370B7F}" name="2024" dataDxfId="88" dataCellStyle="Normal 10"/>
    <tableColumn id="11" xr3:uid="{AA4B0489-9377-46F4-AF22-472CB8C85124}" name="% change 2023 vs. 2024" dataDxfId="87" dataCellStyle="Percent 9"/>
    <tableColumn id="12" xr3:uid="{114EB3C3-7493-4FF9-BFA1-2AC275735750}" name="% change vs. baseline" dataDxfId="86" dataCellStyle="Percent 9"/>
  </tableColumns>
  <tableStyleInfo name="TableStyleMedium1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030129F-AF4F-43D9-8A4A-BD9AAAACDDCA}" name="Table23" displayName="Table23" ref="A4:Z40" totalsRowShown="0" headerRowDxfId="85" dataDxfId="83" headerRowBorderDxfId="84" tableBorderDxfId="82" totalsRowBorderDxfId="81" dataCellStyle="Percent 9">
  <autoFilter ref="A4:Z40" xr:uid="{A030129F-AF4F-43D9-8A4A-BD9AAAACDDCA}"/>
  <tableColumns count="26">
    <tableColumn id="1" xr3:uid="{8191CFF7-9FD1-4D95-A6A4-83B51D9419C5}" name="Area_x000a_(Inner, Outer)" dataDxfId="80" dataCellStyle="Normal 10"/>
    <tableColumn id="2" xr3:uid="{FE02B398-FA6C-48FA-9561-FBFEB3C5DF44}" name="Borough name" dataDxfId="79" dataCellStyle="Normal 10"/>
    <tableColumn id="3" xr3:uid="{4C545985-DCC5-4D81-A0E0-978240E04F96}" name="2024 pedal cycle" dataDxfId="78" dataCellStyle="Comma"/>
    <tableColumn id="4" xr3:uid="{244DB626-111E-49D3-947E-FBEC77065C21}" name="2024 motorcycle" dataDxfId="77" dataCellStyle="Comma"/>
    <tableColumn id="5" xr3:uid="{93F08DB5-A8A4-4DDC-89D0-3499C2958AA8}" name="2024 car" dataDxfId="76" dataCellStyle="Comma"/>
    <tableColumn id="6" xr3:uid="{AC9E09CA-C685-4DF7-96B3-DC5234DDE979}" name="2024 taxi" dataDxfId="75" dataCellStyle="Comma"/>
    <tableColumn id="7" xr3:uid="{7BCEF1EC-E5A2-4D71-82D3-D97CC230E323}" name="2024 private hire vehicle" dataDxfId="74" dataCellStyle="Comma"/>
    <tableColumn id="8" xr3:uid="{7F1968F4-15B6-498B-91C8-5138D5E78903}" name="2024 bus or coach" dataDxfId="73" dataCellStyle="Comma"/>
    <tableColumn id="9" xr3:uid="{A4E7BD65-83B5-4D0C-8FFA-C803FF172BCA}" name="2024 goods vehicle" dataDxfId="72" dataCellStyle="Comma"/>
    <tableColumn id="10" xr3:uid="{00DD0ED6-AD3A-413B-9893-7BCBB97BCBB3}" name="2024 other vehicle" dataDxfId="71" dataCellStyle="Comma"/>
    <tableColumn id="11" xr3:uid="{F0DF2308-0ECF-436F-8E91-63CA0E069105}" name="2023 pedal cycle" dataDxfId="70" dataCellStyle="Comma"/>
    <tableColumn id="12" xr3:uid="{BC320A8C-7D81-45DA-97C2-715824587065}" name="2023 motorcycle" dataDxfId="69" dataCellStyle="Comma"/>
    <tableColumn id="13" xr3:uid="{D8B5191D-BB38-4592-90CD-E21EB36598DC}" name="2023 car" dataDxfId="68" dataCellStyle="Comma"/>
    <tableColumn id="14" xr3:uid="{A263B908-AF6A-483A-B8AC-70DDF6706401}" name="2023 taxi" dataDxfId="67" dataCellStyle="Comma"/>
    <tableColumn id="15" xr3:uid="{DDD46927-DADD-40A5-B095-AE0AE5D85948}" name="2023 private hire vehicle" dataDxfId="66" dataCellStyle="Comma"/>
    <tableColumn id="16" xr3:uid="{42C5711F-4E89-4B0D-8302-93A0E80DBD32}" name="2023 bus or coach" dataDxfId="65" dataCellStyle="Comma"/>
    <tableColumn id="17" xr3:uid="{2EF0A53A-A4BF-4B81-A5C3-CB16341CB58A}" name="2023 goods vehicle" dataDxfId="64" dataCellStyle="Comma"/>
    <tableColumn id="18" xr3:uid="{5D5713A4-FCB3-42F0-9FDC-8E9A948A977D}" name="2023 other vehicle" dataDxfId="63" dataCellStyle="Comma"/>
    <tableColumn id="19" xr3:uid="{D0FD8CAB-D316-4FBF-8562-A7772DAA6A09}" name="% change pedal cycle" dataDxfId="62" dataCellStyle="Percent 9"/>
    <tableColumn id="20" xr3:uid="{1E614958-ADBB-45E9-981A-5CCAB20E3526}" name="% change motorcycle" dataDxfId="61" dataCellStyle="Percent 9"/>
    <tableColumn id="21" xr3:uid="{8F7B6334-20DE-461C-BC86-2749028E7CCF}" name="% change car" dataDxfId="60" dataCellStyle="Percent 9"/>
    <tableColumn id="22" xr3:uid="{21EECA4A-2B1D-4715-BFD5-95D2E87E42CF}" name="% change taxi" dataDxfId="59" dataCellStyle="Percent 9"/>
    <tableColumn id="23" xr3:uid="{5B82720C-29B9-4451-9211-D4E1105DE165}" name="% change private hire vehicle" dataDxfId="58" dataCellStyle="Percent 9"/>
    <tableColumn id="24" xr3:uid="{E8305956-E8EC-4EC2-AC86-A800F4909A66}" name="% change bus or coach" dataDxfId="57" dataCellStyle="Percent 9"/>
    <tableColumn id="25" xr3:uid="{7C5FFCDE-6D76-43A5-9C2E-969316BB22B1}" name="% change goods vehicle" dataDxfId="56" dataCellStyle="Percent 9"/>
    <tableColumn id="26" xr3:uid="{902DCD53-A474-474C-9AF4-7C47A23846BB}" name="% change other vehicle" dataDxfId="55" dataCellStyle="Percent 9"/>
  </tableColumns>
  <tableStyleInfo name="TableStyleMedium1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53F3B53-782B-4200-8064-575BEF56FAFA}" name="Table24" displayName="Table24" ref="A2:K146" totalsRowShown="0" headerRowDxfId="54" dataDxfId="52" headerRowBorderDxfId="53" tableBorderDxfId="51" dataCellStyle="Normal 10">
  <autoFilter ref="A2:K146" xr:uid="{F53F3B53-782B-4200-8064-575BEF56FAFA}"/>
  <tableColumns count="11">
    <tableColumn id="1" xr3:uid="{40FE2DD1-69EF-4EAF-9309-3E02C6CE54DC}" name="Area / borough" dataDxfId="50" dataCellStyle="Normal 10"/>
    <tableColumn id="2" xr3:uid="{F3E45D82-59E7-4F04-9E49-BF455A92C4D6}" name="Highway authority" dataDxfId="49" dataCellStyle="Normal 10"/>
    <tableColumn id="3" xr3:uid="{D900D60C-F950-4771-AFB1-1D2AB1BF6723}" name="2017" dataDxfId="48" dataCellStyle="Normal 10"/>
    <tableColumn id="4" xr3:uid="{475E52E9-83D9-482D-A3A7-9C9956142782}" name="2018" dataDxfId="47" dataCellStyle="Normal 10"/>
    <tableColumn id="5" xr3:uid="{5BDDD4ED-2B56-4C25-8765-75E8CE2B30AC}" name="2019" dataDxfId="46" dataCellStyle="Normal 10"/>
    <tableColumn id="6" xr3:uid="{FDD16C70-3569-430D-8085-C69241568418}" name="2020" dataDxfId="45" dataCellStyle="Normal 10"/>
    <tableColumn id="7" xr3:uid="{7F56FAAA-154F-4356-8309-70544C52D44D}" name="2021" dataDxfId="44" dataCellStyle="Normal 10"/>
    <tableColumn id="8" xr3:uid="{564B34F8-49EA-4119-9055-EDECB6C72467}" name="2022" dataDxfId="43" dataCellStyle="Normal 10"/>
    <tableColumn id="9" xr3:uid="{5B40DE36-26F4-4DAB-B581-C4DD9459A178}" name="2023" dataDxfId="42" dataCellStyle="Normal 10"/>
    <tableColumn id="10" xr3:uid="{0ED5C4D3-301A-46AC-BA64-250234E2D0F9}" name="2024" dataDxfId="41" dataCellStyle="Normal 10"/>
    <tableColumn id="11" xr3:uid="{7536FBD3-F9DB-4291-9F31-95DCB6B567F4}" name="% change 2023 vs. 2024" dataDxfId="40" dataCellStyle="Percent 9"/>
  </tableColumns>
  <tableStyleInfo name="TableStyleMedium1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5874CA-204C-4122-8B03-FDEB58C7E480}" name="Table25" displayName="Table25" ref="A2:G7" totalsRowShown="0" headerRowDxfId="39" dataDxfId="37" headerRowBorderDxfId="38" tableBorderDxfId="36" totalsRowBorderDxfId="35">
  <autoFilter ref="A2:G7" xr:uid="{D4D86E73-80FD-4058-A0D6-96CC4F0E645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3B5308-C5B1-46D5-A47F-E2D243B57790}" name="Year" dataDxfId="34"/>
    <tableColumn id="2" xr3:uid="{250EB45D-FFFA-4934-BBA1-5F81967335D6}" name="People killed or seriously injured" dataDxfId="33" dataCellStyle="Comma"/>
    <tableColumn id="3" xr3:uid="{E020A3D6-91CC-45A1-A1F5-5F454424AC49}" name="Reduction from baseline" dataDxfId="32" dataCellStyle="Comma"/>
    <tableColumn id="4" xr3:uid="{06F02806-C566-49BF-A96A-084AEC616932}" name="People killed" dataDxfId="31" dataCellStyle="Comma"/>
    <tableColumn id="5" xr3:uid="{2ED64B24-0B9E-4E38-89D8-51D88B2B1D0A}" name="Fatal reduction from baseline" dataDxfId="30"/>
    <tableColumn id="6" xr3:uid="{56ECA5E0-45D1-4B73-AC12-5284DAF7A4B1}" name="People seriously injured" dataDxfId="29" dataCellStyle="Comma"/>
    <tableColumn id="7" xr3:uid="{CC3186A3-CD7A-43CB-A555-27DB8768CF74}" name="Serious injury reduction from baseline" dataDxfId="28"/>
  </tableColumns>
  <tableStyleInfo name="TableStyleMedium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E88DDFA-EDD1-492E-A13B-0D6FC71CF4EF}" name="Table26" displayName="Table26" ref="A2:D10" totalsRowShown="0" headerRowDxfId="27" dataDxfId="25" headerRowBorderDxfId="26" tableBorderDxfId="24" totalsRowBorderDxfId="23">
  <autoFilter ref="A2:D10" xr:uid="{0E88DDFA-EDD1-492E-A13B-0D6FC71CF4EF}">
    <filterColumn colId="0" hiddenButton="1"/>
    <filterColumn colId="1" hiddenButton="1"/>
    <filterColumn colId="2" hiddenButton="1"/>
    <filterColumn colId="3" hiddenButton="1"/>
  </autoFilter>
  <tableColumns count="4">
    <tableColumn id="1" xr3:uid="{AC0A81F9-ED65-4939-9805-D88F3E6B722E}" name="Year" dataDxfId="22"/>
    <tableColumn id="2" xr3:uid="{79787CCD-8729-46FB-AA9D-A29F849018C2}" name="Most deprived 30%" dataDxfId="21"/>
    <tableColumn id="3" xr3:uid="{59932660-D994-4B5C-8AB1-F8116286D649}" name="Middle deprivation 40%" dataDxfId="20"/>
    <tableColumn id="4" xr3:uid="{3F98B2D1-9269-450B-97E4-711DC518D683}" name="Least deprived 30%" dataDxfId="19"/>
  </tableColumns>
  <tableStyleInfo name="TableStyleMedium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0FE34F0-486C-4516-913B-CBB6263912EB}" name="Table27" displayName="Table27" ref="A2:D10" totalsRowShown="0" headerRowDxfId="18" dataDxfId="16" headerRowBorderDxfId="17" tableBorderDxfId="15" totalsRowBorderDxfId="14">
  <autoFilter ref="A2:D10" xr:uid="{70FE34F0-486C-4516-913B-CBB6263912EB}">
    <filterColumn colId="0" hiddenButton="1"/>
    <filterColumn colId="1" hiddenButton="1"/>
    <filterColumn colId="2" hiddenButton="1"/>
    <filterColumn colId="3" hiddenButton="1"/>
  </autoFilter>
  <tableColumns count="4">
    <tableColumn id="1" xr3:uid="{11AA85EA-45C9-4873-AB81-8FF4C9A38A43}" name="Year" dataDxfId="13"/>
    <tableColumn id="2" xr3:uid="{696FCDA9-9219-474E-A110-9478762FF368}" name="Most deprived 30%" dataDxfId="12"/>
    <tableColumn id="3" xr3:uid="{DE2ACC8E-7428-40FE-8B1A-031A2756E9AA}" name="Middle deprivation 40%" dataDxfId="11"/>
    <tableColumn id="4" xr3:uid="{DAE9BCFC-893C-449A-9144-A5D75421BBC8}" name="Least deprived 30%" dataDxfId="10"/>
  </tableColumns>
  <tableStyleInfo name="TableStyleMedium1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0154423-363E-4C5A-914E-01BBECFF81DD}" name="Table28" displayName="Table28" ref="A2:E11" totalsRowShown="0" headerRowDxfId="9" dataDxfId="7" headerRowBorderDxfId="8" tableBorderDxfId="6" totalsRowBorderDxfId="5">
  <autoFilter ref="A2:E11" xr:uid="{20154423-363E-4C5A-914E-01BBECFF81DD}">
    <filterColumn colId="0" hiddenButton="1"/>
    <filterColumn colId="1" hiddenButton="1"/>
    <filterColumn colId="2" hiddenButton="1"/>
    <filterColumn colId="3" hiddenButton="1"/>
    <filterColumn colId="4" hiddenButton="1"/>
  </autoFilter>
  <tableColumns count="5">
    <tableColumn id="1" xr3:uid="{03ED9CD4-05E4-44F1-8899-0CB6878F5779}" name="Year" dataDxfId="4"/>
    <tableColumn id="2" xr3:uid="{641D4E16-D96A-41D7-9562-C1C4B5D3A53A}" name="Police reported casualties" dataDxfId="3" dataCellStyle="Comma"/>
    <tableColumn id="3" xr3:uid="{562BC6C5-B870-48CB-8817-12AEB8C6E6CE}" name="Self-reported casualties*" dataDxfId="2" dataCellStyle="Comma"/>
    <tableColumn id="4" xr3:uid="{407537B2-46F8-4B1D-936C-35BC9DAB3E09}" name="Total casualties" dataDxfId="1" dataCellStyle="Comma"/>
    <tableColumn id="5" xr3:uid="{849A62CC-CF9E-4D9F-B2C4-98945641CDF3}" name="% of self-reported casualties" dataDxfId="0"/>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ov.uk/government/statistics/reported-road-casualties-great-britain-provisional-results-2024" TargetMode="External"/><Relationship Id="rId13" Type="http://schemas.openxmlformats.org/officeDocument/2006/relationships/hyperlink" Target="https://experience.arcgis.com/experience/f817ed4d14b7434584959384d560f1fc/page/Page" TargetMode="External"/><Relationship Id="rId3" Type="http://schemas.openxmlformats.org/officeDocument/2006/relationships/hyperlink" Target="https://tfl.gov.uk/corporate/about-tfl/the-mayors-transport-strategy" TargetMode="External"/><Relationship Id="rId7" Type="http://schemas.openxmlformats.org/officeDocument/2006/relationships/hyperlink" Target="https://www.gov.uk/government/publications/road-accidents-and-safety-statistics-notes-and-definitions/reported-road-casualties-in-great-britain-notes-definitions-symbols-and-conventions" TargetMode="External"/><Relationship Id="rId12" Type="http://schemas.openxmlformats.org/officeDocument/2006/relationships/hyperlink" Target="mailto:collisiondata@tfl.gov.uk?subject=2024%20Factsheet%20GB%20Comparison%20Annex" TargetMode="External"/><Relationship Id="rId2" Type="http://schemas.openxmlformats.org/officeDocument/2006/relationships/hyperlink" Target="https://app.powerbi.com/view?r=eyJrIjoiZTU5YWY5M2ItODhhNi00YWZlLWI4ODAtNTFmYTIzMmVjY2Q3IiwidCI6IjFmYmQ2NWJmLTVkZWYtNGVlYS1hNjkyLWEwODljMjU1MzQ2YiIsImMiOjh9" TargetMode="External"/><Relationship Id="rId1" Type="http://schemas.openxmlformats.org/officeDocument/2006/relationships/hyperlink" Target="https://tfl.gov.uk/corporate/publications-and-reports/road-safety" TargetMode="External"/><Relationship Id="rId6" Type="http://schemas.openxmlformats.org/officeDocument/2006/relationships/hyperlink" Target="https://tfl.gov.uk/corporate/publications-and-reports/bus-safety-data" TargetMode="External"/><Relationship Id="rId11" Type="http://schemas.openxmlformats.org/officeDocument/2006/relationships/hyperlink" Target="mailto:collisiondata@tfl.gov.uk" TargetMode="External"/><Relationship Id="rId5" Type="http://schemas.openxmlformats.org/officeDocument/2006/relationships/hyperlink" Target="http://app.powerbi.com/view?r=eyJrIjoiMjY4ZmYyOWEtMzViMy00M2I0LTk3MTEtYTQ4N2JmMjcyODFhIiwidCI6IjFmYmQ2NWJmLTVkZWYtNGVlYS1hNjkyLWEwODljMjU1MzQ2YiIsImMiOjh9" TargetMode="External"/><Relationship Id="rId15" Type="http://schemas.openxmlformats.org/officeDocument/2006/relationships/printerSettings" Target="../printerSettings/printerSettings1.bin"/><Relationship Id="rId10" Type="http://schemas.openxmlformats.org/officeDocument/2006/relationships/hyperlink" Target="https://tfl.gov.uk/corporate/publications-and-reports/travel-in-london-reports" TargetMode="External"/><Relationship Id="rId4" Type="http://schemas.openxmlformats.org/officeDocument/2006/relationships/hyperlink" Target="https://tfl.gov.uk/corporate/publications-and-reports/road-safety" TargetMode="External"/><Relationship Id="rId9" Type="http://schemas.openxmlformats.org/officeDocument/2006/relationships/hyperlink" Target="https://tfl.gov.uk/corporate/about-tfl/the-mayors-transport-strategy" TargetMode="External"/><Relationship Id="rId14" Type="http://schemas.openxmlformats.org/officeDocument/2006/relationships/hyperlink" Target="https://tfl.gov.uk/cdn/static/cms/documents/casualties-in-greater-london-2024.pdf"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fl.gov.uk/cdn/static/cms/documents/casualties-in-greater-london-2024.pdf"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8.bin"/><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0.bin"/><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1.bin"/><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hyperlink" Target="https://tfl.gov.uk/cdn/static/cms/documents/casualties-in-greater-london-2024.pdf"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2.bin"/><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3" Type="http://schemas.openxmlformats.org/officeDocument/2006/relationships/hyperlink" Target="https://tfl.gov.uk/cdn/static/cms/documents/casualties-in-greater-london-2024.pdf" TargetMode="External"/><Relationship Id="rId2" Type="http://schemas.openxmlformats.org/officeDocument/2006/relationships/hyperlink" Target="https://tfl.gov.uk/cdn/static/cms/documents/casualties-in-greater-london-2024-gb-comparison-annex.xlsx" TargetMode="External"/><Relationship Id="rId1" Type="http://schemas.openxmlformats.org/officeDocument/2006/relationships/hyperlink" Target="https://tfl.gov.uk/cdn/static/cms/documents/casualties-in-greater-london-2024-injury-risk-annex.xlsx"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tfl.gov.uk/cdn/static/cms/documents/casualties-in-greater-london-2024.pdf" TargetMode="External"/></Relationships>
</file>

<file path=xl/worksheets/_rels/sheet1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printerSettings" Target="../printerSettings/printerSettings13.bin"/><Relationship Id="rId1" Type="http://schemas.openxmlformats.org/officeDocument/2006/relationships/hyperlink" Target="https://tfl.gov.uk/cdn/static/cms/documents/casualties-in-greater-london-2024.pdf" TargetMode="External"/><Relationship Id="rId4" Type="http://schemas.microsoft.com/office/2019/04/relationships/namedSheetView" Target="../namedSheetViews/namedSheetView1.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4.bin"/><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tfl.gov.uk/cdn/static/cms/documents/road-casualty-statistics-faqs.pdf" TargetMode="External"/><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3.xml"/><Relationship Id="rId1" Type="http://schemas.openxmlformats.org/officeDocument/2006/relationships/hyperlink" Target="https://tfl.gov.uk/cdn/static/cms/documents/casualties-in-greater-london-2024.pdf" TargetMode="External"/></Relationships>
</file>

<file path=xl/worksheets/_rels/sheet20.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printerSettings" Target="../printerSettings/printerSettings16.bin"/><Relationship Id="rId1" Type="http://schemas.openxmlformats.org/officeDocument/2006/relationships/hyperlink" Target="https://tfl.gov.uk/cdn/static/cms/documents/casualties-in-greater-london-2024.pdf"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7.bin"/><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5.xml"/><Relationship Id="rId1" Type="http://schemas.openxmlformats.org/officeDocument/2006/relationships/hyperlink" Target="https://tfl.gov.uk/cdn/static/cms/documents/casualties-in-greater-london-2024.pdf"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8.bin"/><Relationship Id="rId1" Type="http://schemas.openxmlformats.org/officeDocument/2006/relationships/hyperlink" Target="https://tfl.gov.uk/cdn/static/cms/documents/casualties-in-greater-london-2024.pdf" TargetMode="External"/><Relationship Id="rId4"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3333CC"/>
  </sheetPr>
  <dimension ref="A1:K46"/>
  <sheetViews>
    <sheetView showGridLines="0" tabSelected="1" zoomScaleNormal="100" workbookViewId="0">
      <selection activeCell="A21" sqref="A21"/>
    </sheetView>
  </sheetViews>
  <sheetFormatPr defaultColWidth="8.765625" defaultRowHeight="15.5"/>
  <cols>
    <col min="1" max="1" width="138.07421875" style="20" customWidth="1"/>
    <col min="2" max="2" width="10.765625" style="20" customWidth="1"/>
    <col min="3" max="3" width="79.23046875" style="20" customWidth="1"/>
    <col min="4" max="16384" width="8.765625" style="20"/>
  </cols>
  <sheetData>
    <row r="1" spans="1:11" ht="46" customHeight="1">
      <c r="A1" s="58" t="s">
        <v>0</v>
      </c>
      <c r="B1" s="49"/>
      <c r="C1" s="23"/>
      <c r="D1" s="26"/>
      <c r="E1" s="26"/>
      <c r="F1" s="26"/>
      <c r="G1" s="26"/>
      <c r="H1" s="26"/>
      <c r="I1" s="26"/>
      <c r="J1" s="26"/>
      <c r="K1" s="26"/>
    </row>
    <row r="2" spans="1:11" s="1" customFormat="1" ht="45" customHeight="1">
      <c r="A2" s="55" t="s">
        <v>1</v>
      </c>
      <c r="B2" s="49"/>
      <c r="C2" s="23"/>
      <c r="D2" s="27"/>
      <c r="E2" s="27"/>
      <c r="F2" s="27"/>
      <c r="G2" s="27"/>
      <c r="H2" s="27"/>
      <c r="I2" s="5"/>
      <c r="J2" s="5"/>
      <c r="K2" s="5"/>
    </row>
    <row r="3" spans="1:11" ht="22.5">
      <c r="A3" s="50" t="s">
        <v>2</v>
      </c>
      <c r="B3" s="49"/>
      <c r="C3" s="23"/>
      <c r="D3" s="22"/>
      <c r="E3" s="22"/>
      <c r="F3" s="22"/>
      <c r="G3" s="22"/>
      <c r="H3" s="22"/>
      <c r="I3" s="26"/>
      <c r="J3" s="26"/>
      <c r="K3" s="26"/>
    </row>
    <row r="4" spans="1:11" ht="22.5">
      <c r="A4" s="355" t="s">
        <v>3</v>
      </c>
      <c r="B4" s="49"/>
      <c r="C4" s="26"/>
      <c r="D4" s="22"/>
      <c r="E4" s="22"/>
      <c r="F4" s="22"/>
      <c r="G4" s="22"/>
      <c r="H4" s="22"/>
      <c r="I4" s="26"/>
      <c r="J4" s="26"/>
      <c r="K4" s="26"/>
    </row>
    <row r="5" spans="1:11" ht="33" customHeight="1">
      <c r="A5" s="51" t="s">
        <v>4</v>
      </c>
      <c r="B5" s="49"/>
      <c r="C5" s="23"/>
      <c r="D5" s="23"/>
      <c r="E5" s="23"/>
      <c r="F5" s="23"/>
      <c r="G5" s="23"/>
      <c r="H5" s="23"/>
    </row>
    <row r="6" spans="1:11" ht="22.5">
      <c r="A6" s="314" t="s">
        <v>5</v>
      </c>
      <c r="B6" s="49"/>
    </row>
    <row r="7" spans="1:11" ht="22.5">
      <c r="A7" s="335" t="s">
        <v>6</v>
      </c>
      <c r="B7" s="49"/>
    </row>
    <row r="8" spans="1:11" ht="22.5">
      <c r="A8" s="322" t="s">
        <v>7</v>
      </c>
      <c r="B8" s="49"/>
      <c r="C8" s="23"/>
      <c r="D8" s="23"/>
      <c r="E8" s="23"/>
      <c r="F8" s="23"/>
      <c r="G8" s="23"/>
      <c r="H8" s="23"/>
    </row>
    <row r="9" spans="1:11" ht="22.5">
      <c r="A9" s="314" t="s">
        <v>8</v>
      </c>
      <c r="B9" s="49"/>
      <c r="C9" s="23"/>
      <c r="D9" s="23"/>
      <c r="E9" s="23"/>
      <c r="F9" s="23"/>
      <c r="G9" s="23"/>
      <c r="H9" s="23"/>
    </row>
    <row r="10" spans="1:11" ht="22.5">
      <c r="A10" s="335" t="s">
        <v>9</v>
      </c>
      <c r="B10" s="49"/>
    </row>
    <row r="11" spans="1:11" ht="22.5">
      <c r="A11" s="335" t="s">
        <v>10</v>
      </c>
      <c r="B11" s="49"/>
    </row>
    <row r="12" spans="1:11" ht="22.5">
      <c r="A12" s="314" t="s">
        <v>11</v>
      </c>
      <c r="B12" s="49"/>
    </row>
    <row r="13" spans="1:11" ht="22.5">
      <c r="A13" s="335" t="s">
        <v>12</v>
      </c>
      <c r="B13" s="49"/>
    </row>
    <row r="14" spans="1:11" ht="22.5">
      <c r="A14" s="314" t="s">
        <v>13</v>
      </c>
      <c r="B14" s="49"/>
    </row>
    <row r="15" spans="1:11" ht="22.5">
      <c r="A15" s="322" t="s">
        <v>14</v>
      </c>
      <c r="B15" s="49"/>
    </row>
    <row r="16" spans="1:11" ht="22.5">
      <c r="A16" s="335" t="s">
        <v>15</v>
      </c>
      <c r="B16" s="49"/>
    </row>
    <row r="17" spans="1:3" s="32" customFormat="1" ht="33" customHeight="1">
      <c r="A17" s="51" t="s">
        <v>16</v>
      </c>
      <c r="B17" s="49"/>
      <c r="C17" s="23"/>
    </row>
    <row r="18" spans="1:3" s="32" customFormat="1" ht="33" customHeight="1">
      <c r="A18" s="52" t="s">
        <v>271</v>
      </c>
      <c r="B18" s="49"/>
      <c r="C18" s="23"/>
    </row>
    <row r="19" spans="1:3" s="32" customFormat="1" ht="36">
      <c r="A19" s="52" t="s">
        <v>17</v>
      </c>
      <c r="B19" s="49"/>
      <c r="C19" s="23"/>
    </row>
    <row r="20" spans="1:3" s="32" customFormat="1" ht="53.5">
      <c r="A20" s="52" t="s">
        <v>18</v>
      </c>
      <c r="B20" s="49"/>
      <c r="C20" s="23"/>
    </row>
    <row r="21" spans="1:3" s="32" customFormat="1" ht="52" customHeight="1">
      <c r="A21" s="52" t="s">
        <v>273</v>
      </c>
      <c r="B21" s="49"/>
      <c r="C21" s="23"/>
    </row>
    <row r="22" spans="1:3" s="32" customFormat="1" ht="45" customHeight="1">
      <c r="A22" s="57" t="s">
        <v>19</v>
      </c>
      <c r="B22" s="49"/>
      <c r="C22" s="23"/>
    </row>
    <row r="23" spans="1:3" s="32" customFormat="1" ht="18">
      <c r="A23" s="53" t="s">
        <v>20</v>
      </c>
      <c r="B23" s="54"/>
      <c r="C23" s="23"/>
    </row>
    <row r="24" spans="1:3" ht="18">
      <c r="A24" s="53" t="s">
        <v>21</v>
      </c>
      <c r="B24" s="54"/>
    </row>
    <row r="25" spans="1:3" ht="18">
      <c r="A25" s="53" t="s">
        <v>22</v>
      </c>
      <c r="B25" s="54"/>
    </row>
    <row r="26" spans="1:3" ht="17.5">
      <c r="A26" s="350" t="s">
        <v>23</v>
      </c>
      <c r="B26" s="54"/>
    </row>
    <row r="27" spans="1:3" ht="17.5">
      <c r="A27" s="350" t="s">
        <v>24</v>
      </c>
      <c r="B27" s="54"/>
    </row>
    <row r="28" spans="1:3" ht="17.5">
      <c r="A28" s="350" t="s">
        <v>25</v>
      </c>
      <c r="B28" s="54"/>
    </row>
    <row r="29" spans="1:3" ht="17.5">
      <c r="A29" s="350" t="s">
        <v>272</v>
      </c>
      <c r="B29" s="54"/>
    </row>
    <row r="30" spans="1:3" ht="18">
      <c r="A30" s="53" t="s">
        <v>26</v>
      </c>
      <c r="B30" s="54"/>
    </row>
    <row r="31" spans="1:3" ht="17.5">
      <c r="A31" s="62" t="s">
        <v>27</v>
      </c>
    </row>
    <row r="32" spans="1:3" ht="17.5">
      <c r="A32" s="56"/>
    </row>
    <row r="33" spans="1:3">
      <c r="A33" s="33"/>
    </row>
    <row r="34" spans="1:3">
      <c r="A34" s="33"/>
    </row>
    <row r="35" spans="1:3">
      <c r="A35" s="33"/>
    </row>
    <row r="36" spans="1:3">
      <c r="A36" s="33"/>
    </row>
    <row r="40" spans="1:3" ht="17.5">
      <c r="C40" s="23"/>
    </row>
    <row r="41" spans="1:3" ht="17.5">
      <c r="C41" s="23"/>
    </row>
    <row r="45" spans="1:3" ht="17.5">
      <c r="A45" s="23"/>
      <c r="B45" s="23"/>
    </row>
    <row r="46" spans="1:3" ht="17.5">
      <c r="A46" s="23"/>
      <c r="B46" s="23"/>
    </row>
  </sheetData>
  <hyperlinks>
    <hyperlink ref="A6" r:id="rId1" xr:uid="{B27A6AA5-3C03-4217-AA72-E92EE25FD5B7}"/>
    <hyperlink ref="A7" r:id="rId2" xr:uid="{E0ABA746-F463-476E-BF01-659D607006CA}"/>
    <hyperlink ref="A9" r:id="rId3" xr:uid="{EADE99AC-68E1-4C57-9B5C-7107C9B06D32}"/>
    <hyperlink ref="A10" r:id="rId4" xr:uid="{C9636AE3-5375-4613-94D1-5341B7F44FEA}"/>
    <hyperlink ref="A11" r:id="rId5" xr:uid="{EF4D4672-4C07-4637-97AD-2959B6C89E73}"/>
    <hyperlink ref="A13" r:id="rId6" location="on-this-page-1" xr:uid="{F7015718-E552-4A1B-9AE7-85730BFB090B}"/>
    <hyperlink ref="A14" r:id="rId7" xr:uid="{8A1A2BD8-6FCA-4309-9AFD-FC2585718D1D}"/>
    <hyperlink ref="A15" r:id="rId8" xr:uid="{C977046F-E083-498E-93A6-7E822A4F80E2}"/>
    <hyperlink ref="A16" r:id="rId9" location="on-this-page-3" xr:uid="{9F38112D-A208-4736-89EC-B92B883E7DE4}"/>
    <hyperlink ref="A12" r:id="rId10" display="https://tfl.gov.uk/corporate/publications-and-reports/travel-in-london-reports" xr:uid="{8DE8C907-6092-4DA9-BEFF-47539045AE9E}"/>
    <hyperlink ref="A31" r:id="rId11" xr:uid="{2CD3BCE6-BF3B-4ABB-9C67-C8AE48550EC5}"/>
    <hyperlink ref="A22" r:id="rId12" xr:uid="{1687C13B-6AC4-4D24-ABE3-43BAFDC2C187}"/>
    <hyperlink ref="A8" r:id="rId13" location="data_s=id%3AdataSource_3-a0d69b305ae1416b9bdf900827242c4d%3A95807" display="Collision Map ArcGIS tool" xr:uid="{965D1761-C6AD-4954-AC8F-10505F2F4DD3}"/>
    <hyperlink ref="A4" r:id="rId14" display="This workbook contains a number of graphs and tables published alongside the Casualties in Greater London 2024 report" xr:uid="{FE281FB3-80D1-40CE-9970-97390D0D4BD3}"/>
  </hyperlinks>
  <pageMargins left="0.7" right="0.7" top="0.75" bottom="0.75" header="0.3" footer="0.3"/>
  <pageSetup paperSize="9"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EE0000"/>
  </sheetPr>
  <dimension ref="A1:H40"/>
  <sheetViews>
    <sheetView showGridLines="0" zoomScaleNormal="100" workbookViewId="0"/>
  </sheetViews>
  <sheetFormatPr defaultRowHeight="17.5"/>
  <cols>
    <col min="1" max="1" width="139.69140625" style="23" customWidth="1"/>
    <col min="2" max="255" width="8.765625" style="23"/>
    <col min="256" max="256" width="18" style="23" bestFit="1" customWidth="1"/>
    <col min="257" max="511" width="8.765625" style="23"/>
    <col min="512" max="512" width="18" style="23" bestFit="1" customWidth="1"/>
    <col min="513" max="767" width="8.765625" style="23"/>
    <col min="768" max="768" width="18" style="23" bestFit="1" customWidth="1"/>
    <col min="769" max="1023" width="8.765625" style="23"/>
    <col min="1024" max="1024" width="18" style="23" bestFit="1" customWidth="1"/>
    <col min="1025" max="1279" width="8.765625" style="23"/>
    <col min="1280" max="1280" width="18" style="23" bestFit="1" customWidth="1"/>
    <col min="1281" max="1535" width="8.765625" style="23"/>
    <col min="1536" max="1536" width="18" style="23" bestFit="1" customWidth="1"/>
    <col min="1537" max="1791" width="8.765625" style="23"/>
    <col min="1792" max="1792" width="18" style="23" bestFit="1" customWidth="1"/>
    <col min="1793" max="2047" width="8.765625" style="23"/>
    <col min="2048" max="2048" width="18" style="23" bestFit="1" customWidth="1"/>
    <col min="2049" max="2303" width="8.765625" style="23"/>
    <col min="2304" max="2304" width="18" style="23" bestFit="1" customWidth="1"/>
    <col min="2305" max="2559" width="8.765625" style="23"/>
    <col min="2560" max="2560" width="18" style="23" bestFit="1" customWidth="1"/>
    <col min="2561" max="2815" width="8.765625" style="23"/>
    <col min="2816" max="2816" width="18" style="23" bestFit="1" customWidth="1"/>
    <col min="2817" max="3071" width="8.765625" style="23"/>
    <col min="3072" max="3072" width="18" style="23" bestFit="1" customWidth="1"/>
    <col min="3073" max="3327" width="8.765625" style="23"/>
    <col min="3328" max="3328" width="18" style="23" bestFit="1" customWidth="1"/>
    <col min="3329" max="3583" width="8.765625" style="23"/>
    <col min="3584" max="3584" width="18" style="23" bestFit="1" customWidth="1"/>
    <col min="3585" max="3839" width="8.765625" style="23"/>
    <col min="3840" max="3840" width="18" style="23" bestFit="1" customWidth="1"/>
    <col min="3841" max="4095" width="8.765625" style="23"/>
    <col min="4096" max="4096" width="18" style="23" bestFit="1" customWidth="1"/>
    <col min="4097" max="4351" width="8.765625" style="23"/>
    <col min="4352" max="4352" width="18" style="23" bestFit="1" customWidth="1"/>
    <col min="4353" max="4607" width="8.765625" style="23"/>
    <col min="4608" max="4608" width="18" style="23" bestFit="1" customWidth="1"/>
    <col min="4609" max="4863" width="8.765625" style="23"/>
    <col min="4864" max="4864" width="18" style="23" bestFit="1" customWidth="1"/>
    <col min="4865" max="5119" width="8.765625" style="23"/>
    <col min="5120" max="5120" width="18" style="23" bestFit="1" customWidth="1"/>
    <col min="5121" max="5375" width="8.765625" style="23"/>
    <col min="5376" max="5376" width="18" style="23" bestFit="1" customWidth="1"/>
    <col min="5377" max="5631" width="8.765625" style="23"/>
    <col min="5632" max="5632" width="18" style="23" bestFit="1" customWidth="1"/>
    <col min="5633" max="5887" width="8.765625" style="23"/>
    <col min="5888" max="5888" width="18" style="23" bestFit="1" customWidth="1"/>
    <col min="5889" max="6143" width="8.765625" style="23"/>
    <col min="6144" max="6144" width="18" style="23" bestFit="1" customWidth="1"/>
    <col min="6145" max="6399" width="8.765625" style="23"/>
    <col min="6400" max="6400" width="18" style="23" bestFit="1" customWidth="1"/>
    <col min="6401" max="6655" width="8.765625" style="23"/>
    <col min="6656" max="6656" width="18" style="23" bestFit="1" customWidth="1"/>
    <col min="6657" max="6911" width="8.765625" style="23"/>
    <col min="6912" max="6912" width="18" style="23" bestFit="1" customWidth="1"/>
    <col min="6913" max="7167" width="8.765625" style="23"/>
    <col min="7168" max="7168" width="18" style="23" bestFit="1" customWidth="1"/>
    <col min="7169" max="7423" width="8.765625" style="23"/>
    <col min="7424" max="7424" width="18" style="23" bestFit="1" customWidth="1"/>
    <col min="7425" max="7679" width="8.765625" style="23"/>
    <col min="7680" max="7680" width="18" style="23" bestFit="1" customWidth="1"/>
    <col min="7681" max="7935" width="8.765625" style="23"/>
    <col min="7936" max="7936" width="18" style="23" bestFit="1" customWidth="1"/>
    <col min="7937" max="8191" width="8.765625" style="23"/>
    <col min="8192" max="8192" width="18" style="23" bestFit="1" customWidth="1"/>
    <col min="8193" max="8447" width="8.765625" style="23"/>
    <col min="8448" max="8448" width="18" style="23" bestFit="1" customWidth="1"/>
    <col min="8449" max="8703" width="8.765625" style="23"/>
    <col min="8704" max="8704" width="18" style="23" bestFit="1" customWidth="1"/>
    <col min="8705" max="8959" width="8.765625" style="23"/>
    <col min="8960" max="8960" width="18" style="23" bestFit="1" customWidth="1"/>
    <col min="8961" max="9215" width="8.765625" style="23"/>
    <col min="9216" max="9216" width="18" style="23" bestFit="1" customWidth="1"/>
    <col min="9217" max="9471" width="8.765625" style="23"/>
    <col min="9472" max="9472" width="18" style="23" bestFit="1" customWidth="1"/>
    <col min="9473" max="9727" width="8.765625" style="23"/>
    <col min="9728" max="9728" width="18" style="23" bestFit="1" customWidth="1"/>
    <col min="9729" max="9983" width="8.765625" style="23"/>
    <col min="9984" max="9984" width="18" style="23" bestFit="1" customWidth="1"/>
    <col min="9985" max="10239" width="8.765625" style="23"/>
    <col min="10240" max="10240" width="18" style="23" bestFit="1" customWidth="1"/>
    <col min="10241" max="10495" width="8.765625" style="23"/>
    <col min="10496" max="10496" width="18" style="23" bestFit="1" customWidth="1"/>
    <col min="10497" max="10751" width="8.765625" style="23"/>
    <col min="10752" max="10752" width="18" style="23" bestFit="1" customWidth="1"/>
    <col min="10753" max="11007" width="8.765625" style="23"/>
    <col min="11008" max="11008" width="18" style="23" bestFit="1" customWidth="1"/>
    <col min="11009" max="11263" width="8.765625" style="23"/>
    <col min="11264" max="11264" width="18" style="23" bestFit="1" customWidth="1"/>
    <col min="11265" max="11519" width="8.765625" style="23"/>
    <col min="11520" max="11520" width="18" style="23" bestFit="1" customWidth="1"/>
    <col min="11521" max="11775" width="8.765625" style="23"/>
    <col min="11776" max="11776" width="18" style="23" bestFit="1" customWidth="1"/>
    <col min="11777" max="12031" width="8.765625" style="23"/>
    <col min="12032" max="12032" width="18" style="23" bestFit="1" customWidth="1"/>
    <col min="12033" max="12287" width="8.765625" style="23"/>
    <col min="12288" max="12288" width="18" style="23" bestFit="1" customWidth="1"/>
    <col min="12289" max="12543" width="8.765625" style="23"/>
    <col min="12544" max="12544" width="18" style="23" bestFit="1" customWidth="1"/>
    <col min="12545" max="12799" width="8.765625" style="23"/>
    <col min="12800" max="12800" width="18" style="23" bestFit="1" customWidth="1"/>
    <col min="12801" max="13055" width="8.765625" style="23"/>
    <col min="13056" max="13056" width="18" style="23" bestFit="1" customWidth="1"/>
    <col min="13057" max="13311" width="8.765625" style="23"/>
    <col min="13312" max="13312" width="18" style="23" bestFit="1" customWidth="1"/>
    <col min="13313" max="13567" width="8.765625" style="23"/>
    <col min="13568" max="13568" width="18" style="23" bestFit="1" customWidth="1"/>
    <col min="13569" max="13823" width="8.765625" style="23"/>
    <col min="13824" max="13824" width="18" style="23" bestFit="1" customWidth="1"/>
    <col min="13825" max="14079" width="8.765625" style="23"/>
    <col min="14080" max="14080" width="18" style="23" bestFit="1" customWidth="1"/>
    <col min="14081" max="14335" width="8.765625" style="23"/>
    <col min="14336" max="14336" width="18" style="23" bestFit="1" customWidth="1"/>
    <col min="14337" max="14591" width="8.765625" style="23"/>
    <col min="14592" max="14592" width="18" style="23" bestFit="1" customWidth="1"/>
    <col min="14593" max="14847" width="8.765625" style="23"/>
    <col min="14848" max="14848" width="18" style="23" bestFit="1" customWidth="1"/>
    <col min="14849" max="15103" width="8.765625" style="23"/>
    <col min="15104" max="15104" width="18" style="23" bestFit="1" customWidth="1"/>
    <col min="15105" max="15359" width="8.765625" style="23"/>
    <col min="15360" max="15360" width="18" style="23" bestFit="1" customWidth="1"/>
    <col min="15361" max="15615" width="8.765625" style="23"/>
    <col min="15616" max="15616" width="18" style="23" bestFit="1" customWidth="1"/>
    <col min="15617" max="15871" width="8.765625" style="23"/>
    <col min="15872" max="15872" width="18" style="23" bestFit="1" customWidth="1"/>
    <col min="15873" max="16127" width="8.765625" style="23"/>
    <col min="16128" max="16128" width="18" style="23" bestFit="1" customWidth="1"/>
    <col min="16129" max="16383" width="8.765625" style="23"/>
    <col min="16384" max="16384" width="8.765625" style="23" customWidth="1"/>
  </cols>
  <sheetData>
    <row r="1" spans="1:8" s="1" customFormat="1" ht="45" customHeight="1">
      <c r="A1" s="59" t="s">
        <v>28</v>
      </c>
      <c r="B1" s="13"/>
      <c r="C1" s="13"/>
      <c r="D1" s="13"/>
      <c r="E1" s="13"/>
      <c r="F1" s="13"/>
      <c r="G1" s="13"/>
      <c r="H1" s="13"/>
    </row>
    <row r="2" spans="1:8" s="1" customFormat="1" ht="33.75" customHeight="1">
      <c r="A2" s="60" t="s">
        <v>29</v>
      </c>
      <c r="B2" s="13"/>
      <c r="C2" s="13"/>
      <c r="D2" s="13"/>
      <c r="E2" s="13"/>
      <c r="F2" s="13"/>
      <c r="G2" s="13"/>
      <c r="H2" s="13"/>
    </row>
    <row r="3" spans="1:8" s="13" customFormat="1" ht="33" customHeight="1">
      <c r="A3" s="92" t="s">
        <v>30</v>
      </c>
    </row>
    <row r="4" spans="1:8" s="13" customFormat="1" ht="33" customHeight="1">
      <c r="A4" s="92" t="s">
        <v>31</v>
      </c>
    </row>
    <row r="5" spans="1:8" s="13" customFormat="1" ht="33" customHeight="1">
      <c r="A5" s="92" t="s">
        <v>32</v>
      </c>
    </row>
    <row r="6" spans="1:8" s="13" customFormat="1" ht="33" customHeight="1">
      <c r="A6" s="92" t="s">
        <v>33</v>
      </c>
    </row>
    <row r="7" spans="1:8" s="13" customFormat="1" ht="33" customHeight="1">
      <c r="A7" s="92" t="s">
        <v>34</v>
      </c>
    </row>
    <row r="8" spans="1:8" s="13" customFormat="1" ht="33" customHeight="1">
      <c r="A8" s="92" t="s">
        <v>35</v>
      </c>
    </row>
    <row r="9" spans="1:8" s="13" customFormat="1" ht="33" customHeight="1">
      <c r="A9" s="92" t="s">
        <v>36</v>
      </c>
    </row>
    <row r="10" spans="1:8" s="13" customFormat="1" ht="33" customHeight="1">
      <c r="A10" s="92" t="s">
        <v>37</v>
      </c>
    </row>
    <row r="11" spans="1:8" s="13" customFormat="1" ht="33" customHeight="1">
      <c r="A11" s="92" t="s">
        <v>38</v>
      </c>
    </row>
    <row r="12" spans="1:8" s="13" customFormat="1" ht="33" customHeight="1">
      <c r="A12" s="92" t="s">
        <v>39</v>
      </c>
    </row>
    <row r="13" spans="1:8" s="13" customFormat="1" ht="33" customHeight="1">
      <c r="A13" s="92" t="s">
        <v>40</v>
      </c>
    </row>
    <row r="14" spans="1:8" s="13" customFormat="1" ht="33" customHeight="1">
      <c r="A14" s="92" t="s">
        <v>41</v>
      </c>
    </row>
    <row r="15" spans="1:8" s="13" customFormat="1" ht="33" customHeight="1">
      <c r="A15" s="92" t="s">
        <v>42</v>
      </c>
    </row>
    <row r="16" spans="1:8" s="13" customFormat="1" ht="33" customHeight="1">
      <c r="A16" s="92" t="s">
        <v>43</v>
      </c>
    </row>
    <row r="17" spans="1:1" ht="33" customHeight="1">
      <c r="A17" s="92" t="s">
        <v>44</v>
      </c>
    </row>
    <row r="18" spans="1:1" ht="33" customHeight="1">
      <c r="A18" s="92" t="s">
        <v>45</v>
      </c>
    </row>
    <row r="19" spans="1:1" ht="33" customHeight="1">
      <c r="A19" s="92" t="s">
        <v>46</v>
      </c>
    </row>
    <row r="20" spans="1:1" ht="33" customHeight="1">
      <c r="A20" s="92" t="s">
        <v>47</v>
      </c>
    </row>
    <row r="21" spans="1:1" ht="33" customHeight="1">
      <c r="A21" s="92" t="s">
        <v>48</v>
      </c>
    </row>
    <row r="22" spans="1:1" s="61" customFormat="1" ht="33.75" customHeight="1">
      <c r="A22" s="336" t="s">
        <v>49</v>
      </c>
    </row>
    <row r="23" spans="1:1" ht="40.5" customHeight="1">
      <c r="A23" s="92" t="s">
        <v>50</v>
      </c>
    </row>
    <row r="26" spans="1:1">
      <c r="A26" s="24"/>
    </row>
    <row r="27" spans="1:1">
      <c r="A27" s="25"/>
    </row>
    <row r="28" spans="1:1">
      <c r="A28" s="25"/>
    </row>
    <row r="29" spans="1:1">
      <c r="A29" s="25"/>
    </row>
    <row r="30" spans="1:1">
      <c r="A30" s="25"/>
    </row>
    <row r="31" spans="1:1">
      <c r="A31" s="25"/>
    </row>
    <row r="32" spans="1:1">
      <c r="A32" s="25"/>
    </row>
    <row r="33" spans="1:1">
      <c r="A33" s="25"/>
    </row>
    <row r="34" spans="1:1">
      <c r="A34" s="25"/>
    </row>
    <row r="35" spans="1:1">
      <c r="A35" s="25"/>
    </row>
    <row r="36" spans="1:1">
      <c r="A36" s="25"/>
    </row>
    <row r="37" spans="1:1">
      <c r="A37" s="25"/>
    </row>
    <row r="38" spans="1:1">
      <c r="A38" s="25"/>
    </row>
    <row r="39" spans="1:1">
      <c r="A39" s="25"/>
    </row>
    <row r="40" spans="1:1">
      <c r="A40" s="25"/>
    </row>
  </sheetData>
  <phoneticPr fontId="43" type="noConversion"/>
  <hyperlinks>
    <hyperlink ref="A4" location="'Table 2'!A1" display="Table 2: People killed or seriously injured by mode from 2015 to 2023 - not used in the report" xr:uid="{E42B7637-921D-47F7-997A-8A514A71134F}"/>
    <hyperlink ref="A3" location="'Table 1'!A1" display="Table 1. Progress towards the Mayor’s Transport Strategy Killed or Seriously Injured casualty target for 2030 - Figure 1" xr:uid="{A82E51B6-F57C-4228-80D7-5446F90C8082}"/>
    <hyperlink ref="A6" location="'Table 4'!A1" display="Table 4. People killed or seriously injured on or by a bus in 2023 - Figure 3" xr:uid="{F02BDDF1-925F-4D14-B6F5-170EE6C1B260}"/>
    <hyperlink ref="A8" location="'Table 6'!A1" display="Table 6. People seriously injured by mode from 2015 to 2023 on London’s roads - Figure 5" xr:uid="{BBF74D39-F5EF-4BD1-8203-E76DC2F851F5}"/>
    <hyperlink ref="A10" location="'Table 8'!A1" display="Table 8. Casualties by mode of travel by severity in 2023 - Figure 6" xr:uid="{AE3CEC11-59A7-4BD6-8C38-6A07288A0CF6}"/>
    <hyperlink ref="A12" location="'Table 10'!A1" display="Table 10. Children killed or seriously injured by mode from 2015 to 2023 - not used in the report" xr:uid="{2D811499-DEFF-44BC-B79A-6F97734D5CD6}"/>
    <hyperlink ref="A14" location="'Table 12'!A1" display="Table 12. Casualties by borough, mode and severity" xr:uid="{6B350B56-A6E1-4960-866C-7E62E1ABE80E}"/>
    <hyperlink ref="A16" location="'Table 14'!A1" display="Table 14. Summary of Vehicles Involved in Collisions by borough in 2022, 2023 and the percentage difference" xr:uid="{9AAC9196-868D-4D3D-BDDC-24581A106886}"/>
    <hyperlink ref="A7" location="'Table 5'!A1" display="Table 5. People killed by mode from 2015 to 2023 on London’s roads " xr:uid="{A27132E3-3F0B-4C31-9AF0-A9328FCE7836}"/>
    <hyperlink ref="A9" location="'Table 7'!A1" display="Table 7. People slightly injured by mode from 2015 to 2023 on London’s roads - not used in the report" xr:uid="{07B7F18F-4D4B-4FA7-9E9A-7CC7FDC8CBC1}"/>
    <hyperlink ref="A11" location="'Table 9'!A1" display="Table 9. Total casualties by mode from 2015 to 2023 on London’s roads - Figure 7" xr:uid="{25596EAF-3918-4864-8390-CC80204ADEB9}"/>
    <hyperlink ref="A13" location="'Table 11'!A1" display="Table 11. Total number of people killed or seriously injured involved in each mode of transport, 2023 - not used in the report" xr:uid="{2C738F06-98BA-4676-ADEA-EB15FAE0C6D0}"/>
    <hyperlink ref="A15" location="'Table 13'!A1" display="Table 13. Summary of people killed or seriously injured by borough and year - Figure 8" xr:uid="{9DF34D6C-A5F7-49CC-9061-1DD605E8C7D8}"/>
    <hyperlink ref="A17" location="'Table 15'!A1" display="Table 15. People killed or seriously injured by Borough split by Highway Authority - not used in the report" xr:uid="{0BC6C1CE-A81F-40D2-B5A6-AC0F0C114617}"/>
    <hyperlink ref="A5" location="'Table 3'!A1" display="Table 3. Progress towards the Mayor’s Transport Strategy Bus Involved Fatality target for 2030 - Figure 2" xr:uid="{51ACF5D9-6644-4630-8DB9-8B9FA780127C}"/>
    <hyperlink ref="A23" r:id="rId1" display="Back to Road Casualties in Greater London 2024 Factsheet" xr:uid="{33835BAD-B107-40E7-8881-E3715B71775B}"/>
    <hyperlink ref="A21" location="'Table 19'!A1" display="Table 19. Levels of self-reporting of casualties from 2016 to 2024 - not used in the report" xr:uid="{116A8377-A0B9-4DC5-96D6-E312F668213A}"/>
    <hyperlink ref="A18" location="'Table 16'!A1" display="Table 16. Direct Vision Standard - 12 tonne vehicles involved in collisions injuring pedestrians, cyclists and motorcyclists - not used in the report" xr:uid="{B9D8FC02-CD50-4D69-9ABF-FE0E4013B550}"/>
    <hyperlink ref="A19" location="'Table 17'!A1" display="Table 17. People killed or seriously injured casualty rate (per 1,000 people) by year from 2017 – 2024 by deprivation level - not used in the report" xr:uid="{EF4E045D-A511-4404-B999-5E42EC337418}"/>
    <hyperlink ref="A20" location="'Table 18'!A1" display="Table 18. People killed or seriously injured casualty location rate (per km of road) by year from 2017 – 2024 by deprivation level - not used in the report" xr:uid="{28FF19D0-2240-435F-AB3B-4936C14F2F2E}"/>
    <hyperlink ref="A22" location="'Figures 7 and 8'!A1" display="Please note Figures 7 and 8 are located in separate data annexes" xr:uid="{E2D250AE-9A57-450C-A0C9-2F4F5011EF36}"/>
  </hyperlinks>
  <pageMargins left="0.7" right="0.7" top="0.75" bottom="0.75" header="0.3" footer="0.3"/>
  <pageSetup paperSize="9" orientation="portrait"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5B426-B6F5-42CD-B2A8-F8F937FD0E52}">
  <sheetPr codeName="Sheet3">
    <tabColor rgb="FF92D050"/>
    <pageSetUpPr fitToPage="1"/>
  </sheetPr>
  <dimension ref="A1:R46"/>
  <sheetViews>
    <sheetView showGridLines="0" zoomScaleNormal="100" workbookViewId="0"/>
  </sheetViews>
  <sheetFormatPr defaultRowHeight="21" customHeight="1"/>
  <cols>
    <col min="1" max="1" width="16.3046875" style="4" customWidth="1"/>
    <col min="2" max="2" width="30.3046875" style="4" bestFit="1" customWidth="1"/>
    <col min="3" max="3" width="13.84375" style="4" customWidth="1"/>
    <col min="4" max="4" width="20.53515625" style="4" bestFit="1" customWidth="1"/>
    <col min="5" max="5" width="21.07421875" style="4" bestFit="1" customWidth="1"/>
    <col min="6" max="6" width="12.4609375" style="11" customWidth="1"/>
    <col min="7" max="11" width="8.765625" style="4" customWidth="1"/>
    <col min="12" max="248" width="9.23046875" style="4" bestFit="1"/>
    <col min="249" max="249" width="22.23046875" style="4" bestFit="1" customWidth="1"/>
    <col min="250" max="250" width="8.23046875" style="4" customWidth="1"/>
    <col min="251" max="252" width="9.23046875" style="4" bestFit="1"/>
    <col min="253" max="253" width="10" style="4" customWidth="1"/>
    <col min="254" max="255" width="9.23046875" style="4" bestFit="1"/>
    <col min="256" max="256" width="8.23046875" style="4" customWidth="1"/>
    <col min="257" max="258" width="9.23046875" style="4" bestFit="1"/>
    <col min="259" max="259" width="7.765625" style="4" customWidth="1"/>
    <col min="260" max="262" width="9.23046875" style="4" bestFit="1"/>
    <col min="263" max="263" width="7.765625" style="4" customWidth="1"/>
    <col min="264" max="504" width="9.23046875" style="4" bestFit="1"/>
    <col min="505" max="505" width="22.23046875" style="4" bestFit="1" customWidth="1"/>
    <col min="506" max="506" width="8.23046875" style="4" customWidth="1"/>
    <col min="507" max="508" width="9.23046875" style="4" bestFit="1"/>
    <col min="509" max="509" width="10" style="4" customWidth="1"/>
    <col min="510" max="511" width="9.23046875" style="4" bestFit="1"/>
    <col min="512" max="512" width="8.23046875" style="4" customWidth="1"/>
    <col min="513" max="514" width="9.23046875" style="4" bestFit="1"/>
    <col min="515" max="515" width="7.765625" style="4" customWidth="1"/>
    <col min="516" max="518" width="9.23046875" style="4" bestFit="1"/>
    <col min="519" max="519" width="7.765625" style="4" customWidth="1"/>
    <col min="520" max="760" width="9.23046875" style="4" bestFit="1"/>
    <col min="761" max="761" width="22.23046875" style="4" bestFit="1" customWidth="1"/>
    <col min="762" max="762" width="8.23046875" style="4" customWidth="1"/>
    <col min="763" max="764" width="9.23046875" style="4" bestFit="1"/>
    <col min="765" max="765" width="10" style="4" customWidth="1"/>
    <col min="766" max="767" width="9.23046875" style="4" bestFit="1"/>
    <col min="768" max="768" width="8.23046875" style="4" customWidth="1"/>
    <col min="769" max="770" width="9.23046875" style="4" bestFit="1"/>
    <col min="771" max="771" width="7.765625" style="4" customWidth="1"/>
    <col min="772" max="774" width="9.23046875" style="4" bestFit="1"/>
    <col min="775" max="775" width="7.765625" style="4" customWidth="1"/>
    <col min="776" max="1016" width="9.23046875" style="4" bestFit="1"/>
    <col min="1017" max="1017" width="22.23046875" style="4" bestFit="1" customWidth="1"/>
    <col min="1018" max="1018" width="8.23046875" style="4" customWidth="1"/>
    <col min="1019" max="1020" width="9.23046875" style="4" bestFit="1"/>
    <col min="1021" max="1021" width="10" style="4" customWidth="1"/>
    <col min="1022" max="1023" width="9.23046875" style="4" bestFit="1"/>
    <col min="1024" max="1024" width="8.23046875" style="4" customWidth="1"/>
    <col min="1025" max="1026" width="9.23046875" style="4" bestFit="1"/>
    <col min="1027" max="1027" width="7.765625" style="4" customWidth="1"/>
    <col min="1028" max="1030" width="9.23046875" style="4" bestFit="1"/>
    <col min="1031" max="1031" width="7.765625" style="4" customWidth="1"/>
    <col min="1032" max="1272" width="9.23046875" style="4" bestFit="1"/>
    <col min="1273" max="1273" width="22.23046875" style="4" bestFit="1" customWidth="1"/>
    <col min="1274" max="1274" width="8.23046875" style="4" customWidth="1"/>
    <col min="1275" max="1276" width="9.23046875" style="4" bestFit="1"/>
    <col min="1277" max="1277" width="10" style="4" customWidth="1"/>
    <col min="1278" max="1279" width="9.23046875" style="4" bestFit="1"/>
    <col min="1280" max="1280" width="8.23046875" style="4" customWidth="1"/>
    <col min="1281" max="1282" width="9.23046875" style="4" bestFit="1"/>
    <col min="1283" max="1283" width="7.765625" style="4" customWidth="1"/>
    <col min="1284" max="1286" width="9.23046875" style="4" bestFit="1"/>
    <col min="1287" max="1287" width="7.765625" style="4" customWidth="1"/>
    <col min="1288" max="1528" width="9.23046875" style="4" bestFit="1"/>
    <col min="1529" max="1529" width="22.23046875" style="4" bestFit="1" customWidth="1"/>
    <col min="1530" max="1530" width="8.23046875" style="4" customWidth="1"/>
    <col min="1531" max="1532" width="9.23046875" style="4" bestFit="1"/>
    <col min="1533" max="1533" width="10" style="4" customWidth="1"/>
    <col min="1534" max="1535" width="9.23046875" style="4" bestFit="1"/>
    <col min="1536" max="1536" width="8.23046875" style="4" customWidth="1"/>
    <col min="1537" max="1538" width="9.23046875" style="4" bestFit="1"/>
    <col min="1539" max="1539" width="7.765625" style="4" customWidth="1"/>
    <col min="1540" max="1542" width="9.23046875" style="4" bestFit="1"/>
    <col min="1543" max="1543" width="7.765625" style="4" customWidth="1"/>
    <col min="1544" max="1784" width="9.23046875" style="4" bestFit="1"/>
    <col min="1785" max="1785" width="22.23046875" style="4" bestFit="1" customWidth="1"/>
    <col min="1786" max="1786" width="8.23046875" style="4" customWidth="1"/>
    <col min="1787" max="1788" width="9.23046875" style="4" bestFit="1"/>
    <col min="1789" max="1789" width="10" style="4" customWidth="1"/>
    <col min="1790" max="1791" width="9.23046875" style="4" bestFit="1"/>
    <col min="1792" max="1792" width="8.23046875" style="4" customWidth="1"/>
    <col min="1793" max="1794" width="9.23046875" style="4" bestFit="1"/>
    <col min="1795" max="1795" width="7.765625" style="4" customWidth="1"/>
    <col min="1796" max="1798" width="9.23046875" style="4" bestFit="1"/>
    <col min="1799" max="1799" width="7.765625" style="4" customWidth="1"/>
    <col min="1800" max="2040" width="9.23046875" style="4" bestFit="1"/>
    <col min="2041" max="2041" width="22.23046875" style="4" bestFit="1" customWidth="1"/>
    <col min="2042" max="2042" width="8.23046875" style="4" customWidth="1"/>
    <col min="2043" max="2044" width="9.23046875" style="4" bestFit="1"/>
    <col min="2045" max="2045" width="10" style="4" customWidth="1"/>
    <col min="2046" max="2047" width="9.23046875" style="4" bestFit="1"/>
    <col min="2048" max="2048" width="8.23046875" style="4" customWidth="1"/>
    <col min="2049" max="2050" width="9.23046875" style="4" bestFit="1"/>
    <col min="2051" max="2051" width="7.765625" style="4" customWidth="1"/>
    <col min="2052" max="2054" width="9.23046875" style="4" bestFit="1"/>
    <col min="2055" max="2055" width="7.765625" style="4" customWidth="1"/>
    <col min="2056" max="2296" width="9.23046875" style="4" bestFit="1"/>
    <col min="2297" max="2297" width="22.23046875" style="4" bestFit="1" customWidth="1"/>
    <col min="2298" max="2298" width="8.23046875" style="4" customWidth="1"/>
    <col min="2299" max="2300" width="9.23046875" style="4" bestFit="1"/>
    <col min="2301" max="2301" width="10" style="4" customWidth="1"/>
    <col min="2302" max="2303" width="9.23046875" style="4" bestFit="1"/>
    <col min="2304" max="2304" width="8.23046875" style="4" customWidth="1"/>
    <col min="2305" max="2306" width="9.23046875" style="4" bestFit="1"/>
    <col min="2307" max="2307" width="7.765625" style="4" customWidth="1"/>
    <col min="2308" max="2310" width="9.23046875" style="4" bestFit="1"/>
    <col min="2311" max="2311" width="7.765625" style="4" customWidth="1"/>
    <col min="2312" max="2552" width="9.23046875" style="4" bestFit="1"/>
    <col min="2553" max="2553" width="22.23046875" style="4" bestFit="1" customWidth="1"/>
    <col min="2554" max="2554" width="8.23046875" style="4" customWidth="1"/>
    <col min="2555" max="2556" width="9.23046875" style="4" bestFit="1"/>
    <col min="2557" max="2557" width="10" style="4" customWidth="1"/>
    <col min="2558" max="2559" width="9.23046875" style="4" bestFit="1"/>
    <col min="2560" max="2560" width="8.23046875" style="4" customWidth="1"/>
    <col min="2561" max="2562" width="9.23046875" style="4" bestFit="1"/>
    <col min="2563" max="2563" width="7.765625" style="4" customWidth="1"/>
    <col min="2564" max="2566" width="9.23046875" style="4" bestFit="1"/>
    <col min="2567" max="2567" width="7.765625" style="4" customWidth="1"/>
    <col min="2568" max="2808" width="9.23046875" style="4" bestFit="1"/>
    <col min="2809" max="2809" width="22.23046875" style="4" bestFit="1" customWidth="1"/>
    <col min="2810" max="2810" width="8.23046875" style="4" customWidth="1"/>
    <col min="2811" max="2812" width="9.23046875" style="4" bestFit="1"/>
    <col min="2813" max="2813" width="10" style="4" customWidth="1"/>
    <col min="2814" max="2815" width="9.23046875" style="4" bestFit="1"/>
    <col min="2816" max="2816" width="8.23046875" style="4" customWidth="1"/>
    <col min="2817" max="2818" width="9.23046875" style="4" bestFit="1"/>
    <col min="2819" max="2819" width="7.765625" style="4" customWidth="1"/>
    <col min="2820" max="2822" width="9.23046875" style="4" bestFit="1"/>
    <col min="2823" max="2823" width="7.765625" style="4" customWidth="1"/>
    <col min="2824" max="3064" width="9.23046875" style="4" bestFit="1"/>
    <col min="3065" max="3065" width="22.23046875" style="4" bestFit="1" customWidth="1"/>
    <col min="3066" max="3066" width="8.23046875" style="4" customWidth="1"/>
    <col min="3067" max="3068" width="9.23046875" style="4" bestFit="1"/>
    <col min="3069" max="3069" width="10" style="4" customWidth="1"/>
    <col min="3070" max="3071" width="9.23046875" style="4" bestFit="1"/>
    <col min="3072" max="3072" width="8.23046875" style="4" customWidth="1"/>
    <col min="3073" max="3074" width="9.23046875" style="4" bestFit="1"/>
    <col min="3075" max="3075" width="7.765625" style="4" customWidth="1"/>
    <col min="3076" max="3078" width="9.23046875" style="4" bestFit="1"/>
    <col min="3079" max="3079" width="7.765625" style="4" customWidth="1"/>
    <col min="3080" max="3320" width="9.23046875" style="4" bestFit="1"/>
    <col min="3321" max="3321" width="22.23046875" style="4" bestFit="1" customWidth="1"/>
    <col min="3322" max="3322" width="8.23046875" style="4" customWidth="1"/>
    <col min="3323" max="3324" width="9.23046875" style="4" bestFit="1"/>
    <col min="3325" max="3325" width="10" style="4" customWidth="1"/>
    <col min="3326" max="3327" width="9.23046875" style="4" bestFit="1"/>
    <col min="3328" max="3328" width="8.23046875" style="4" customWidth="1"/>
    <col min="3329" max="3330" width="9.23046875" style="4" bestFit="1"/>
    <col min="3331" max="3331" width="7.765625" style="4" customWidth="1"/>
    <col min="3332" max="3334" width="9.23046875" style="4" bestFit="1"/>
    <col min="3335" max="3335" width="7.765625" style="4" customWidth="1"/>
    <col min="3336" max="3576" width="9.23046875" style="4" bestFit="1"/>
    <col min="3577" max="3577" width="22.23046875" style="4" bestFit="1" customWidth="1"/>
    <col min="3578" max="3578" width="8.23046875" style="4" customWidth="1"/>
    <col min="3579" max="3580" width="9.23046875" style="4" bestFit="1"/>
    <col min="3581" max="3581" width="10" style="4" customWidth="1"/>
    <col min="3582" max="3583" width="9.23046875" style="4" bestFit="1"/>
    <col min="3584" max="3584" width="8.23046875" style="4" customWidth="1"/>
    <col min="3585" max="3586" width="9.23046875" style="4" bestFit="1"/>
    <col min="3587" max="3587" width="7.765625" style="4" customWidth="1"/>
    <col min="3588" max="3590" width="9.23046875" style="4" bestFit="1"/>
    <col min="3591" max="3591" width="7.765625" style="4" customWidth="1"/>
    <col min="3592" max="3832" width="9.23046875" style="4" bestFit="1"/>
    <col min="3833" max="3833" width="22.23046875" style="4" bestFit="1" customWidth="1"/>
    <col min="3834" max="3834" width="8.23046875" style="4" customWidth="1"/>
    <col min="3835" max="3836" width="9.23046875" style="4" bestFit="1"/>
    <col min="3837" max="3837" width="10" style="4" customWidth="1"/>
    <col min="3838" max="3839" width="9.23046875" style="4" bestFit="1"/>
    <col min="3840" max="3840" width="8.23046875" style="4" customWidth="1"/>
    <col min="3841" max="3842" width="9.23046875" style="4" bestFit="1"/>
    <col min="3843" max="3843" width="7.765625" style="4" customWidth="1"/>
    <col min="3844" max="3846" width="9.23046875" style="4" bestFit="1"/>
    <col min="3847" max="3847" width="7.765625" style="4" customWidth="1"/>
    <col min="3848" max="4088" width="9.23046875" style="4" bestFit="1"/>
    <col min="4089" max="4089" width="22.23046875" style="4" bestFit="1" customWidth="1"/>
    <col min="4090" max="4090" width="8.23046875" style="4" customWidth="1"/>
    <col min="4091" max="4092" width="9.23046875" style="4" bestFit="1"/>
    <col min="4093" max="4093" width="10" style="4" customWidth="1"/>
    <col min="4094" max="4095" width="9.23046875" style="4" bestFit="1"/>
    <col min="4096" max="4096" width="8.23046875" style="4" customWidth="1"/>
    <col min="4097" max="4098" width="9.23046875" style="4" bestFit="1"/>
    <col min="4099" max="4099" width="7.765625" style="4" customWidth="1"/>
    <col min="4100" max="4102" width="9.23046875" style="4" bestFit="1"/>
    <col min="4103" max="4103" width="7.765625" style="4" customWidth="1"/>
    <col min="4104" max="4344" width="9.23046875" style="4" bestFit="1"/>
    <col min="4345" max="4345" width="22.23046875" style="4" bestFit="1" customWidth="1"/>
    <col min="4346" max="4346" width="8.23046875" style="4" customWidth="1"/>
    <col min="4347" max="4348" width="9.23046875" style="4" bestFit="1"/>
    <col min="4349" max="4349" width="10" style="4" customWidth="1"/>
    <col min="4350" max="4351" width="9.23046875" style="4" bestFit="1"/>
    <col min="4352" max="4352" width="8.23046875" style="4" customWidth="1"/>
    <col min="4353" max="4354" width="9.23046875" style="4" bestFit="1"/>
    <col min="4355" max="4355" width="7.765625" style="4" customWidth="1"/>
    <col min="4356" max="4358" width="9.23046875" style="4" bestFit="1"/>
    <col min="4359" max="4359" width="7.765625" style="4" customWidth="1"/>
    <col min="4360" max="4600" width="9.23046875" style="4" bestFit="1"/>
    <col min="4601" max="4601" width="22.23046875" style="4" bestFit="1" customWidth="1"/>
    <col min="4602" max="4602" width="8.23046875" style="4" customWidth="1"/>
    <col min="4603" max="4604" width="9.23046875" style="4" bestFit="1"/>
    <col min="4605" max="4605" width="10" style="4" customWidth="1"/>
    <col min="4606" max="4607" width="9.23046875" style="4" bestFit="1"/>
    <col min="4608" max="4608" width="8.23046875" style="4" customWidth="1"/>
    <col min="4609" max="4610" width="9.23046875" style="4" bestFit="1"/>
    <col min="4611" max="4611" width="7.765625" style="4" customWidth="1"/>
    <col min="4612" max="4614" width="9.23046875" style="4" bestFit="1"/>
    <col min="4615" max="4615" width="7.765625" style="4" customWidth="1"/>
    <col min="4616" max="4856" width="9.23046875" style="4" bestFit="1"/>
    <col min="4857" max="4857" width="22.23046875" style="4" bestFit="1" customWidth="1"/>
    <col min="4858" max="4858" width="8.23046875" style="4" customWidth="1"/>
    <col min="4859" max="4860" width="9.23046875" style="4" bestFit="1"/>
    <col min="4861" max="4861" width="10" style="4" customWidth="1"/>
    <col min="4862" max="4863" width="9.23046875" style="4" bestFit="1"/>
    <col min="4864" max="4864" width="8.23046875" style="4" customWidth="1"/>
    <col min="4865" max="4866" width="9.23046875" style="4" bestFit="1"/>
    <col min="4867" max="4867" width="7.765625" style="4" customWidth="1"/>
    <col min="4868" max="4870" width="9.23046875" style="4" bestFit="1"/>
    <col min="4871" max="4871" width="7.765625" style="4" customWidth="1"/>
    <col min="4872" max="5112" width="9.23046875" style="4" bestFit="1"/>
    <col min="5113" max="5113" width="22.23046875" style="4" bestFit="1" customWidth="1"/>
    <col min="5114" max="5114" width="8.23046875" style="4" customWidth="1"/>
    <col min="5115" max="5116" width="9.23046875" style="4" bestFit="1"/>
    <col min="5117" max="5117" width="10" style="4" customWidth="1"/>
    <col min="5118" max="5119" width="9.23046875" style="4" bestFit="1"/>
    <col min="5120" max="5120" width="8.23046875" style="4" customWidth="1"/>
    <col min="5121" max="5122" width="9.23046875" style="4" bestFit="1"/>
    <col min="5123" max="5123" width="7.765625" style="4" customWidth="1"/>
    <col min="5124" max="5126" width="9.23046875" style="4" bestFit="1"/>
    <col min="5127" max="5127" width="7.765625" style="4" customWidth="1"/>
    <col min="5128" max="5368" width="9.23046875" style="4" bestFit="1"/>
    <col min="5369" max="5369" width="22.23046875" style="4" bestFit="1" customWidth="1"/>
    <col min="5370" max="5370" width="8.23046875" style="4" customWidth="1"/>
    <col min="5371" max="5372" width="9.23046875" style="4" bestFit="1"/>
    <col min="5373" max="5373" width="10" style="4" customWidth="1"/>
    <col min="5374" max="5375" width="9.23046875" style="4" bestFit="1"/>
    <col min="5376" max="5376" width="8.23046875" style="4" customWidth="1"/>
    <col min="5377" max="5378" width="9.23046875" style="4" bestFit="1"/>
    <col min="5379" max="5379" width="7.765625" style="4" customWidth="1"/>
    <col min="5380" max="5382" width="9.23046875" style="4" bestFit="1"/>
    <col min="5383" max="5383" width="7.765625" style="4" customWidth="1"/>
    <col min="5384" max="5624" width="9.23046875" style="4" bestFit="1"/>
    <col min="5625" max="5625" width="22.23046875" style="4" bestFit="1" customWidth="1"/>
    <col min="5626" max="5626" width="8.23046875" style="4" customWidth="1"/>
    <col min="5627" max="5628" width="9.23046875" style="4" bestFit="1"/>
    <col min="5629" max="5629" width="10" style="4" customWidth="1"/>
    <col min="5630" max="5631" width="9.23046875" style="4" bestFit="1"/>
    <col min="5632" max="5632" width="8.23046875" style="4" customWidth="1"/>
    <col min="5633" max="5634" width="9.23046875" style="4" bestFit="1"/>
    <col min="5635" max="5635" width="7.765625" style="4" customWidth="1"/>
    <col min="5636" max="5638" width="9.23046875" style="4" bestFit="1"/>
    <col min="5639" max="5639" width="7.765625" style="4" customWidth="1"/>
    <col min="5640" max="5880" width="9.23046875" style="4" bestFit="1"/>
    <col min="5881" max="5881" width="22.23046875" style="4" bestFit="1" customWidth="1"/>
    <col min="5882" max="5882" width="8.23046875" style="4" customWidth="1"/>
    <col min="5883" max="5884" width="9.23046875" style="4" bestFit="1"/>
    <col min="5885" max="5885" width="10" style="4" customWidth="1"/>
    <col min="5886" max="5887" width="9.23046875" style="4" bestFit="1"/>
    <col min="5888" max="5888" width="8.23046875" style="4" customWidth="1"/>
    <col min="5889" max="5890" width="9.23046875" style="4" bestFit="1"/>
    <col min="5891" max="5891" width="7.765625" style="4" customWidth="1"/>
    <col min="5892" max="5894" width="9.23046875" style="4" bestFit="1"/>
    <col min="5895" max="5895" width="7.765625" style="4" customWidth="1"/>
    <col min="5896" max="6136" width="9.23046875" style="4" bestFit="1"/>
    <col min="6137" max="6137" width="22.23046875" style="4" bestFit="1" customWidth="1"/>
    <col min="6138" max="6138" width="8.23046875" style="4" customWidth="1"/>
    <col min="6139" max="6140" width="9.23046875" style="4" bestFit="1"/>
    <col min="6141" max="6141" width="10" style="4" customWidth="1"/>
    <col min="6142" max="6143" width="9.23046875" style="4" bestFit="1"/>
    <col min="6144" max="6144" width="8.23046875" style="4" customWidth="1"/>
    <col min="6145" max="6146" width="9.23046875" style="4" bestFit="1"/>
    <col min="6147" max="6147" width="7.765625" style="4" customWidth="1"/>
    <col min="6148" max="6150" width="9.23046875" style="4" bestFit="1"/>
    <col min="6151" max="6151" width="7.765625" style="4" customWidth="1"/>
    <col min="6152" max="6392" width="9.23046875" style="4" bestFit="1"/>
    <col min="6393" max="6393" width="22.23046875" style="4" bestFit="1" customWidth="1"/>
    <col min="6394" max="6394" width="8.23046875" style="4" customWidth="1"/>
    <col min="6395" max="6396" width="9.23046875" style="4" bestFit="1"/>
    <col min="6397" max="6397" width="10" style="4" customWidth="1"/>
    <col min="6398" max="6399" width="9.23046875" style="4" bestFit="1"/>
    <col min="6400" max="6400" width="8.23046875" style="4" customWidth="1"/>
    <col min="6401" max="6402" width="9.23046875" style="4" bestFit="1"/>
    <col min="6403" max="6403" width="7.765625" style="4" customWidth="1"/>
    <col min="6404" max="6406" width="9.23046875" style="4" bestFit="1"/>
    <col min="6407" max="6407" width="7.765625" style="4" customWidth="1"/>
    <col min="6408" max="6648" width="9.23046875" style="4" bestFit="1"/>
    <col min="6649" max="6649" width="22.23046875" style="4" bestFit="1" customWidth="1"/>
    <col min="6650" max="6650" width="8.23046875" style="4" customWidth="1"/>
    <col min="6651" max="6652" width="9.23046875" style="4" bestFit="1"/>
    <col min="6653" max="6653" width="10" style="4" customWidth="1"/>
    <col min="6654" max="6655" width="9.23046875" style="4" bestFit="1"/>
    <col min="6656" max="6656" width="8.23046875" style="4" customWidth="1"/>
    <col min="6657" max="6658" width="9.23046875" style="4" bestFit="1"/>
    <col min="6659" max="6659" width="7.765625" style="4" customWidth="1"/>
    <col min="6660" max="6662" width="9.23046875" style="4" bestFit="1"/>
    <col min="6663" max="6663" width="7.765625" style="4" customWidth="1"/>
    <col min="6664" max="6904" width="9.23046875" style="4" bestFit="1"/>
    <col min="6905" max="6905" width="22.23046875" style="4" bestFit="1" customWidth="1"/>
    <col min="6906" max="6906" width="8.23046875" style="4" customWidth="1"/>
    <col min="6907" max="6908" width="9.23046875" style="4" bestFit="1"/>
    <col min="6909" max="6909" width="10" style="4" customWidth="1"/>
    <col min="6910" max="6911" width="9.23046875" style="4" bestFit="1"/>
    <col min="6912" max="6912" width="8.23046875" style="4" customWidth="1"/>
    <col min="6913" max="6914" width="9.23046875" style="4" bestFit="1"/>
    <col min="6915" max="6915" width="7.765625" style="4" customWidth="1"/>
    <col min="6916" max="6918" width="9.23046875" style="4" bestFit="1"/>
    <col min="6919" max="6919" width="7.765625" style="4" customWidth="1"/>
    <col min="6920" max="7160" width="9.23046875" style="4" bestFit="1"/>
    <col min="7161" max="7161" width="22.23046875" style="4" bestFit="1" customWidth="1"/>
    <col min="7162" max="7162" width="8.23046875" style="4" customWidth="1"/>
    <col min="7163" max="7164" width="9.23046875" style="4" bestFit="1"/>
    <col min="7165" max="7165" width="10" style="4" customWidth="1"/>
    <col min="7166" max="7167" width="9.23046875" style="4" bestFit="1"/>
    <col min="7168" max="7168" width="8.23046875" style="4" customWidth="1"/>
    <col min="7169" max="7170" width="9.23046875" style="4" bestFit="1"/>
    <col min="7171" max="7171" width="7.765625" style="4" customWidth="1"/>
    <col min="7172" max="7174" width="9.23046875" style="4" bestFit="1"/>
    <col min="7175" max="7175" width="7.765625" style="4" customWidth="1"/>
    <col min="7176" max="7416" width="9.23046875" style="4" bestFit="1"/>
    <col min="7417" max="7417" width="22.23046875" style="4" bestFit="1" customWidth="1"/>
    <col min="7418" max="7418" width="8.23046875" style="4" customWidth="1"/>
    <col min="7419" max="7420" width="9.23046875" style="4" bestFit="1"/>
    <col min="7421" max="7421" width="10" style="4" customWidth="1"/>
    <col min="7422" max="7423" width="9.23046875" style="4" bestFit="1"/>
    <col min="7424" max="7424" width="8.23046875" style="4" customWidth="1"/>
    <col min="7425" max="7426" width="9.23046875" style="4" bestFit="1"/>
    <col min="7427" max="7427" width="7.765625" style="4" customWidth="1"/>
    <col min="7428" max="7430" width="9.23046875" style="4" bestFit="1"/>
    <col min="7431" max="7431" width="7.765625" style="4" customWidth="1"/>
    <col min="7432" max="7672" width="9.23046875" style="4" bestFit="1"/>
    <col min="7673" max="7673" width="22.23046875" style="4" bestFit="1" customWidth="1"/>
    <col min="7674" max="7674" width="8.23046875" style="4" customWidth="1"/>
    <col min="7675" max="7676" width="9.23046875" style="4" bestFit="1"/>
    <col min="7677" max="7677" width="10" style="4" customWidth="1"/>
    <col min="7678" max="7679" width="9.23046875" style="4" bestFit="1"/>
    <col min="7680" max="7680" width="8.23046875" style="4" customWidth="1"/>
    <col min="7681" max="7682" width="9.23046875" style="4" bestFit="1"/>
    <col min="7683" max="7683" width="7.765625" style="4" customWidth="1"/>
    <col min="7684" max="7686" width="9.23046875" style="4" bestFit="1"/>
    <col min="7687" max="7687" width="7.765625" style="4" customWidth="1"/>
    <col min="7688" max="7928" width="9.23046875" style="4" bestFit="1"/>
    <col min="7929" max="7929" width="22.23046875" style="4" bestFit="1" customWidth="1"/>
    <col min="7930" max="7930" width="8.23046875" style="4" customWidth="1"/>
    <col min="7931" max="7932" width="9.23046875" style="4" bestFit="1"/>
    <col min="7933" max="7933" width="10" style="4" customWidth="1"/>
    <col min="7934" max="7935" width="9.23046875" style="4" bestFit="1"/>
    <col min="7936" max="7936" width="8.23046875" style="4" customWidth="1"/>
    <col min="7937" max="7938" width="9.23046875" style="4" bestFit="1"/>
    <col min="7939" max="7939" width="7.765625" style="4" customWidth="1"/>
    <col min="7940" max="7942" width="9.23046875" style="4" bestFit="1"/>
    <col min="7943" max="7943" width="7.765625" style="4" customWidth="1"/>
    <col min="7944" max="8184" width="9.23046875" style="4" bestFit="1"/>
    <col min="8185" max="8185" width="22.23046875" style="4" bestFit="1" customWidth="1"/>
    <col min="8186" max="8186" width="8.23046875" style="4" customWidth="1"/>
    <col min="8187" max="8188" width="9.23046875" style="4" bestFit="1"/>
    <col min="8189" max="8189" width="10" style="4" customWidth="1"/>
    <col min="8190" max="8191" width="9.23046875" style="4" bestFit="1"/>
    <col min="8192" max="8192" width="8.23046875" style="4" customWidth="1"/>
    <col min="8193" max="8194" width="9.23046875" style="4" bestFit="1"/>
    <col min="8195" max="8195" width="7.765625" style="4" customWidth="1"/>
    <col min="8196" max="8198" width="9.23046875" style="4" bestFit="1"/>
    <col min="8199" max="8199" width="7.765625" style="4" customWidth="1"/>
    <col min="8200" max="8440" width="9.23046875" style="4" bestFit="1"/>
    <col min="8441" max="8441" width="22.23046875" style="4" bestFit="1" customWidth="1"/>
    <col min="8442" max="8442" width="8.23046875" style="4" customWidth="1"/>
    <col min="8443" max="8444" width="9.23046875" style="4" bestFit="1"/>
    <col min="8445" max="8445" width="10" style="4" customWidth="1"/>
    <col min="8446" max="8447" width="9.23046875" style="4" bestFit="1"/>
    <col min="8448" max="8448" width="8.23046875" style="4" customWidth="1"/>
    <col min="8449" max="8450" width="9.23046875" style="4" bestFit="1"/>
    <col min="8451" max="8451" width="7.765625" style="4" customWidth="1"/>
    <col min="8452" max="8454" width="9.23046875" style="4" bestFit="1"/>
    <col min="8455" max="8455" width="7.765625" style="4" customWidth="1"/>
    <col min="8456" max="8696" width="9.23046875" style="4" bestFit="1"/>
    <col min="8697" max="8697" width="22.23046875" style="4" bestFit="1" customWidth="1"/>
    <col min="8698" max="8698" width="8.23046875" style="4" customWidth="1"/>
    <col min="8699" max="8700" width="9.23046875" style="4" bestFit="1"/>
    <col min="8701" max="8701" width="10" style="4" customWidth="1"/>
    <col min="8702" max="8703" width="9.23046875" style="4" bestFit="1"/>
    <col min="8704" max="8704" width="8.23046875" style="4" customWidth="1"/>
    <col min="8705" max="8706" width="9.23046875" style="4" bestFit="1"/>
    <col min="8707" max="8707" width="7.765625" style="4" customWidth="1"/>
    <col min="8708" max="8710" width="9.23046875" style="4" bestFit="1"/>
    <col min="8711" max="8711" width="7.765625" style="4" customWidth="1"/>
    <col min="8712" max="8952" width="9.23046875" style="4" bestFit="1"/>
    <col min="8953" max="8953" width="22.23046875" style="4" bestFit="1" customWidth="1"/>
    <col min="8954" max="8954" width="8.23046875" style="4" customWidth="1"/>
    <col min="8955" max="8956" width="9.23046875" style="4" bestFit="1"/>
    <col min="8957" max="8957" width="10" style="4" customWidth="1"/>
    <col min="8958" max="8959" width="9.23046875" style="4" bestFit="1"/>
    <col min="8960" max="8960" width="8.23046875" style="4" customWidth="1"/>
    <col min="8961" max="8962" width="9.23046875" style="4" bestFit="1"/>
    <col min="8963" max="8963" width="7.765625" style="4" customWidth="1"/>
    <col min="8964" max="8966" width="9.23046875" style="4" bestFit="1"/>
    <col min="8967" max="8967" width="7.765625" style="4" customWidth="1"/>
    <col min="8968" max="9208" width="9.23046875" style="4" bestFit="1"/>
    <col min="9209" max="9209" width="22.23046875" style="4" bestFit="1" customWidth="1"/>
    <col min="9210" max="9210" width="8.23046875" style="4" customWidth="1"/>
    <col min="9211" max="9212" width="9.23046875" style="4" bestFit="1"/>
    <col min="9213" max="9213" width="10" style="4" customWidth="1"/>
    <col min="9214" max="9215" width="9.23046875" style="4" bestFit="1"/>
    <col min="9216" max="9216" width="8.23046875" style="4" customWidth="1"/>
    <col min="9217" max="9218" width="9.23046875" style="4" bestFit="1"/>
    <col min="9219" max="9219" width="7.765625" style="4" customWidth="1"/>
    <col min="9220" max="9222" width="9.23046875" style="4" bestFit="1"/>
    <col min="9223" max="9223" width="7.765625" style="4" customWidth="1"/>
    <col min="9224" max="9464" width="9.23046875" style="4" bestFit="1"/>
    <col min="9465" max="9465" width="22.23046875" style="4" bestFit="1" customWidth="1"/>
    <col min="9466" max="9466" width="8.23046875" style="4" customWidth="1"/>
    <col min="9467" max="9468" width="9.23046875" style="4" bestFit="1"/>
    <col min="9469" max="9469" width="10" style="4" customWidth="1"/>
    <col min="9470" max="9471" width="9.23046875" style="4" bestFit="1"/>
    <col min="9472" max="9472" width="8.23046875" style="4" customWidth="1"/>
    <col min="9473" max="9474" width="9.23046875" style="4" bestFit="1"/>
    <col min="9475" max="9475" width="7.765625" style="4" customWidth="1"/>
    <col min="9476" max="9478" width="9.23046875" style="4" bestFit="1"/>
    <col min="9479" max="9479" width="7.765625" style="4" customWidth="1"/>
    <col min="9480" max="9720" width="9.23046875" style="4" bestFit="1"/>
    <col min="9721" max="9721" width="22.23046875" style="4" bestFit="1" customWidth="1"/>
    <col min="9722" max="9722" width="8.23046875" style="4" customWidth="1"/>
    <col min="9723" max="9724" width="9.23046875" style="4" bestFit="1"/>
    <col min="9725" max="9725" width="10" style="4" customWidth="1"/>
    <col min="9726" max="9727" width="9.23046875" style="4" bestFit="1"/>
    <col min="9728" max="9728" width="8.23046875" style="4" customWidth="1"/>
    <col min="9729" max="9730" width="9.23046875" style="4" bestFit="1"/>
    <col min="9731" max="9731" width="7.765625" style="4" customWidth="1"/>
    <col min="9732" max="9734" width="9.23046875" style="4" bestFit="1"/>
    <col min="9735" max="9735" width="7.765625" style="4" customWidth="1"/>
    <col min="9736" max="9976" width="9.23046875" style="4" bestFit="1"/>
    <col min="9977" max="9977" width="22.23046875" style="4" bestFit="1" customWidth="1"/>
    <col min="9978" max="9978" width="8.23046875" style="4" customWidth="1"/>
    <col min="9979" max="9980" width="9.23046875" style="4" bestFit="1"/>
    <col min="9981" max="9981" width="10" style="4" customWidth="1"/>
    <col min="9982" max="9983" width="9.23046875" style="4" bestFit="1"/>
    <col min="9984" max="9984" width="8.23046875" style="4" customWidth="1"/>
    <col min="9985" max="9986" width="9.23046875" style="4" bestFit="1"/>
    <col min="9987" max="9987" width="7.765625" style="4" customWidth="1"/>
    <col min="9988" max="9990" width="9.23046875" style="4" bestFit="1"/>
    <col min="9991" max="9991" width="7.765625" style="4" customWidth="1"/>
    <col min="9992" max="10232" width="9.23046875" style="4" bestFit="1"/>
    <col min="10233" max="10233" width="22.23046875" style="4" bestFit="1" customWidth="1"/>
    <col min="10234" max="10234" width="8.23046875" style="4" customWidth="1"/>
    <col min="10235" max="10236" width="9.23046875" style="4" bestFit="1"/>
    <col min="10237" max="10237" width="10" style="4" customWidth="1"/>
    <col min="10238" max="10239" width="9.23046875" style="4" bestFit="1"/>
    <col min="10240" max="10240" width="8.23046875" style="4" customWidth="1"/>
    <col min="10241" max="10242" width="9.23046875" style="4" bestFit="1"/>
    <col min="10243" max="10243" width="7.765625" style="4" customWidth="1"/>
    <col min="10244" max="10246" width="9.23046875" style="4" bestFit="1"/>
    <col min="10247" max="10247" width="7.765625" style="4" customWidth="1"/>
    <col min="10248" max="10488" width="9.23046875" style="4" bestFit="1"/>
    <col min="10489" max="10489" width="22.23046875" style="4" bestFit="1" customWidth="1"/>
    <col min="10490" max="10490" width="8.23046875" style="4" customWidth="1"/>
    <col min="10491" max="10492" width="9.23046875" style="4" bestFit="1"/>
    <col min="10493" max="10493" width="10" style="4" customWidth="1"/>
    <col min="10494" max="10495" width="9.23046875" style="4" bestFit="1"/>
    <col min="10496" max="10496" width="8.23046875" style="4" customWidth="1"/>
    <col min="10497" max="10498" width="9.23046875" style="4" bestFit="1"/>
    <col min="10499" max="10499" width="7.765625" style="4" customWidth="1"/>
    <col min="10500" max="10502" width="9.23046875" style="4" bestFit="1"/>
    <col min="10503" max="10503" width="7.765625" style="4" customWidth="1"/>
    <col min="10504" max="10744" width="9.23046875" style="4" bestFit="1"/>
    <col min="10745" max="10745" width="22.23046875" style="4" bestFit="1" customWidth="1"/>
    <col min="10746" max="10746" width="8.23046875" style="4" customWidth="1"/>
    <col min="10747" max="10748" width="9.23046875" style="4" bestFit="1"/>
    <col min="10749" max="10749" width="10" style="4" customWidth="1"/>
    <col min="10750" max="10751" width="9.23046875" style="4" bestFit="1"/>
    <col min="10752" max="10752" width="8.23046875" style="4" customWidth="1"/>
    <col min="10753" max="10754" width="9.23046875" style="4" bestFit="1"/>
    <col min="10755" max="10755" width="7.765625" style="4" customWidth="1"/>
    <col min="10756" max="10758" width="9.23046875" style="4" bestFit="1"/>
    <col min="10759" max="10759" width="7.765625" style="4" customWidth="1"/>
    <col min="10760" max="11000" width="9.23046875" style="4" bestFit="1"/>
    <col min="11001" max="11001" width="22.23046875" style="4" bestFit="1" customWidth="1"/>
    <col min="11002" max="11002" width="8.23046875" style="4" customWidth="1"/>
    <col min="11003" max="11004" width="9.23046875" style="4" bestFit="1"/>
    <col min="11005" max="11005" width="10" style="4" customWidth="1"/>
    <col min="11006" max="11007" width="9.23046875" style="4" bestFit="1"/>
    <col min="11008" max="11008" width="8.23046875" style="4" customWidth="1"/>
    <col min="11009" max="11010" width="9.23046875" style="4" bestFit="1"/>
    <col min="11011" max="11011" width="7.765625" style="4" customWidth="1"/>
    <col min="11012" max="11014" width="9.23046875" style="4" bestFit="1"/>
    <col min="11015" max="11015" width="7.765625" style="4" customWidth="1"/>
    <col min="11016" max="11256" width="9.23046875" style="4" bestFit="1"/>
    <col min="11257" max="11257" width="22.23046875" style="4" bestFit="1" customWidth="1"/>
    <col min="11258" max="11258" width="8.23046875" style="4" customWidth="1"/>
    <col min="11259" max="11260" width="9.23046875" style="4" bestFit="1"/>
    <col min="11261" max="11261" width="10" style="4" customWidth="1"/>
    <col min="11262" max="11263" width="9.23046875" style="4" bestFit="1"/>
    <col min="11264" max="11264" width="8.23046875" style="4" customWidth="1"/>
    <col min="11265" max="11266" width="9.23046875" style="4" bestFit="1"/>
    <col min="11267" max="11267" width="7.765625" style="4" customWidth="1"/>
    <col min="11268" max="11270" width="9.23046875" style="4" bestFit="1"/>
    <col min="11271" max="11271" width="7.765625" style="4" customWidth="1"/>
    <col min="11272" max="11512" width="9.23046875" style="4" bestFit="1"/>
    <col min="11513" max="11513" width="22.23046875" style="4" bestFit="1" customWidth="1"/>
    <col min="11514" max="11514" width="8.23046875" style="4" customWidth="1"/>
    <col min="11515" max="11516" width="9.23046875" style="4" bestFit="1"/>
    <col min="11517" max="11517" width="10" style="4" customWidth="1"/>
    <col min="11518" max="11519" width="9.23046875" style="4" bestFit="1"/>
    <col min="11520" max="11520" width="8.23046875" style="4" customWidth="1"/>
    <col min="11521" max="11522" width="9.23046875" style="4" bestFit="1"/>
    <col min="11523" max="11523" width="7.765625" style="4" customWidth="1"/>
    <col min="11524" max="11526" width="9.23046875" style="4" bestFit="1"/>
    <col min="11527" max="11527" width="7.765625" style="4" customWidth="1"/>
    <col min="11528" max="11768" width="9.23046875" style="4" bestFit="1"/>
    <col min="11769" max="11769" width="22.23046875" style="4" bestFit="1" customWidth="1"/>
    <col min="11770" max="11770" width="8.23046875" style="4" customWidth="1"/>
    <col min="11771" max="11772" width="9.23046875" style="4" bestFit="1"/>
    <col min="11773" max="11773" width="10" style="4" customWidth="1"/>
    <col min="11774" max="11775" width="9.23046875" style="4" bestFit="1"/>
    <col min="11776" max="11776" width="8.23046875" style="4" customWidth="1"/>
    <col min="11777" max="11778" width="9.23046875" style="4" bestFit="1"/>
    <col min="11779" max="11779" width="7.765625" style="4" customWidth="1"/>
    <col min="11780" max="11782" width="9.23046875" style="4" bestFit="1"/>
    <col min="11783" max="11783" width="7.765625" style="4" customWidth="1"/>
    <col min="11784" max="12024" width="9.23046875" style="4" bestFit="1"/>
    <col min="12025" max="12025" width="22.23046875" style="4" bestFit="1" customWidth="1"/>
    <col min="12026" max="12026" width="8.23046875" style="4" customWidth="1"/>
    <col min="12027" max="12028" width="9.23046875" style="4" bestFit="1"/>
    <col min="12029" max="12029" width="10" style="4" customWidth="1"/>
    <col min="12030" max="12031" width="9.23046875" style="4" bestFit="1"/>
    <col min="12032" max="12032" width="8.23046875" style="4" customWidth="1"/>
    <col min="12033" max="12034" width="9.23046875" style="4" bestFit="1"/>
    <col min="12035" max="12035" width="7.765625" style="4" customWidth="1"/>
    <col min="12036" max="12038" width="9.23046875" style="4" bestFit="1"/>
    <col min="12039" max="12039" width="7.765625" style="4" customWidth="1"/>
    <col min="12040" max="12280" width="9.23046875" style="4" bestFit="1"/>
    <col min="12281" max="12281" width="22.23046875" style="4" bestFit="1" customWidth="1"/>
    <col min="12282" max="12282" width="8.23046875" style="4" customWidth="1"/>
    <col min="12283" max="12284" width="9.23046875" style="4" bestFit="1"/>
    <col min="12285" max="12285" width="10" style="4" customWidth="1"/>
    <col min="12286" max="12287" width="9.23046875" style="4" bestFit="1"/>
    <col min="12288" max="12288" width="8.23046875" style="4" customWidth="1"/>
    <col min="12289" max="12290" width="9.23046875" style="4" bestFit="1"/>
    <col min="12291" max="12291" width="7.765625" style="4" customWidth="1"/>
    <col min="12292" max="12294" width="9.23046875" style="4" bestFit="1"/>
    <col min="12295" max="12295" width="7.765625" style="4" customWidth="1"/>
    <col min="12296" max="12536" width="9.23046875" style="4" bestFit="1"/>
    <col min="12537" max="12537" width="22.23046875" style="4" bestFit="1" customWidth="1"/>
    <col min="12538" max="12538" width="8.23046875" style="4" customWidth="1"/>
    <col min="12539" max="12540" width="9.23046875" style="4" bestFit="1"/>
    <col min="12541" max="12541" width="10" style="4" customWidth="1"/>
    <col min="12542" max="12543" width="9.23046875" style="4" bestFit="1"/>
    <col min="12544" max="12544" width="8.23046875" style="4" customWidth="1"/>
    <col min="12545" max="12546" width="9.23046875" style="4" bestFit="1"/>
    <col min="12547" max="12547" width="7.765625" style="4" customWidth="1"/>
    <col min="12548" max="12550" width="9.23046875" style="4" bestFit="1"/>
    <col min="12551" max="12551" width="7.765625" style="4" customWidth="1"/>
    <col min="12552" max="12792" width="9.23046875" style="4" bestFit="1"/>
    <col min="12793" max="12793" width="22.23046875" style="4" bestFit="1" customWidth="1"/>
    <col min="12794" max="12794" width="8.23046875" style="4" customWidth="1"/>
    <col min="12795" max="12796" width="9.23046875" style="4" bestFit="1"/>
    <col min="12797" max="12797" width="10" style="4" customWidth="1"/>
    <col min="12798" max="12799" width="9.23046875" style="4" bestFit="1"/>
    <col min="12800" max="12800" width="8.23046875" style="4" customWidth="1"/>
    <col min="12801" max="12802" width="9.23046875" style="4" bestFit="1"/>
    <col min="12803" max="12803" width="7.765625" style="4" customWidth="1"/>
    <col min="12804" max="12806" width="9.23046875" style="4" bestFit="1"/>
    <col min="12807" max="12807" width="7.765625" style="4" customWidth="1"/>
    <col min="12808" max="13048" width="9.23046875" style="4" bestFit="1"/>
    <col min="13049" max="13049" width="22.23046875" style="4" bestFit="1" customWidth="1"/>
    <col min="13050" max="13050" width="8.23046875" style="4" customWidth="1"/>
    <col min="13051" max="13052" width="9.23046875" style="4" bestFit="1"/>
    <col min="13053" max="13053" width="10" style="4" customWidth="1"/>
    <col min="13054" max="13055" width="9.23046875" style="4" bestFit="1"/>
    <col min="13056" max="13056" width="8.23046875" style="4" customWidth="1"/>
    <col min="13057" max="13058" width="9.23046875" style="4" bestFit="1"/>
    <col min="13059" max="13059" width="7.765625" style="4" customWidth="1"/>
    <col min="13060" max="13062" width="9.23046875" style="4" bestFit="1"/>
    <col min="13063" max="13063" width="7.765625" style="4" customWidth="1"/>
    <col min="13064" max="13304" width="9.23046875" style="4" bestFit="1"/>
    <col min="13305" max="13305" width="22.23046875" style="4" bestFit="1" customWidth="1"/>
    <col min="13306" max="13306" width="8.23046875" style="4" customWidth="1"/>
    <col min="13307" max="13308" width="9.23046875" style="4" bestFit="1"/>
    <col min="13309" max="13309" width="10" style="4" customWidth="1"/>
    <col min="13310" max="13311" width="9.23046875" style="4" bestFit="1"/>
    <col min="13312" max="13312" width="8.23046875" style="4" customWidth="1"/>
    <col min="13313" max="13314" width="9.23046875" style="4" bestFit="1"/>
    <col min="13315" max="13315" width="7.765625" style="4" customWidth="1"/>
    <col min="13316" max="13318" width="9.23046875" style="4" bestFit="1"/>
    <col min="13319" max="13319" width="7.765625" style="4" customWidth="1"/>
    <col min="13320" max="13560" width="9.23046875" style="4" bestFit="1"/>
    <col min="13561" max="13561" width="22.23046875" style="4" bestFit="1" customWidth="1"/>
    <col min="13562" max="13562" width="8.23046875" style="4" customWidth="1"/>
    <col min="13563" max="13564" width="9.23046875" style="4" bestFit="1"/>
    <col min="13565" max="13565" width="10" style="4" customWidth="1"/>
    <col min="13566" max="13567" width="9.23046875" style="4" bestFit="1"/>
    <col min="13568" max="13568" width="8.23046875" style="4" customWidth="1"/>
    <col min="13569" max="13570" width="9.23046875" style="4" bestFit="1"/>
    <col min="13571" max="13571" width="7.765625" style="4" customWidth="1"/>
    <col min="13572" max="13574" width="9.23046875" style="4" bestFit="1"/>
    <col min="13575" max="13575" width="7.765625" style="4" customWidth="1"/>
    <col min="13576" max="13816" width="9.23046875" style="4" bestFit="1"/>
    <col min="13817" max="13817" width="22.23046875" style="4" bestFit="1" customWidth="1"/>
    <col min="13818" max="13818" width="8.23046875" style="4" customWidth="1"/>
    <col min="13819" max="13820" width="9.23046875" style="4" bestFit="1"/>
    <col min="13821" max="13821" width="10" style="4" customWidth="1"/>
    <col min="13822" max="13823" width="9.23046875" style="4" bestFit="1"/>
    <col min="13824" max="13824" width="8.23046875" style="4" customWidth="1"/>
    <col min="13825" max="13826" width="9.23046875" style="4" bestFit="1"/>
    <col min="13827" max="13827" width="7.765625" style="4" customWidth="1"/>
    <col min="13828" max="13830" width="9.23046875" style="4" bestFit="1"/>
    <col min="13831" max="13831" width="7.765625" style="4" customWidth="1"/>
    <col min="13832" max="14072" width="9.23046875" style="4" bestFit="1"/>
    <col min="14073" max="14073" width="22.23046875" style="4" bestFit="1" customWidth="1"/>
    <col min="14074" max="14074" width="8.23046875" style="4" customWidth="1"/>
    <col min="14075" max="14076" width="9.23046875" style="4" bestFit="1"/>
    <col min="14077" max="14077" width="10" style="4" customWidth="1"/>
    <col min="14078" max="14079" width="9.23046875" style="4" bestFit="1"/>
    <col min="14080" max="14080" width="8.23046875" style="4" customWidth="1"/>
    <col min="14081" max="14082" width="9.23046875" style="4" bestFit="1"/>
    <col min="14083" max="14083" width="7.765625" style="4" customWidth="1"/>
    <col min="14084" max="14086" width="9.23046875" style="4" bestFit="1"/>
    <col min="14087" max="14087" width="7.765625" style="4" customWidth="1"/>
    <col min="14088" max="14328" width="9.23046875" style="4" bestFit="1"/>
    <col min="14329" max="14329" width="22.23046875" style="4" bestFit="1" customWidth="1"/>
    <col min="14330" max="14330" width="8.23046875" style="4" customWidth="1"/>
    <col min="14331" max="14332" width="9.23046875" style="4" bestFit="1"/>
    <col min="14333" max="14333" width="10" style="4" customWidth="1"/>
    <col min="14334" max="14335" width="9.23046875" style="4" bestFit="1"/>
    <col min="14336" max="14336" width="8.23046875" style="4" customWidth="1"/>
    <col min="14337" max="14338" width="9.23046875" style="4" bestFit="1"/>
    <col min="14339" max="14339" width="7.765625" style="4" customWidth="1"/>
    <col min="14340" max="14342" width="9.23046875" style="4" bestFit="1"/>
    <col min="14343" max="14343" width="7.765625" style="4" customWidth="1"/>
    <col min="14344" max="14584" width="9.23046875" style="4" bestFit="1"/>
    <col min="14585" max="14585" width="22.23046875" style="4" bestFit="1" customWidth="1"/>
    <col min="14586" max="14586" width="8.23046875" style="4" customWidth="1"/>
    <col min="14587" max="14588" width="9.23046875" style="4" bestFit="1"/>
    <col min="14589" max="14589" width="10" style="4" customWidth="1"/>
    <col min="14590" max="14591" width="9.23046875" style="4" bestFit="1"/>
    <col min="14592" max="14592" width="8.23046875" style="4" customWidth="1"/>
    <col min="14593" max="14594" width="9.23046875" style="4" bestFit="1"/>
    <col min="14595" max="14595" width="7.765625" style="4" customWidth="1"/>
    <col min="14596" max="14598" width="9.23046875" style="4" bestFit="1"/>
    <col min="14599" max="14599" width="7.765625" style="4" customWidth="1"/>
    <col min="14600" max="14840" width="9.23046875" style="4" bestFit="1"/>
    <col min="14841" max="14841" width="22.23046875" style="4" bestFit="1" customWidth="1"/>
    <col min="14842" max="14842" width="8.23046875" style="4" customWidth="1"/>
    <col min="14843" max="14844" width="9.23046875" style="4" bestFit="1"/>
    <col min="14845" max="14845" width="10" style="4" customWidth="1"/>
    <col min="14846" max="14847" width="9.23046875" style="4" bestFit="1"/>
    <col min="14848" max="14848" width="8.23046875" style="4" customWidth="1"/>
    <col min="14849" max="14850" width="9.23046875" style="4" bestFit="1"/>
    <col min="14851" max="14851" width="7.765625" style="4" customWidth="1"/>
    <col min="14852" max="14854" width="9.23046875" style="4" bestFit="1"/>
    <col min="14855" max="14855" width="7.765625" style="4" customWidth="1"/>
    <col min="14856" max="15096" width="9.23046875" style="4" bestFit="1"/>
    <col min="15097" max="15097" width="22.23046875" style="4" bestFit="1" customWidth="1"/>
    <col min="15098" max="15098" width="8.23046875" style="4" customWidth="1"/>
    <col min="15099" max="15100" width="9.23046875" style="4" bestFit="1"/>
    <col min="15101" max="15101" width="10" style="4" customWidth="1"/>
    <col min="15102" max="15103" width="9.23046875" style="4" bestFit="1"/>
    <col min="15104" max="15104" width="8.23046875" style="4" customWidth="1"/>
    <col min="15105" max="15106" width="9.23046875" style="4" bestFit="1"/>
    <col min="15107" max="15107" width="7.765625" style="4" customWidth="1"/>
    <col min="15108" max="15110" width="9.23046875" style="4" bestFit="1"/>
    <col min="15111" max="15111" width="7.765625" style="4" customWidth="1"/>
    <col min="15112" max="15352" width="9.23046875" style="4" bestFit="1"/>
    <col min="15353" max="15353" width="22.23046875" style="4" bestFit="1" customWidth="1"/>
    <col min="15354" max="15354" width="8.23046875" style="4" customWidth="1"/>
    <col min="15355" max="15356" width="9.23046875" style="4" bestFit="1"/>
    <col min="15357" max="15357" width="10" style="4" customWidth="1"/>
    <col min="15358" max="15359" width="9.23046875" style="4" bestFit="1"/>
    <col min="15360" max="15360" width="8.23046875" style="4" customWidth="1"/>
    <col min="15361" max="15362" width="9.23046875" style="4" bestFit="1"/>
    <col min="15363" max="15363" width="7.765625" style="4" customWidth="1"/>
    <col min="15364" max="15366" width="9.23046875" style="4" bestFit="1"/>
    <col min="15367" max="15367" width="7.765625" style="4" customWidth="1"/>
    <col min="15368" max="15608" width="9.23046875" style="4" bestFit="1"/>
    <col min="15609" max="15609" width="22.23046875" style="4" bestFit="1" customWidth="1"/>
    <col min="15610" max="15610" width="8.23046875" style="4" customWidth="1"/>
    <col min="15611" max="15612" width="9.23046875" style="4" bestFit="1"/>
    <col min="15613" max="15613" width="10" style="4" customWidth="1"/>
    <col min="15614" max="15615" width="9.23046875" style="4" bestFit="1"/>
    <col min="15616" max="15616" width="8.23046875" style="4" customWidth="1"/>
    <col min="15617" max="15618" width="9.23046875" style="4" bestFit="1"/>
    <col min="15619" max="15619" width="7.765625" style="4" customWidth="1"/>
    <col min="15620" max="15622" width="9.23046875" style="4" bestFit="1"/>
    <col min="15623" max="15623" width="7.765625" style="4" customWidth="1"/>
    <col min="15624" max="15864" width="9.23046875" style="4" bestFit="1"/>
    <col min="15865" max="15865" width="22.23046875" style="4" bestFit="1" customWidth="1"/>
    <col min="15866" max="15866" width="8.23046875" style="4" customWidth="1"/>
    <col min="15867" max="15868" width="9.23046875" style="4" bestFit="1"/>
    <col min="15869" max="15869" width="10" style="4" customWidth="1"/>
    <col min="15870" max="15871" width="9.23046875" style="4" bestFit="1"/>
    <col min="15872" max="15872" width="8.23046875" style="4" customWidth="1"/>
    <col min="15873" max="15874" width="9.23046875" style="4" bestFit="1"/>
    <col min="15875" max="15875" width="7.765625" style="4" customWidth="1"/>
    <col min="15876" max="15878" width="9.23046875" style="4" bestFit="1"/>
    <col min="15879" max="15879" width="7.765625" style="4" customWidth="1"/>
    <col min="15880" max="16120" width="9.23046875" style="4" bestFit="1"/>
    <col min="16121" max="16121" width="22.23046875" style="4" bestFit="1" customWidth="1"/>
    <col min="16122" max="16122" width="8.23046875" style="4" customWidth="1"/>
    <col min="16123" max="16124" width="9.23046875" style="4" bestFit="1"/>
    <col min="16125" max="16125" width="10" style="4" customWidth="1"/>
    <col min="16126" max="16127" width="9.23046875" style="4" bestFit="1"/>
    <col min="16128" max="16128" width="8.23046875" style="4" customWidth="1"/>
    <col min="16129" max="16130" width="9.23046875" style="4" bestFit="1"/>
    <col min="16131" max="16131" width="7.765625" style="4" customWidth="1"/>
    <col min="16132" max="16134" width="9.23046875" style="4" bestFit="1"/>
    <col min="16135" max="16135" width="7.765625" style="4" customWidth="1"/>
    <col min="16136" max="16383" width="9.23046875" style="4" bestFit="1"/>
    <col min="16384" max="16384" width="9.23046875" style="4"/>
  </cols>
  <sheetData>
    <row r="1" spans="1:13" s="2" customFormat="1" ht="45.75" customHeight="1">
      <c r="A1" s="48" t="s">
        <v>30</v>
      </c>
      <c r="F1" s="9"/>
    </row>
    <row r="2" spans="1:13" s="1" customFormat="1" ht="20.25" customHeight="1">
      <c r="A2" s="78" t="s">
        <v>51</v>
      </c>
      <c r="B2" s="79" t="s">
        <v>52</v>
      </c>
      <c r="C2" s="80" t="s">
        <v>53</v>
      </c>
      <c r="D2" s="79" t="s">
        <v>54</v>
      </c>
      <c r="E2" s="78" t="s">
        <v>55</v>
      </c>
      <c r="F2" s="8"/>
    </row>
    <row r="3" spans="1:13" s="1" customFormat="1" ht="20.25" customHeight="1">
      <c r="A3" s="63">
        <v>2010</v>
      </c>
      <c r="B3" s="64">
        <v>5386</v>
      </c>
      <c r="C3" s="46" t="s">
        <v>56</v>
      </c>
      <c r="D3" s="90" t="s">
        <v>56</v>
      </c>
      <c r="E3" s="91" t="s">
        <v>56</v>
      </c>
      <c r="F3" s="8"/>
    </row>
    <row r="4" spans="1:13" s="1" customFormat="1" ht="20.25" customHeight="1">
      <c r="A4" s="63">
        <v>2011</v>
      </c>
      <c r="B4" s="64">
        <v>5213</v>
      </c>
      <c r="C4" s="46" t="s">
        <v>56</v>
      </c>
      <c r="D4" s="65" t="s">
        <v>56</v>
      </c>
      <c r="E4" s="66" t="s">
        <v>56</v>
      </c>
      <c r="F4" s="8"/>
    </row>
    <row r="5" spans="1:13" s="1" customFormat="1" ht="20.25" customHeight="1">
      <c r="A5" s="63">
        <v>2012</v>
      </c>
      <c r="B5" s="64">
        <v>5200</v>
      </c>
      <c r="C5" s="46" t="s">
        <v>56</v>
      </c>
      <c r="D5" s="90" t="s">
        <v>56</v>
      </c>
      <c r="E5" s="91" t="s">
        <v>56</v>
      </c>
      <c r="F5" s="8"/>
    </row>
    <row r="6" spans="1:13" s="1" customFormat="1" ht="20.25" customHeight="1">
      <c r="A6" s="63">
        <v>2013</v>
      </c>
      <c r="B6" s="64">
        <v>4316</v>
      </c>
      <c r="C6" s="46" t="s">
        <v>56</v>
      </c>
      <c r="D6" s="65" t="s">
        <v>56</v>
      </c>
      <c r="E6" s="66" t="s">
        <v>56</v>
      </c>
      <c r="F6" s="8"/>
    </row>
    <row r="7" spans="1:13" s="1" customFormat="1" ht="20.25" customHeight="1">
      <c r="A7" s="63">
        <v>2014</v>
      </c>
      <c r="B7" s="64">
        <v>4231</v>
      </c>
      <c r="C7" s="46" t="s">
        <v>56</v>
      </c>
      <c r="D7" s="90" t="s">
        <v>56</v>
      </c>
      <c r="E7" s="91" t="s">
        <v>56</v>
      </c>
      <c r="F7" s="8"/>
    </row>
    <row r="8" spans="1:13" s="1" customFormat="1" ht="20.25" customHeight="1">
      <c r="A8" s="81" t="s">
        <v>57</v>
      </c>
      <c r="B8" s="289">
        <v>4869.2</v>
      </c>
      <c r="C8" s="313" t="s">
        <v>56</v>
      </c>
      <c r="D8" s="82" t="s">
        <v>56</v>
      </c>
      <c r="E8" s="83" t="s">
        <v>56</v>
      </c>
      <c r="F8" s="8"/>
    </row>
    <row r="9" spans="1:13" s="1" customFormat="1" ht="20.25" customHeight="1">
      <c r="A9" s="67">
        <v>2015</v>
      </c>
      <c r="B9" s="68">
        <v>3920</v>
      </c>
      <c r="C9" s="46" t="s">
        <v>56</v>
      </c>
      <c r="D9" s="69">
        <v>-0.19493962047153535</v>
      </c>
      <c r="E9" s="70" t="s">
        <v>58</v>
      </c>
      <c r="F9" s="8"/>
      <c r="I9" s="361"/>
      <c r="J9" s="361"/>
      <c r="K9" s="361"/>
      <c r="L9" s="361"/>
      <c r="M9" s="361"/>
    </row>
    <row r="10" spans="1:13" s="1" customFormat="1" ht="20.25" customHeight="1">
      <c r="A10" s="67">
        <v>2016</v>
      </c>
      <c r="B10" s="68">
        <v>3818</v>
      </c>
      <c r="C10" s="46" t="s">
        <v>56</v>
      </c>
      <c r="D10" s="69">
        <v>-0.21588762014293927</v>
      </c>
      <c r="E10" s="70" t="s">
        <v>58</v>
      </c>
      <c r="F10" s="8"/>
      <c r="I10" s="361"/>
      <c r="J10" s="361"/>
      <c r="K10" s="361"/>
      <c r="L10" s="361"/>
      <c r="M10" s="361"/>
    </row>
    <row r="11" spans="1:13" s="1" customFormat="1" ht="20.25" customHeight="1">
      <c r="A11" s="67">
        <v>2017</v>
      </c>
      <c r="B11" s="68">
        <v>3881</v>
      </c>
      <c r="C11" s="46" t="s">
        <v>56</v>
      </c>
      <c r="D11" s="69">
        <v>-0.20294914975766037</v>
      </c>
      <c r="E11" s="70" t="s">
        <v>58</v>
      </c>
      <c r="F11" s="8"/>
      <c r="I11" s="5"/>
      <c r="J11" s="5"/>
      <c r="K11" s="5"/>
      <c r="L11" s="5"/>
      <c r="M11" s="5"/>
    </row>
    <row r="12" spans="1:13" s="1" customFormat="1" ht="20.25" customHeight="1">
      <c r="A12" s="67">
        <v>2018</v>
      </c>
      <c r="B12" s="68">
        <v>4065</v>
      </c>
      <c r="C12" s="46" t="s">
        <v>56</v>
      </c>
      <c r="D12" s="69">
        <v>-0.16516060133081406</v>
      </c>
      <c r="E12" s="71" t="s">
        <v>58</v>
      </c>
      <c r="F12" s="8"/>
      <c r="I12" s="5"/>
      <c r="J12" s="5"/>
      <c r="K12" s="5"/>
      <c r="L12" s="5"/>
      <c r="M12" s="5"/>
    </row>
    <row r="13" spans="1:13" s="1" customFormat="1" ht="20.25" customHeight="1">
      <c r="A13" s="67">
        <v>2019</v>
      </c>
      <c r="B13" s="68">
        <v>3905</v>
      </c>
      <c r="C13" s="46" t="s">
        <v>56</v>
      </c>
      <c r="D13" s="69">
        <v>-0.1980202086585065</v>
      </c>
      <c r="E13" s="71" t="s">
        <v>58</v>
      </c>
      <c r="F13" s="8"/>
      <c r="I13" s="5"/>
      <c r="J13" s="5"/>
      <c r="K13" s="5"/>
      <c r="L13" s="5"/>
      <c r="M13" s="5"/>
    </row>
    <row r="14" spans="1:13" s="1" customFormat="1" ht="20.25" customHeight="1">
      <c r="A14" s="67">
        <v>2020</v>
      </c>
      <c r="B14" s="68">
        <v>3070</v>
      </c>
      <c r="C14" s="46" t="s">
        <v>56</v>
      </c>
      <c r="D14" s="69">
        <v>-0.36950628439990141</v>
      </c>
      <c r="E14" s="71" t="s">
        <v>58</v>
      </c>
      <c r="F14" s="8"/>
    </row>
    <row r="15" spans="1:13" s="1" customFormat="1" ht="20.25" customHeight="1">
      <c r="A15" s="67">
        <v>2021</v>
      </c>
      <c r="B15" s="68">
        <v>3579</v>
      </c>
      <c r="C15" s="46" t="s">
        <v>56</v>
      </c>
      <c r="D15" s="69">
        <v>-0.26497165858867983</v>
      </c>
      <c r="E15" s="71" t="s">
        <v>58</v>
      </c>
      <c r="F15" s="8"/>
      <c r="I15" s="5"/>
      <c r="J15" s="5"/>
      <c r="K15" s="5"/>
      <c r="L15" s="5"/>
    </row>
    <row r="16" spans="1:13" s="1" customFormat="1" ht="20.25" customHeight="1">
      <c r="A16" s="67">
        <v>2022</v>
      </c>
      <c r="B16" s="68">
        <v>3961</v>
      </c>
      <c r="C16" s="46" t="s">
        <v>56</v>
      </c>
      <c r="D16" s="69">
        <v>-0.18651934609381415</v>
      </c>
      <c r="E16" s="71" t="s">
        <v>58</v>
      </c>
      <c r="F16" s="8"/>
    </row>
    <row r="17" spans="1:18" s="1" customFormat="1" ht="20.25" customHeight="1">
      <c r="A17" s="67">
        <v>2023</v>
      </c>
      <c r="B17" s="72">
        <v>3710</v>
      </c>
      <c r="C17" s="46" t="s">
        <v>56</v>
      </c>
      <c r="D17" s="69">
        <v>-0.23806785508913167</v>
      </c>
      <c r="E17" s="71" t="s">
        <v>58</v>
      </c>
      <c r="F17" s="8"/>
    </row>
    <row r="18" spans="1:18" s="1" customFormat="1" ht="20.25" customHeight="1">
      <c r="A18" s="67">
        <v>2024</v>
      </c>
      <c r="B18" s="72">
        <v>3707</v>
      </c>
      <c r="C18" s="46" t="s">
        <v>56</v>
      </c>
      <c r="D18" s="73">
        <v>-0.23806785508913167</v>
      </c>
      <c r="E18" s="71" t="s">
        <v>58</v>
      </c>
      <c r="F18" s="8"/>
    </row>
    <row r="19" spans="1:18" s="1" customFormat="1" ht="20.25" customHeight="1">
      <c r="A19" s="67">
        <v>2025</v>
      </c>
      <c r="B19" s="46" t="s">
        <v>56</v>
      </c>
      <c r="C19" s="46" t="s">
        <v>56</v>
      </c>
      <c r="D19" s="46" t="s">
        <v>56</v>
      </c>
      <c r="E19" s="46" t="s">
        <v>56</v>
      </c>
      <c r="F19" s="8"/>
    </row>
    <row r="20" spans="1:18" s="1" customFormat="1" ht="20.25" customHeight="1">
      <c r="A20" s="67">
        <v>2026</v>
      </c>
      <c r="B20" s="46" t="s">
        <v>56</v>
      </c>
      <c r="C20" s="46" t="s">
        <v>56</v>
      </c>
      <c r="D20" s="46" t="s">
        <v>56</v>
      </c>
      <c r="E20" s="46" t="s">
        <v>56</v>
      </c>
      <c r="F20" s="8"/>
    </row>
    <row r="21" spans="1:18" s="1" customFormat="1" ht="20.25" customHeight="1">
      <c r="A21" s="67">
        <v>2027</v>
      </c>
      <c r="B21" s="46" t="s">
        <v>56</v>
      </c>
      <c r="C21" s="46" t="s">
        <v>56</v>
      </c>
      <c r="D21" s="46" t="s">
        <v>56</v>
      </c>
      <c r="E21" s="46" t="s">
        <v>56</v>
      </c>
      <c r="F21" s="8"/>
    </row>
    <row r="22" spans="1:18" s="1" customFormat="1" ht="20.25" customHeight="1">
      <c r="A22" s="67">
        <v>2028</v>
      </c>
      <c r="B22" s="46" t="s">
        <v>56</v>
      </c>
      <c r="C22" s="46" t="s">
        <v>56</v>
      </c>
      <c r="D22" s="46" t="s">
        <v>56</v>
      </c>
      <c r="E22" s="46" t="s">
        <v>56</v>
      </c>
      <c r="F22" s="8"/>
    </row>
    <row r="23" spans="1:18" s="1" customFormat="1" ht="20.25" customHeight="1">
      <c r="A23" s="74">
        <v>2029</v>
      </c>
      <c r="B23" s="46" t="s">
        <v>56</v>
      </c>
      <c r="C23" s="46" t="s">
        <v>56</v>
      </c>
      <c r="D23" s="46" t="s">
        <v>56</v>
      </c>
      <c r="E23" s="46" t="s">
        <v>56</v>
      </c>
      <c r="F23" s="8"/>
    </row>
    <row r="24" spans="1:18" s="1" customFormat="1" ht="20.25" customHeight="1">
      <c r="A24" s="75" t="s">
        <v>53</v>
      </c>
      <c r="B24" s="76">
        <v>1460.8</v>
      </c>
      <c r="C24" s="77">
        <v>1460.8000000000011</v>
      </c>
      <c r="D24" s="65" t="s">
        <v>56</v>
      </c>
      <c r="E24" s="65" t="s">
        <v>56</v>
      </c>
      <c r="F24" s="8"/>
    </row>
    <row r="25" spans="1:18" s="20" customFormat="1" ht="17.5">
      <c r="B25" s="23"/>
      <c r="C25" s="23"/>
      <c r="D25" s="23"/>
      <c r="E25" s="23"/>
      <c r="F25" s="47"/>
    </row>
    <row r="26" spans="1:18" s="1" customFormat="1" ht="17.5">
      <c r="B26" s="36"/>
      <c r="C26" s="13"/>
      <c r="D26" s="13"/>
      <c r="E26" s="13"/>
      <c r="F26" s="42"/>
      <c r="G26" s="4"/>
      <c r="H26" s="4"/>
      <c r="I26" s="4"/>
      <c r="J26" s="4"/>
      <c r="K26" s="4"/>
      <c r="L26" s="5"/>
      <c r="M26" s="5"/>
    </row>
    <row r="27" spans="1:18" ht="21" customHeight="1">
      <c r="H27" s="1"/>
      <c r="I27" s="1"/>
      <c r="J27" s="1"/>
      <c r="K27" s="1"/>
      <c r="L27" s="1"/>
      <c r="M27" s="1"/>
      <c r="N27" s="1"/>
      <c r="O27" s="1"/>
      <c r="P27" s="1"/>
      <c r="Q27" s="1"/>
      <c r="R27" s="1"/>
    </row>
    <row r="28" spans="1:18" ht="21" customHeight="1">
      <c r="H28" s="1"/>
      <c r="I28" s="1"/>
      <c r="J28" s="1"/>
      <c r="K28" s="1"/>
      <c r="L28" s="1"/>
      <c r="M28" s="1"/>
      <c r="N28" s="1"/>
      <c r="O28" s="1"/>
      <c r="P28" s="1"/>
      <c r="Q28" s="1"/>
      <c r="R28" s="1"/>
    </row>
    <row r="29" spans="1:18" ht="21" customHeight="1">
      <c r="H29" s="1"/>
      <c r="I29" s="1"/>
      <c r="J29" s="1"/>
      <c r="K29" s="1"/>
      <c r="L29" s="1"/>
      <c r="M29" s="1"/>
      <c r="N29" s="1"/>
      <c r="O29" s="1"/>
      <c r="P29" s="1"/>
      <c r="Q29" s="1"/>
      <c r="R29" s="1"/>
    </row>
    <row r="31" spans="1:18" ht="21" customHeight="1">
      <c r="H31" s="1"/>
      <c r="I31" s="1"/>
      <c r="J31" s="1"/>
      <c r="K31" s="1"/>
      <c r="L31" s="1"/>
      <c r="M31" s="1"/>
      <c r="N31" s="1"/>
      <c r="O31" s="1"/>
      <c r="P31" s="1"/>
      <c r="Q31" s="1"/>
      <c r="R31" s="1"/>
    </row>
    <row r="32" spans="1:18" ht="21" customHeight="1">
      <c r="H32" s="1"/>
      <c r="I32" s="1"/>
      <c r="J32" s="1"/>
      <c r="K32" s="1"/>
      <c r="L32" s="1"/>
      <c r="M32" s="1"/>
      <c r="N32" s="1"/>
      <c r="O32" s="1"/>
      <c r="P32" s="1"/>
      <c r="Q32" s="1"/>
      <c r="R32" s="1"/>
    </row>
    <row r="33" spans="1:18" ht="21" customHeight="1">
      <c r="H33" s="1"/>
      <c r="I33" s="1"/>
      <c r="J33" s="1"/>
      <c r="K33" s="1"/>
      <c r="L33" s="1"/>
      <c r="M33" s="1"/>
      <c r="N33" s="1"/>
      <c r="O33" s="1"/>
      <c r="P33" s="1"/>
      <c r="Q33" s="1"/>
      <c r="R33" s="1"/>
    </row>
    <row r="34" spans="1:18" ht="21" customHeight="1">
      <c r="H34" s="1"/>
      <c r="I34" s="1"/>
      <c r="J34" s="1"/>
      <c r="K34" s="1"/>
      <c r="L34" s="1"/>
      <c r="M34" s="1"/>
      <c r="N34" s="1"/>
      <c r="O34" s="1"/>
      <c r="P34" s="1"/>
      <c r="Q34" s="1"/>
      <c r="R34" s="1"/>
    </row>
    <row r="35" spans="1:18" ht="21" customHeight="1">
      <c r="H35" s="1"/>
      <c r="I35" s="1"/>
      <c r="J35" s="1"/>
      <c r="K35" s="1"/>
      <c r="L35" s="1"/>
      <c r="M35" s="1"/>
      <c r="N35" s="1"/>
      <c r="O35" s="1"/>
      <c r="P35" s="1"/>
      <c r="Q35" s="1"/>
      <c r="R35" s="1"/>
    </row>
    <row r="36" spans="1:18" ht="21" customHeight="1">
      <c r="H36" s="1"/>
      <c r="I36" s="1"/>
      <c r="J36" s="1"/>
      <c r="K36" s="1"/>
      <c r="L36" s="1"/>
      <c r="M36" s="1"/>
      <c r="N36" s="1"/>
      <c r="O36" s="1"/>
      <c r="P36" s="1"/>
      <c r="Q36" s="1"/>
      <c r="R36" s="1"/>
    </row>
    <row r="37" spans="1:18" ht="17.5"/>
    <row r="45" spans="1:18" ht="21" customHeight="1">
      <c r="A45" s="62" t="s">
        <v>59</v>
      </c>
    </row>
    <row r="46" spans="1:18" ht="21" customHeight="1">
      <c r="A46" s="92" t="s">
        <v>50</v>
      </c>
    </row>
  </sheetData>
  <mergeCells count="1">
    <mergeCell ref="I9:M10"/>
  </mergeCells>
  <hyperlinks>
    <hyperlink ref="A45" location="'Table of contents'!A1" display="Back to Table of contents" xr:uid="{34B0F8F3-8ACF-491E-8EA9-55764157F773}"/>
    <hyperlink ref="A46" r:id="rId1" display="Back to Road Casualties in Greater London 2024 Factsheet" xr:uid="{606F9E52-0C13-4CAF-9725-A8530E3F409E}"/>
  </hyperlinks>
  <pageMargins left="0.19" right="0.18" top="1" bottom="1" header="0.5" footer="0.5"/>
  <pageSetup paperSize="9" scale="43" orientation="landscape" horizontalDpi="300" verticalDpi="300" r:id="rId2"/>
  <headerFooter alignWithMargins="0">
    <oddHeader>&amp;R&amp;"Arial,Bold Italic"&amp;11ITEM 8.1</oddHeader>
  </headerFooter>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548D9-30A0-42B0-9738-2976B187B3E5}">
  <sheetPr>
    <tabColor rgb="FF92D050"/>
    <pageSetUpPr fitToPage="1"/>
  </sheetPr>
  <dimension ref="A1:W47"/>
  <sheetViews>
    <sheetView showGridLines="0" zoomScale="90" zoomScaleNormal="90" workbookViewId="0"/>
  </sheetViews>
  <sheetFormatPr defaultRowHeight="21" customHeight="1"/>
  <cols>
    <col min="1" max="1" width="28.23046875" style="4" customWidth="1"/>
    <col min="2" max="4" width="7.3046875" style="4" customWidth="1"/>
    <col min="5" max="5" width="7.3046875" style="11" customWidth="1"/>
    <col min="6" max="6" width="7.3046875" style="4" customWidth="1"/>
    <col min="7" max="7" width="8.53515625" style="4" customWidth="1"/>
    <col min="8" max="16" width="7.3046875" style="4" customWidth="1"/>
    <col min="17" max="17" width="7.23046875" style="4" customWidth="1"/>
    <col min="18" max="18" width="12.765625" style="4" customWidth="1"/>
    <col min="19" max="19" width="20.69140625" style="4" customWidth="1"/>
    <col min="20" max="20" width="14.69140625" style="4" customWidth="1"/>
    <col min="21" max="21" width="20.69140625" style="4" customWidth="1"/>
    <col min="22" max="24" width="8.765625" style="4" customWidth="1"/>
    <col min="25" max="249" width="9.23046875" style="4"/>
    <col min="250" max="250" width="22.23046875" style="4" bestFit="1" customWidth="1"/>
    <col min="251" max="251" width="8.23046875" style="4" customWidth="1"/>
    <col min="252" max="253" width="9.23046875" style="4"/>
    <col min="254" max="254" width="10" style="4" customWidth="1"/>
    <col min="255" max="256" width="9.23046875" style="4"/>
    <col min="257" max="257" width="8.23046875" style="4" customWidth="1"/>
    <col min="258" max="259" width="9.23046875" style="4"/>
    <col min="260" max="260" width="7.765625" style="4" customWidth="1"/>
    <col min="261" max="263" width="9.23046875" style="4"/>
    <col min="264" max="264" width="7.765625" style="4" customWidth="1"/>
    <col min="265" max="505" width="9.23046875" style="4"/>
    <col min="506" max="506" width="22.23046875" style="4" bestFit="1" customWidth="1"/>
    <col min="507" max="507" width="8.23046875" style="4" customWidth="1"/>
    <col min="508" max="509" width="9.23046875" style="4"/>
    <col min="510" max="510" width="10" style="4" customWidth="1"/>
    <col min="511" max="512" width="9.23046875" style="4"/>
    <col min="513" max="513" width="8.23046875" style="4" customWidth="1"/>
    <col min="514" max="515" width="9.23046875" style="4"/>
    <col min="516" max="516" width="7.765625" style="4" customWidth="1"/>
    <col min="517" max="519" width="9.23046875" style="4"/>
    <col min="520" max="520" width="7.765625" style="4" customWidth="1"/>
    <col min="521" max="761" width="9.23046875" style="4"/>
    <col min="762" max="762" width="22.23046875" style="4" bestFit="1" customWidth="1"/>
    <col min="763" max="763" width="8.23046875" style="4" customWidth="1"/>
    <col min="764" max="765" width="9.23046875" style="4"/>
    <col min="766" max="766" width="10" style="4" customWidth="1"/>
    <col min="767" max="768" width="9.23046875" style="4"/>
    <col min="769" max="769" width="8.23046875" style="4" customWidth="1"/>
    <col min="770" max="771" width="9.23046875" style="4"/>
    <col min="772" max="772" width="7.765625" style="4" customWidth="1"/>
    <col min="773" max="775" width="9.23046875" style="4"/>
    <col min="776" max="776" width="7.765625" style="4" customWidth="1"/>
    <col min="777" max="1017" width="9.23046875" style="4"/>
    <col min="1018" max="1018" width="22.23046875" style="4" bestFit="1" customWidth="1"/>
    <col min="1019" max="1019" width="8.23046875" style="4" customWidth="1"/>
    <col min="1020" max="1021" width="9.23046875" style="4"/>
    <col min="1022" max="1022" width="10" style="4" customWidth="1"/>
    <col min="1023" max="1024" width="9.23046875" style="4"/>
    <col min="1025" max="1025" width="8.23046875" style="4" customWidth="1"/>
    <col min="1026" max="1027" width="9.23046875" style="4"/>
    <col min="1028" max="1028" width="7.765625" style="4" customWidth="1"/>
    <col min="1029" max="1031" width="9.23046875" style="4"/>
    <col min="1032" max="1032" width="7.765625" style="4" customWidth="1"/>
    <col min="1033" max="1273" width="9.23046875" style="4"/>
    <col min="1274" max="1274" width="22.23046875" style="4" bestFit="1" customWidth="1"/>
    <col min="1275" max="1275" width="8.23046875" style="4" customWidth="1"/>
    <col min="1276" max="1277" width="9.23046875" style="4"/>
    <col min="1278" max="1278" width="10" style="4" customWidth="1"/>
    <col min="1279" max="1280" width="9.23046875" style="4"/>
    <col min="1281" max="1281" width="8.23046875" style="4" customWidth="1"/>
    <col min="1282" max="1283" width="9.23046875" style="4"/>
    <col min="1284" max="1284" width="7.765625" style="4" customWidth="1"/>
    <col min="1285" max="1287" width="9.23046875" style="4"/>
    <col min="1288" max="1288" width="7.765625" style="4" customWidth="1"/>
    <col min="1289" max="1529" width="9.23046875" style="4"/>
    <col min="1530" max="1530" width="22.23046875" style="4" bestFit="1" customWidth="1"/>
    <col min="1531" max="1531" width="8.23046875" style="4" customWidth="1"/>
    <col min="1532" max="1533" width="9.23046875" style="4"/>
    <col min="1534" max="1534" width="10" style="4" customWidth="1"/>
    <col min="1535" max="1536" width="9.23046875" style="4"/>
    <col min="1537" max="1537" width="8.23046875" style="4" customWidth="1"/>
    <col min="1538" max="1539" width="9.23046875" style="4"/>
    <col min="1540" max="1540" width="7.765625" style="4" customWidth="1"/>
    <col min="1541" max="1543" width="9.23046875" style="4"/>
    <col min="1544" max="1544" width="7.765625" style="4" customWidth="1"/>
    <col min="1545" max="1785" width="9.23046875" style="4"/>
    <col min="1786" max="1786" width="22.23046875" style="4" bestFit="1" customWidth="1"/>
    <col min="1787" max="1787" width="8.23046875" style="4" customWidth="1"/>
    <col min="1788" max="1789" width="9.23046875" style="4"/>
    <col min="1790" max="1790" width="10" style="4" customWidth="1"/>
    <col min="1791" max="1792" width="9.23046875" style="4"/>
    <col min="1793" max="1793" width="8.23046875" style="4" customWidth="1"/>
    <col min="1794" max="1795" width="9.23046875" style="4"/>
    <col min="1796" max="1796" width="7.765625" style="4" customWidth="1"/>
    <col min="1797" max="1799" width="9.23046875" style="4"/>
    <col min="1800" max="1800" width="7.765625" style="4" customWidth="1"/>
    <col min="1801" max="2041" width="9.23046875" style="4"/>
    <col min="2042" max="2042" width="22.23046875" style="4" bestFit="1" customWidth="1"/>
    <col min="2043" max="2043" width="8.23046875" style="4" customWidth="1"/>
    <col min="2044" max="2045" width="9.23046875" style="4"/>
    <col min="2046" max="2046" width="10" style="4" customWidth="1"/>
    <col min="2047" max="2048" width="9.23046875" style="4"/>
    <col min="2049" max="2049" width="8.23046875" style="4" customWidth="1"/>
    <col min="2050" max="2051" width="9.23046875" style="4"/>
    <col min="2052" max="2052" width="7.765625" style="4" customWidth="1"/>
    <col min="2053" max="2055" width="9.23046875" style="4"/>
    <col min="2056" max="2056" width="7.765625" style="4" customWidth="1"/>
    <col min="2057" max="2297" width="9.23046875" style="4"/>
    <col min="2298" max="2298" width="22.23046875" style="4" bestFit="1" customWidth="1"/>
    <col min="2299" max="2299" width="8.23046875" style="4" customWidth="1"/>
    <col min="2300" max="2301" width="9.23046875" style="4"/>
    <col min="2302" max="2302" width="10" style="4" customWidth="1"/>
    <col min="2303" max="2304" width="9.23046875" style="4"/>
    <col min="2305" max="2305" width="8.23046875" style="4" customWidth="1"/>
    <col min="2306" max="2307" width="9.23046875" style="4"/>
    <col min="2308" max="2308" width="7.765625" style="4" customWidth="1"/>
    <col min="2309" max="2311" width="9.23046875" style="4"/>
    <col min="2312" max="2312" width="7.765625" style="4" customWidth="1"/>
    <col min="2313" max="2553" width="9.23046875" style="4"/>
    <col min="2554" max="2554" width="22.23046875" style="4" bestFit="1" customWidth="1"/>
    <col min="2555" max="2555" width="8.23046875" style="4" customWidth="1"/>
    <col min="2556" max="2557" width="9.23046875" style="4"/>
    <col min="2558" max="2558" width="10" style="4" customWidth="1"/>
    <col min="2559" max="2560" width="9.23046875" style="4"/>
    <col min="2561" max="2561" width="8.23046875" style="4" customWidth="1"/>
    <col min="2562" max="2563" width="9.23046875" style="4"/>
    <col min="2564" max="2564" width="7.765625" style="4" customWidth="1"/>
    <col min="2565" max="2567" width="9.23046875" style="4"/>
    <col min="2568" max="2568" width="7.765625" style="4" customWidth="1"/>
    <col min="2569" max="2809" width="9.23046875" style="4"/>
    <col min="2810" max="2810" width="22.23046875" style="4" bestFit="1" customWidth="1"/>
    <col min="2811" max="2811" width="8.23046875" style="4" customWidth="1"/>
    <col min="2812" max="2813" width="9.23046875" style="4"/>
    <col min="2814" max="2814" width="10" style="4" customWidth="1"/>
    <col min="2815" max="2816" width="9.23046875" style="4"/>
    <col min="2817" max="2817" width="8.23046875" style="4" customWidth="1"/>
    <col min="2818" max="2819" width="9.23046875" style="4"/>
    <col min="2820" max="2820" width="7.765625" style="4" customWidth="1"/>
    <col min="2821" max="2823" width="9.23046875" style="4"/>
    <col min="2824" max="2824" width="7.765625" style="4" customWidth="1"/>
    <col min="2825" max="3065" width="9.23046875" style="4"/>
    <col min="3066" max="3066" width="22.23046875" style="4" bestFit="1" customWidth="1"/>
    <col min="3067" max="3067" width="8.23046875" style="4" customWidth="1"/>
    <col min="3068" max="3069" width="9.23046875" style="4"/>
    <col min="3070" max="3070" width="10" style="4" customWidth="1"/>
    <col min="3071" max="3072" width="9.23046875" style="4"/>
    <col min="3073" max="3073" width="8.23046875" style="4" customWidth="1"/>
    <col min="3074" max="3075" width="9.23046875" style="4"/>
    <col min="3076" max="3076" width="7.765625" style="4" customWidth="1"/>
    <col min="3077" max="3079" width="9.23046875" style="4"/>
    <col min="3080" max="3080" width="7.765625" style="4" customWidth="1"/>
    <col min="3081" max="3321" width="9.23046875" style="4"/>
    <col min="3322" max="3322" width="22.23046875" style="4" bestFit="1" customWidth="1"/>
    <col min="3323" max="3323" width="8.23046875" style="4" customWidth="1"/>
    <col min="3324" max="3325" width="9.23046875" style="4"/>
    <col min="3326" max="3326" width="10" style="4" customWidth="1"/>
    <col min="3327" max="3328" width="9.23046875" style="4"/>
    <col min="3329" max="3329" width="8.23046875" style="4" customWidth="1"/>
    <col min="3330" max="3331" width="9.23046875" style="4"/>
    <col min="3332" max="3332" width="7.765625" style="4" customWidth="1"/>
    <col min="3333" max="3335" width="9.23046875" style="4"/>
    <col min="3336" max="3336" width="7.765625" style="4" customWidth="1"/>
    <col min="3337" max="3577" width="9.23046875" style="4"/>
    <col min="3578" max="3578" width="22.23046875" style="4" bestFit="1" customWidth="1"/>
    <col min="3579" max="3579" width="8.23046875" style="4" customWidth="1"/>
    <col min="3580" max="3581" width="9.23046875" style="4"/>
    <col min="3582" max="3582" width="10" style="4" customWidth="1"/>
    <col min="3583" max="3584" width="9.23046875" style="4"/>
    <col min="3585" max="3585" width="8.23046875" style="4" customWidth="1"/>
    <col min="3586" max="3587" width="9.23046875" style="4"/>
    <col min="3588" max="3588" width="7.765625" style="4" customWidth="1"/>
    <col min="3589" max="3591" width="9.23046875" style="4"/>
    <col min="3592" max="3592" width="7.765625" style="4" customWidth="1"/>
    <col min="3593" max="3833" width="9.23046875" style="4"/>
    <col min="3834" max="3834" width="22.23046875" style="4" bestFit="1" customWidth="1"/>
    <col min="3835" max="3835" width="8.23046875" style="4" customWidth="1"/>
    <col min="3836" max="3837" width="9.23046875" style="4"/>
    <col min="3838" max="3838" width="10" style="4" customWidth="1"/>
    <col min="3839" max="3840" width="9.23046875" style="4"/>
    <col min="3841" max="3841" width="8.23046875" style="4" customWidth="1"/>
    <col min="3842" max="3843" width="9.23046875" style="4"/>
    <col min="3844" max="3844" width="7.765625" style="4" customWidth="1"/>
    <col min="3845" max="3847" width="9.23046875" style="4"/>
    <col min="3848" max="3848" width="7.765625" style="4" customWidth="1"/>
    <col min="3849" max="4089" width="9.23046875" style="4"/>
    <col min="4090" max="4090" width="22.23046875" style="4" bestFit="1" customWidth="1"/>
    <col min="4091" max="4091" width="8.23046875" style="4" customWidth="1"/>
    <col min="4092" max="4093" width="9.23046875" style="4"/>
    <col min="4094" max="4094" width="10" style="4" customWidth="1"/>
    <col min="4095" max="4096" width="9.23046875" style="4"/>
    <col min="4097" max="4097" width="8.23046875" style="4" customWidth="1"/>
    <col min="4098" max="4099" width="9.23046875" style="4"/>
    <col min="4100" max="4100" width="7.765625" style="4" customWidth="1"/>
    <col min="4101" max="4103" width="9.23046875" style="4"/>
    <col min="4104" max="4104" width="7.765625" style="4" customWidth="1"/>
    <col min="4105" max="4345" width="9.23046875" style="4"/>
    <col min="4346" max="4346" width="22.23046875" style="4" bestFit="1" customWidth="1"/>
    <col min="4347" max="4347" width="8.23046875" style="4" customWidth="1"/>
    <col min="4348" max="4349" width="9.23046875" style="4"/>
    <col min="4350" max="4350" width="10" style="4" customWidth="1"/>
    <col min="4351" max="4352" width="9.23046875" style="4"/>
    <col min="4353" max="4353" width="8.23046875" style="4" customWidth="1"/>
    <col min="4354" max="4355" width="9.23046875" style="4"/>
    <col min="4356" max="4356" width="7.765625" style="4" customWidth="1"/>
    <col min="4357" max="4359" width="9.23046875" style="4"/>
    <col min="4360" max="4360" width="7.765625" style="4" customWidth="1"/>
    <col min="4361" max="4601" width="9.23046875" style="4"/>
    <col min="4602" max="4602" width="22.23046875" style="4" bestFit="1" customWidth="1"/>
    <col min="4603" max="4603" width="8.23046875" style="4" customWidth="1"/>
    <col min="4604" max="4605" width="9.23046875" style="4"/>
    <col min="4606" max="4606" width="10" style="4" customWidth="1"/>
    <col min="4607" max="4608" width="9.23046875" style="4"/>
    <col min="4609" max="4609" width="8.23046875" style="4" customWidth="1"/>
    <col min="4610" max="4611" width="9.23046875" style="4"/>
    <col min="4612" max="4612" width="7.765625" style="4" customWidth="1"/>
    <col min="4613" max="4615" width="9.23046875" style="4"/>
    <col min="4616" max="4616" width="7.765625" style="4" customWidth="1"/>
    <col min="4617" max="4857" width="9.23046875" style="4"/>
    <col min="4858" max="4858" width="22.23046875" style="4" bestFit="1" customWidth="1"/>
    <col min="4859" max="4859" width="8.23046875" style="4" customWidth="1"/>
    <col min="4860" max="4861" width="9.23046875" style="4"/>
    <col min="4862" max="4862" width="10" style="4" customWidth="1"/>
    <col min="4863" max="4864" width="9.23046875" style="4"/>
    <col min="4865" max="4865" width="8.23046875" style="4" customWidth="1"/>
    <col min="4866" max="4867" width="9.23046875" style="4"/>
    <col min="4868" max="4868" width="7.765625" style="4" customWidth="1"/>
    <col min="4869" max="4871" width="9.23046875" style="4"/>
    <col min="4872" max="4872" width="7.765625" style="4" customWidth="1"/>
    <col min="4873" max="5113" width="9.23046875" style="4"/>
    <col min="5114" max="5114" width="22.23046875" style="4" bestFit="1" customWidth="1"/>
    <col min="5115" max="5115" width="8.23046875" style="4" customWidth="1"/>
    <col min="5116" max="5117" width="9.23046875" style="4"/>
    <col min="5118" max="5118" width="10" style="4" customWidth="1"/>
    <col min="5119" max="5120" width="9.23046875" style="4"/>
    <col min="5121" max="5121" width="8.23046875" style="4" customWidth="1"/>
    <col min="5122" max="5123" width="9.23046875" style="4"/>
    <col min="5124" max="5124" width="7.765625" style="4" customWidth="1"/>
    <col min="5125" max="5127" width="9.23046875" style="4"/>
    <col min="5128" max="5128" width="7.765625" style="4" customWidth="1"/>
    <col min="5129" max="5369" width="9.23046875" style="4"/>
    <col min="5370" max="5370" width="22.23046875" style="4" bestFit="1" customWidth="1"/>
    <col min="5371" max="5371" width="8.23046875" style="4" customWidth="1"/>
    <col min="5372" max="5373" width="9.23046875" style="4"/>
    <col min="5374" max="5374" width="10" style="4" customWidth="1"/>
    <col min="5375" max="5376" width="9.23046875" style="4"/>
    <col min="5377" max="5377" width="8.23046875" style="4" customWidth="1"/>
    <col min="5378" max="5379" width="9.23046875" style="4"/>
    <col min="5380" max="5380" width="7.765625" style="4" customWidth="1"/>
    <col min="5381" max="5383" width="9.23046875" style="4"/>
    <col min="5384" max="5384" width="7.765625" style="4" customWidth="1"/>
    <col min="5385" max="5625" width="9.23046875" style="4"/>
    <col min="5626" max="5626" width="22.23046875" style="4" bestFit="1" customWidth="1"/>
    <col min="5627" max="5627" width="8.23046875" style="4" customWidth="1"/>
    <col min="5628" max="5629" width="9.23046875" style="4"/>
    <col min="5630" max="5630" width="10" style="4" customWidth="1"/>
    <col min="5631" max="5632" width="9.23046875" style="4"/>
    <col min="5633" max="5633" width="8.23046875" style="4" customWidth="1"/>
    <col min="5634" max="5635" width="9.23046875" style="4"/>
    <col min="5636" max="5636" width="7.765625" style="4" customWidth="1"/>
    <col min="5637" max="5639" width="9.23046875" style="4"/>
    <col min="5640" max="5640" width="7.765625" style="4" customWidth="1"/>
    <col min="5641" max="5881" width="9.23046875" style="4"/>
    <col min="5882" max="5882" width="22.23046875" style="4" bestFit="1" customWidth="1"/>
    <col min="5883" max="5883" width="8.23046875" style="4" customWidth="1"/>
    <col min="5884" max="5885" width="9.23046875" style="4"/>
    <col min="5886" max="5886" width="10" style="4" customWidth="1"/>
    <col min="5887" max="5888" width="9.23046875" style="4"/>
    <col min="5889" max="5889" width="8.23046875" style="4" customWidth="1"/>
    <col min="5890" max="5891" width="9.23046875" style="4"/>
    <col min="5892" max="5892" width="7.765625" style="4" customWidth="1"/>
    <col min="5893" max="5895" width="9.23046875" style="4"/>
    <col min="5896" max="5896" width="7.765625" style="4" customWidth="1"/>
    <col min="5897" max="6137" width="9.23046875" style="4"/>
    <col min="6138" max="6138" width="22.23046875" style="4" bestFit="1" customWidth="1"/>
    <col min="6139" max="6139" width="8.23046875" style="4" customWidth="1"/>
    <col min="6140" max="6141" width="9.23046875" style="4"/>
    <col min="6142" max="6142" width="10" style="4" customWidth="1"/>
    <col min="6143" max="6144" width="9.23046875" style="4"/>
    <col min="6145" max="6145" width="8.23046875" style="4" customWidth="1"/>
    <col min="6146" max="6147" width="9.23046875" style="4"/>
    <col min="6148" max="6148" width="7.765625" style="4" customWidth="1"/>
    <col min="6149" max="6151" width="9.23046875" style="4"/>
    <col min="6152" max="6152" width="7.765625" style="4" customWidth="1"/>
    <col min="6153" max="6393" width="9.23046875" style="4"/>
    <col min="6394" max="6394" width="22.23046875" style="4" bestFit="1" customWidth="1"/>
    <col min="6395" max="6395" width="8.23046875" style="4" customWidth="1"/>
    <col min="6396" max="6397" width="9.23046875" style="4"/>
    <col min="6398" max="6398" width="10" style="4" customWidth="1"/>
    <col min="6399" max="6400" width="9.23046875" style="4"/>
    <col min="6401" max="6401" width="8.23046875" style="4" customWidth="1"/>
    <col min="6402" max="6403" width="9.23046875" style="4"/>
    <col min="6404" max="6404" width="7.765625" style="4" customWidth="1"/>
    <col min="6405" max="6407" width="9.23046875" style="4"/>
    <col min="6408" max="6408" width="7.765625" style="4" customWidth="1"/>
    <col min="6409" max="6649" width="9.23046875" style="4"/>
    <col min="6650" max="6650" width="22.23046875" style="4" bestFit="1" customWidth="1"/>
    <col min="6651" max="6651" width="8.23046875" style="4" customWidth="1"/>
    <col min="6652" max="6653" width="9.23046875" style="4"/>
    <col min="6654" max="6654" width="10" style="4" customWidth="1"/>
    <col min="6655" max="6656" width="9.23046875" style="4"/>
    <col min="6657" max="6657" width="8.23046875" style="4" customWidth="1"/>
    <col min="6658" max="6659" width="9.23046875" style="4"/>
    <col min="6660" max="6660" width="7.765625" style="4" customWidth="1"/>
    <col min="6661" max="6663" width="9.23046875" style="4"/>
    <col min="6664" max="6664" width="7.765625" style="4" customWidth="1"/>
    <col min="6665" max="6905" width="9.23046875" style="4"/>
    <col min="6906" max="6906" width="22.23046875" style="4" bestFit="1" customWidth="1"/>
    <col min="6907" max="6907" width="8.23046875" style="4" customWidth="1"/>
    <col min="6908" max="6909" width="9.23046875" style="4"/>
    <col min="6910" max="6910" width="10" style="4" customWidth="1"/>
    <col min="6911" max="6912" width="9.23046875" style="4"/>
    <col min="6913" max="6913" width="8.23046875" style="4" customWidth="1"/>
    <col min="6914" max="6915" width="9.23046875" style="4"/>
    <col min="6916" max="6916" width="7.765625" style="4" customWidth="1"/>
    <col min="6917" max="6919" width="9.23046875" style="4"/>
    <col min="6920" max="6920" width="7.765625" style="4" customWidth="1"/>
    <col min="6921" max="7161" width="9.23046875" style="4"/>
    <col min="7162" max="7162" width="22.23046875" style="4" bestFit="1" customWidth="1"/>
    <col min="7163" max="7163" width="8.23046875" style="4" customWidth="1"/>
    <col min="7164" max="7165" width="9.23046875" style="4"/>
    <col min="7166" max="7166" width="10" style="4" customWidth="1"/>
    <col min="7167" max="7168" width="9.23046875" style="4"/>
    <col min="7169" max="7169" width="8.23046875" style="4" customWidth="1"/>
    <col min="7170" max="7171" width="9.23046875" style="4"/>
    <col min="7172" max="7172" width="7.765625" style="4" customWidth="1"/>
    <col min="7173" max="7175" width="9.23046875" style="4"/>
    <col min="7176" max="7176" width="7.765625" style="4" customWidth="1"/>
    <col min="7177" max="7417" width="9.23046875" style="4"/>
    <col min="7418" max="7418" width="22.23046875" style="4" bestFit="1" customWidth="1"/>
    <col min="7419" max="7419" width="8.23046875" style="4" customWidth="1"/>
    <col min="7420" max="7421" width="9.23046875" style="4"/>
    <col min="7422" max="7422" width="10" style="4" customWidth="1"/>
    <col min="7423" max="7424" width="9.23046875" style="4"/>
    <col min="7425" max="7425" width="8.23046875" style="4" customWidth="1"/>
    <col min="7426" max="7427" width="9.23046875" style="4"/>
    <col min="7428" max="7428" width="7.765625" style="4" customWidth="1"/>
    <col min="7429" max="7431" width="9.23046875" style="4"/>
    <col min="7432" max="7432" width="7.765625" style="4" customWidth="1"/>
    <col min="7433" max="7673" width="9.23046875" style="4"/>
    <col min="7674" max="7674" width="22.23046875" style="4" bestFit="1" customWidth="1"/>
    <col min="7675" max="7675" width="8.23046875" style="4" customWidth="1"/>
    <col min="7676" max="7677" width="9.23046875" style="4"/>
    <col min="7678" max="7678" width="10" style="4" customWidth="1"/>
    <col min="7679" max="7680" width="9.23046875" style="4"/>
    <col min="7681" max="7681" width="8.23046875" style="4" customWidth="1"/>
    <col min="7682" max="7683" width="9.23046875" style="4"/>
    <col min="7684" max="7684" width="7.765625" style="4" customWidth="1"/>
    <col min="7685" max="7687" width="9.23046875" style="4"/>
    <col min="7688" max="7688" width="7.765625" style="4" customWidth="1"/>
    <col min="7689" max="7929" width="9.23046875" style="4"/>
    <col min="7930" max="7930" width="22.23046875" style="4" bestFit="1" customWidth="1"/>
    <col min="7931" max="7931" width="8.23046875" style="4" customWidth="1"/>
    <col min="7932" max="7933" width="9.23046875" style="4"/>
    <col min="7934" max="7934" width="10" style="4" customWidth="1"/>
    <col min="7935" max="7936" width="9.23046875" style="4"/>
    <col min="7937" max="7937" width="8.23046875" style="4" customWidth="1"/>
    <col min="7938" max="7939" width="9.23046875" style="4"/>
    <col min="7940" max="7940" width="7.765625" style="4" customWidth="1"/>
    <col min="7941" max="7943" width="9.23046875" style="4"/>
    <col min="7944" max="7944" width="7.765625" style="4" customWidth="1"/>
    <col min="7945" max="8185" width="9.23046875" style="4"/>
    <col min="8186" max="8186" width="22.23046875" style="4" bestFit="1" customWidth="1"/>
    <col min="8187" max="8187" width="8.23046875" style="4" customWidth="1"/>
    <col min="8188" max="8189" width="9.23046875" style="4"/>
    <col min="8190" max="8190" width="10" style="4" customWidth="1"/>
    <col min="8191" max="8192" width="9.23046875" style="4"/>
    <col min="8193" max="8193" width="8.23046875" style="4" customWidth="1"/>
    <col min="8194" max="8195" width="9.23046875" style="4"/>
    <col min="8196" max="8196" width="7.765625" style="4" customWidth="1"/>
    <col min="8197" max="8199" width="9.23046875" style="4"/>
    <col min="8200" max="8200" width="7.765625" style="4" customWidth="1"/>
    <col min="8201" max="8441" width="9.23046875" style="4"/>
    <col min="8442" max="8442" width="22.23046875" style="4" bestFit="1" customWidth="1"/>
    <col min="8443" max="8443" width="8.23046875" style="4" customWidth="1"/>
    <col min="8444" max="8445" width="9.23046875" style="4"/>
    <col min="8446" max="8446" width="10" style="4" customWidth="1"/>
    <col min="8447" max="8448" width="9.23046875" style="4"/>
    <col min="8449" max="8449" width="8.23046875" style="4" customWidth="1"/>
    <col min="8450" max="8451" width="9.23046875" style="4"/>
    <col min="8452" max="8452" width="7.765625" style="4" customWidth="1"/>
    <col min="8453" max="8455" width="9.23046875" style="4"/>
    <col min="8456" max="8456" width="7.765625" style="4" customWidth="1"/>
    <col min="8457" max="8697" width="9.23046875" style="4"/>
    <col min="8698" max="8698" width="22.23046875" style="4" bestFit="1" customWidth="1"/>
    <col min="8699" max="8699" width="8.23046875" style="4" customWidth="1"/>
    <col min="8700" max="8701" width="9.23046875" style="4"/>
    <col min="8702" max="8702" width="10" style="4" customWidth="1"/>
    <col min="8703" max="8704" width="9.23046875" style="4"/>
    <col min="8705" max="8705" width="8.23046875" style="4" customWidth="1"/>
    <col min="8706" max="8707" width="9.23046875" style="4"/>
    <col min="8708" max="8708" width="7.765625" style="4" customWidth="1"/>
    <col min="8709" max="8711" width="9.23046875" style="4"/>
    <col min="8712" max="8712" width="7.765625" style="4" customWidth="1"/>
    <col min="8713" max="8953" width="9.23046875" style="4"/>
    <col min="8954" max="8954" width="22.23046875" style="4" bestFit="1" customWidth="1"/>
    <col min="8955" max="8955" width="8.23046875" style="4" customWidth="1"/>
    <col min="8956" max="8957" width="9.23046875" style="4"/>
    <col min="8958" max="8958" width="10" style="4" customWidth="1"/>
    <col min="8959" max="8960" width="9.23046875" style="4"/>
    <col min="8961" max="8961" width="8.23046875" style="4" customWidth="1"/>
    <col min="8962" max="8963" width="9.23046875" style="4"/>
    <col min="8964" max="8964" width="7.765625" style="4" customWidth="1"/>
    <col min="8965" max="8967" width="9.23046875" style="4"/>
    <col min="8968" max="8968" width="7.765625" style="4" customWidth="1"/>
    <col min="8969" max="9209" width="9.23046875" style="4"/>
    <col min="9210" max="9210" width="22.23046875" style="4" bestFit="1" customWidth="1"/>
    <col min="9211" max="9211" width="8.23046875" style="4" customWidth="1"/>
    <col min="9212" max="9213" width="9.23046875" style="4"/>
    <col min="9214" max="9214" width="10" style="4" customWidth="1"/>
    <col min="9215" max="9216" width="9.23046875" style="4"/>
    <col min="9217" max="9217" width="8.23046875" style="4" customWidth="1"/>
    <col min="9218" max="9219" width="9.23046875" style="4"/>
    <col min="9220" max="9220" width="7.765625" style="4" customWidth="1"/>
    <col min="9221" max="9223" width="9.23046875" style="4"/>
    <col min="9224" max="9224" width="7.765625" style="4" customWidth="1"/>
    <col min="9225" max="9465" width="9.23046875" style="4"/>
    <col min="9466" max="9466" width="22.23046875" style="4" bestFit="1" customWidth="1"/>
    <col min="9467" max="9467" width="8.23046875" style="4" customWidth="1"/>
    <col min="9468" max="9469" width="9.23046875" style="4"/>
    <col min="9470" max="9470" width="10" style="4" customWidth="1"/>
    <col min="9471" max="9472" width="9.23046875" style="4"/>
    <col min="9473" max="9473" width="8.23046875" style="4" customWidth="1"/>
    <col min="9474" max="9475" width="9.23046875" style="4"/>
    <col min="9476" max="9476" width="7.765625" style="4" customWidth="1"/>
    <col min="9477" max="9479" width="9.23046875" style="4"/>
    <col min="9480" max="9480" width="7.765625" style="4" customWidth="1"/>
    <col min="9481" max="9721" width="9.23046875" style="4"/>
    <col min="9722" max="9722" width="22.23046875" style="4" bestFit="1" customWidth="1"/>
    <col min="9723" max="9723" width="8.23046875" style="4" customWidth="1"/>
    <col min="9724" max="9725" width="9.23046875" style="4"/>
    <col min="9726" max="9726" width="10" style="4" customWidth="1"/>
    <col min="9727" max="9728" width="9.23046875" style="4"/>
    <col min="9729" max="9729" width="8.23046875" style="4" customWidth="1"/>
    <col min="9730" max="9731" width="9.23046875" style="4"/>
    <col min="9732" max="9732" width="7.765625" style="4" customWidth="1"/>
    <col min="9733" max="9735" width="9.23046875" style="4"/>
    <col min="9736" max="9736" width="7.765625" style="4" customWidth="1"/>
    <col min="9737" max="9977" width="9.23046875" style="4"/>
    <col min="9978" max="9978" width="22.23046875" style="4" bestFit="1" customWidth="1"/>
    <col min="9979" max="9979" width="8.23046875" style="4" customWidth="1"/>
    <col min="9980" max="9981" width="9.23046875" style="4"/>
    <col min="9982" max="9982" width="10" style="4" customWidth="1"/>
    <col min="9983" max="9984" width="9.23046875" style="4"/>
    <col min="9985" max="9985" width="8.23046875" style="4" customWidth="1"/>
    <col min="9986" max="9987" width="9.23046875" style="4"/>
    <col min="9988" max="9988" width="7.765625" style="4" customWidth="1"/>
    <col min="9989" max="9991" width="9.23046875" style="4"/>
    <col min="9992" max="9992" width="7.765625" style="4" customWidth="1"/>
    <col min="9993" max="10233" width="9.23046875" style="4"/>
    <col min="10234" max="10234" width="22.23046875" style="4" bestFit="1" customWidth="1"/>
    <col min="10235" max="10235" width="8.23046875" style="4" customWidth="1"/>
    <col min="10236" max="10237" width="9.23046875" style="4"/>
    <col min="10238" max="10238" width="10" style="4" customWidth="1"/>
    <col min="10239" max="10240" width="9.23046875" style="4"/>
    <col min="10241" max="10241" width="8.23046875" style="4" customWidth="1"/>
    <col min="10242" max="10243" width="9.23046875" style="4"/>
    <col min="10244" max="10244" width="7.765625" style="4" customWidth="1"/>
    <col min="10245" max="10247" width="9.23046875" style="4"/>
    <col min="10248" max="10248" width="7.765625" style="4" customWidth="1"/>
    <col min="10249" max="10489" width="9.23046875" style="4"/>
    <col min="10490" max="10490" width="22.23046875" style="4" bestFit="1" customWidth="1"/>
    <col min="10491" max="10491" width="8.23046875" style="4" customWidth="1"/>
    <col min="10492" max="10493" width="9.23046875" style="4"/>
    <col min="10494" max="10494" width="10" style="4" customWidth="1"/>
    <col min="10495" max="10496" width="9.23046875" style="4"/>
    <col min="10497" max="10497" width="8.23046875" style="4" customWidth="1"/>
    <col min="10498" max="10499" width="9.23046875" style="4"/>
    <col min="10500" max="10500" width="7.765625" style="4" customWidth="1"/>
    <col min="10501" max="10503" width="9.23046875" style="4"/>
    <col min="10504" max="10504" width="7.765625" style="4" customWidth="1"/>
    <col min="10505" max="10745" width="9.23046875" style="4"/>
    <col min="10746" max="10746" width="22.23046875" style="4" bestFit="1" customWidth="1"/>
    <col min="10747" max="10747" width="8.23046875" style="4" customWidth="1"/>
    <col min="10748" max="10749" width="9.23046875" style="4"/>
    <col min="10750" max="10750" width="10" style="4" customWidth="1"/>
    <col min="10751" max="10752" width="9.23046875" style="4"/>
    <col min="10753" max="10753" width="8.23046875" style="4" customWidth="1"/>
    <col min="10754" max="10755" width="9.23046875" style="4"/>
    <col min="10756" max="10756" width="7.765625" style="4" customWidth="1"/>
    <col min="10757" max="10759" width="9.23046875" style="4"/>
    <col min="10760" max="10760" width="7.765625" style="4" customWidth="1"/>
    <col min="10761" max="11001" width="9.23046875" style="4"/>
    <col min="11002" max="11002" width="22.23046875" style="4" bestFit="1" customWidth="1"/>
    <col min="11003" max="11003" width="8.23046875" style="4" customWidth="1"/>
    <col min="11004" max="11005" width="9.23046875" style="4"/>
    <col min="11006" max="11006" width="10" style="4" customWidth="1"/>
    <col min="11007" max="11008" width="9.23046875" style="4"/>
    <col min="11009" max="11009" width="8.23046875" style="4" customWidth="1"/>
    <col min="11010" max="11011" width="9.23046875" style="4"/>
    <col min="11012" max="11012" width="7.765625" style="4" customWidth="1"/>
    <col min="11013" max="11015" width="9.23046875" style="4"/>
    <col min="11016" max="11016" width="7.765625" style="4" customWidth="1"/>
    <col min="11017" max="11257" width="9.23046875" style="4"/>
    <col min="11258" max="11258" width="22.23046875" style="4" bestFit="1" customWidth="1"/>
    <col min="11259" max="11259" width="8.23046875" style="4" customWidth="1"/>
    <col min="11260" max="11261" width="9.23046875" style="4"/>
    <col min="11262" max="11262" width="10" style="4" customWidth="1"/>
    <col min="11263" max="11264" width="9.23046875" style="4"/>
    <col min="11265" max="11265" width="8.23046875" style="4" customWidth="1"/>
    <col min="11266" max="11267" width="9.23046875" style="4"/>
    <col min="11268" max="11268" width="7.765625" style="4" customWidth="1"/>
    <col min="11269" max="11271" width="9.23046875" style="4"/>
    <col min="11272" max="11272" width="7.765625" style="4" customWidth="1"/>
    <col min="11273" max="11513" width="9.23046875" style="4"/>
    <col min="11514" max="11514" width="22.23046875" style="4" bestFit="1" customWidth="1"/>
    <col min="11515" max="11515" width="8.23046875" style="4" customWidth="1"/>
    <col min="11516" max="11517" width="9.23046875" style="4"/>
    <col min="11518" max="11518" width="10" style="4" customWidth="1"/>
    <col min="11519" max="11520" width="9.23046875" style="4"/>
    <col min="11521" max="11521" width="8.23046875" style="4" customWidth="1"/>
    <col min="11522" max="11523" width="9.23046875" style="4"/>
    <col min="11524" max="11524" width="7.765625" style="4" customWidth="1"/>
    <col min="11525" max="11527" width="9.23046875" style="4"/>
    <col min="11528" max="11528" width="7.765625" style="4" customWidth="1"/>
    <col min="11529" max="11769" width="9.23046875" style="4"/>
    <col min="11770" max="11770" width="22.23046875" style="4" bestFit="1" customWidth="1"/>
    <col min="11771" max="11771" width="8.23046875" style="4" customWidth="1"/>
    <col min="11772" max="11773" width="9.23046875" style="4"/>
    <col min="11774" max="11774" width="10" style="4" customWidth="1"/>
    <col min="11775" max="11776" width="9.23046875" style="4"/>
    <col min="11777" max="11777" width="8.23046875" style="4" customWidth="1"/>
    <col min="11778" max="11779" width="9.23046875" style="4"/>
    <col min="11780" max="11780" width="7.765625" style="4" customWidth="1"/>
    <col min="11781" max="11783" width="9.23046875" style="4"/>
    <col min="11784" max="11784" width="7.765625" style="4" customWidth="1"/>
    <col min="11785" max="12025" width="9.23046875" style="4"/>
    <col min="12026" max="12026" width="22.23046875" style="4" bestFit="1" customWidth="1"/>
    <col min="12027" max="12027" width="8.23046875" style="4" customWidth="1"/>
    <col min="12028" max="12029" width="9.23046875" style="4"/>
    <col min="12030" max="12030" width="10" style="4" customWidth="1"/>
    <col min="12031" max="12032" width="9.23046875" style="4"/>
    <col min="12033" max="12033" width="8.23046875" style="4" customWidth="1"/>
    <col min="12034" max="12035" width="9.23046875" style="4"/>
    <col min="12036" max="12036" width="7.765625" style="4" customWidth="1"/>
    <col min="12037" max="12039" width="9.23046875" style="4"/>
    <col min="12040" max="12040" width="7.765625" style="4" customWidth="1"/>
    <col min="12041" max="12281" width="9.23046875" style="4"/>
    <col min="12282" max="12282" width="22.23046875" style="4" bestFit="1" customWidth="1"/>
    <col min="12283" max="12283" width="8.23046875" style="4" customWidth="1"/>
    <col min="12284" max="12285" width="9.23046875" style="4"/>
    <col min="12286" max="12286" width="10" style="4" customWidth="1"/>
    <col min="12287" max="12288" width="9.23046875" style="4"/>
    <col min="12289" max="12289" width="8.23046875" style="4" customWidth="1"/>
    <col min="12290" max="12291" width="9.23046875" style="4"/>
    <col min="12292" max="12292" width="7.765625" style="4" customWidth="1"/>
    <col min="12293" max="12295" width="9.23046875" style="4"/>
    <col min="12296" max="12296" width="7.765625" style="4" customWidth="1"/>
    <col min="12297" max="12537" width="9.23046875" style="4"/>
    <col min="12538" max="12538" width="22.23046875" style="4" bestFit="1" customWidth="1"/>
    <col min="12539" max="12539" width="8.23046875" style="4" customWidth="1"/>
    <col min="12540" max="12541" width="9.23046875" style="4"/>
    <col min="12542" max="12542" width="10" style="4" customWidth="1"/>
    <col min="12543" max="12544" width="9.23046875" style="4"/>
    <col min="12545" max="12545" width="8.23046875" style="4" customWidth="1"/>
    <col min="12546" max="12547" width="9.23046875" style="4"/>
    <col min="12548" max="12548" width="7.765625" style="4" customWidth="1"/>
    <col min="12549" max="12551" width="9.23046875" style="4"/>
    <col min="12552" max="12552" width="7.765625" style="4" customWidth="1"/>
    <col min="12553" max="12793" width="9.23046875" style="4"/>
    <col min="12794" max="12794" width="22.23046875" style="4" bestFit="1" customWidth="1"/>
    <col min="12795" max="12795" width="8.23046875" style="4" customWidth="1"/>
    <col min="12796" max="12797" width="9.23046875" style="4"/>
    <col min="12798" max="12798" width="10" style="4" customWidth="1"/>
    <col min="12799" max="12800" width="9.23046875" style="4"/>
    <col min="12801" max="12801" width="8.23046875" style="4" customWidth="1"/>
    <col min="12802" max="12803" width="9.23046875" style="4"/>
    <col min="12804" max="12804" width="7.765625" style="4" customWidth="1"/>
    <col min="12805" max="12807" width="9.23046875" style="4"/>
    <col min="12808" max="12808" width="7.765625" style="4" customWidth="1"/>
    <col min="12809" max="13049" width="9.23046875" style="4"/>
    <col min="13050" max="13050" width="22.23046875" style="4" bestFit="1" customWidth="1"/>
    <col min="13051" max="13051" width="8.23046875" style="4" customWidth="1"/>
    <col min="13052" max="13053" width="9.23046875" style="4"/>
    <col min="13054" max="13054" width="10" style="4" customWidth="1"/>
    <col min="13055" max="13056" width="9.23046875" style="4"/>
    <col min="13057" max="13057" width="8.23046875" style="4" customWidth="1"/>
    <col min="13058" max="13059" width="9.23046875" style="4"/>
    <col min="13060" max="13060" width="7.765625" style="4" customWidth="1"/>
    <col min="13061" max="13063" width="9.23046875" style="4"/>
    <col min="13064" max="13064" width="7.765625" style="4" customWidth="1"/>
    <col min="13065" max="13305" width="9.23046875" style="4"/>
    <col min="13306" max="13306" width="22.23046875" style="4" bestFit="1" customWidth="1"/>
    <col min="13307" max="13307" width="8.23046875" style="4" customWidth="1"/>
    <col min="13308" max="13309" width="9.23046875" style="4"/>
    <col min="13310" max="13310" width="10" style="4" customWidth="1"/>
    <col min="13311" max="13312" width="9.23046875" style="4"/>
    <col min="13313" max="13313" width="8.23046875" style="4" customWidth="1"/>
    <col min="13314" max="13315" width="9.23046875" style="4"/>
    <col min="13316" max="13316" width="7.765625" style="4" customWidth="1"/>
    <col min="13317" max="13319" width="9.23046875" style="4"/>
    <col min="13320" max="13320" width="7.765625" style="4" customWidth="1"/>
    <col min="13321" max="13561" width="9.23046875" style="4"/>
    <col min="13562" max="13562" width="22.23046875" style="4" bestFit="1" customWidth="1"/>
    <col min="13563" max="13563" width="8.23046875" style="4" customWidth="1"/>
    <col min="13564" max="13565" width="9.23046875" style="4"/>
    <col min="13566" max="13566" width="10" style="4" customWidth="1"/>
    <col min="13567" max="13568" width="9.23046875" style="4"/>
    <col min="13569" max="13569" width="8.23046875" style="4" customWidth="1"/>
    <col min="13570" max="13571" width="9.23046875" style="4"/>
    <col min="13572" max="13572" width="7.765625" style="4" customWidth="1"/>
    <col min="13573" max="13575" width="9.23046875" style="4"/>
    <col min="13576" max="13576" width="7.765625" style="4" customWidth="1"/>
    <col min="13577" max="13817" width="9.23046875" style="4"/>
    <col min="13818" max="13818" width="22.23046875" style="4" bestFit="1" customWidth="1"/>
    <col min="13819" max="13819" width="8.23046875" style="4" customWidth="1"/>
    <col min="13820" max="13821" width="9.23046875" style="4"/>
    <col min="13822" max="13822" width="10" style="4" customWidth="1"/>
    <col min="13823" max="13824" width="9.23046875" style="4"/>
    <col min="13825" max="13825" width="8.23046875" style="4" customWidth="1"/>
    <col min="13826" max="13827" width="9.23046875" style="4"/>
    <col min="13828" max="13828" width="7.765625" style="4" customWidth="1"/>
    <col min="13829" max="13831" width="9.23046875" style="4"/>
    <col min="13832" max="13832" width="7.765625" style="4" customWidth="1"/>
    <col min="13833" max="14073" width="9.23046875" style="4"/>
    <col min="14074" max="14074" width="22.23046875" style="4" bestFit="1" customWidth="1"/>
    <col min="14075" max="14075" width="8.23046875" style="4" customWidth="1"/>
    <col min="14076" max="14077" width="9.23046875" style="4"/>
    <col min="14078" max="14078" width="10" style="4" customWidth="1"/>
    <col min="14079" max="14080" width="9.23046875" style="4"/>
    <col min="14081" max="14081" width="8.23046875" style="4" customWidth="1"/>
    <col min="14082" max="14083" width="9.23046875" style="4"/>
    <col min="14084" max="14084" width="7.765625" style="4" customWidth="1"/>
    <col min="14085" max="14087" width="9.23046875" style="4"/>
    <col min="14088" max="14088" width="7.765625" style="4" customWidth="1"/>
    <col min="14089" max="14329" width="9.23046875" style="4"/>
    <col min="14330" max="14330" width="22.23046875" style="4" bestFit="1" customWidth="1"/>
    <col min="14331" max="14331" width="8.23046875" style="4" customWidth="1"/>
    <col min="14332" max="14333" width="9.23046875" style="4"/>
    <col min="14334" max="14334" width="10" style="4" customWidth="1"/>
    <col min="14335" max="14336" width="9.23046875" style="4"/>
    <col min="14337" max="14337" width="8.23046875" style="4" customWidth="1"/>
    <col min="14338" max="14339" width="9.23046875" style="4"/>
    <col min="14340" max="14340" width="7.765625" style="4" customWidth="1"/>
    <col min="14341" max="14343" width="9.23046875" style="4"/>
    <col min="14344" max="14344" width="7.765625" style="4" customWidth="1"/>
    <col min="14345" max="14585" width="9.23046875" style="4"/>
    <col min="14586" max="14586" width="22.23046875" style="4" bestFit="1" customWidth="1"/>
    <col min="14587" max="14587" width="8.23046875" style="4" customWidth="1"/>
    <col min="14588" max="14589" width="9.23046875" style="4"/>
    <col min="14590" max="14590" width="10" style="4" customWidth="1"/>
    <col min="14591" max="14592" width="9.23046875" style="4"/>
    <col min="14593" max="14593" width="8.23046875" style="4" customWidth="1"/>
    <col min="14594" max="14595" width="9.23046875" style="4"/>
    <col min="14596" max="14596" width="7.765625" style="4" customWidth="1"/>
    <col min="14597" max="14599" width="9.23046875" style="4"/>
    <col min="14600" max="14600" width="7.765625" style="4" customWidth="1"/>
    <col min="14601" max="14841" width="9.23046875" style="4"/>
    <col min="14842" max="14842" width="22.23046875" style="4" bestFit="1" customWidth="1"/>
    <col min="14843" max="14843" width="8.23046875" style="4" customWidth="1"/>
    <col min="14844" max="14845" width="9.23046875" style="4"/>
    <col min="14846" max="14846" width="10" style="4" customWidth="1"/>
    <col min="14847" max="14848" width="9.23046875" style="4"/>
    <col min="14849" max="14849" width="8.23046875" style="4" customWidth="1"/>
    <col min="14850" max="14851" width="9.23046875" style="4"/>
    <col min="14852" max="14852" width="7.765625" style="4" customWidth="1"/>
    <col min="14853" max="14855" width="9.23046875" style="4"/>
    <col min="14856" max="14856" width="7.765625" style="4" customWidth="1"/>
    <col min="14857" max="15097" width="9.23046875" style="4"/>
    <col min="15098" max="15098" width="22.23046875" style="4" bestFit="1" customWidth="1"/>
    <col min="15099" max="15099" width="8.23046875" style="4" customWidth="1"/>
    <col min="15100" max="15101" width="9.23046875" style="4"/>
    <col min="15102" max="15102" width="10" style="4" customWidth="1"/>
    <col min="15103" max="15104" width="9.23046875" style="4"/>
    <col min="15105" max="15105" width="8.23046875" style="4" customWidth="1"/>
    <col min="15106" max="15107" width="9.23046875" style="4"/>
    <col min="15108" max="15108" width="7.765625" style="4" customWidth="1"/>
    <col min="15109" max="15111" width="9.23046875" style="4"/>
    <col min="15112" max="15112" width="7.765625" style="4" customWidth="1"/>
    <col min="15113" max="15353" width="9.23046875" style="4"/>
    <col min="15354" max="15354" width="22.23046875" style="4" bestFit="1" customWidth="1"/>
    <col min="15355" max="15355" width="8.23046875" style="4" customWidth="1"/>
    <col min="15356" max="15357" width="9.23046875" style="4"/>
    <col min="15358" max="15358" width="10" style="4" customWidth="1"/>
    <col min="15359" max="15360" width="9.23046875" style="4"/>
    <col min="15361" max="15361" width="8.23046875" style="4" customWidth="1"/>
    <col min="15362" max="15363" width="9.23046875" style="4"/>
    <col min="15364" max="15364" width="7.765625" style="4" customWidth="1"/>
    <col min="15365" max="15367" width="9.23046875" style="4"/>
    <col min="15368" max="15368" width="7.765625" style="4" customWidth="1"/>
    <col min="15369" max="15609" width="9.23046875" style="4"/>
    <col min="15610" max="15610" width="22.23046875" style="4" bestFit="1" customWidth="1"/>
    <col min="15611" max="15611" width="8.23046875" style="4" customWidth="1"/>
    <col min="15612" max="15613" width="9.23046875" style="4"/>
    <col min="15614" max="15614" width="10" style="4" customWidth="1"/>
    <col min="15615" max="15616" width="9.23046875" style="4"/>
    <col min="15617" max="15617" width="8.23046875" style="4" customWidth="1"/>
    <col min="15618" max="15619" width="9.23046875" style="4"/>
    <col min="15620" max="15620" width="7.765625" style="4" customWidth="1"/>
    <col min="15621" max="15623" width="9.23046875" style="4"/>
    <col min="15624" max="15624" width="7.765625" style="4" customWidth="1"/>
    <col min="15625" max="15865" width="9.23046875" style="4"/>
    <col min="15866" max="15866" width="22.23046875" style="4" bestFit="1" customWidth="1"/>
    <col min="15867" max="15867" width="8.23046875" style="4" customWidth="1"/>
    <col min="15868" max="15869" width="9.23046875" style="4"/>
    <col min="15870" max="15870" width="10" style="4" customWidth="1"/>
    <col min="15871" max="15872" width="9.23046875" style="4"/>
    <col min="15873" max="15873" width="8.23046875" style="4" customWidth="1"/>
    <col min="15874" max="15875" width="9.23046875" style="4"/>
    <col min="15876" max="15876" width="7.765625" style="4" customWidth="1"/>
    <col min="15877" max="15879" width="9.23046875" style="4"/>
    <col min="15880" max="15880" width="7.765625" style="4" customWidth="1"/>
    <col min="15881" max="16121" width="9.23046875" style="4"/>
    <col min="16122" max="16122" width="22.23046875" style="4" bestFit="1" customWidth="1"/>
    <col min="16123" max="16123" width="8.23046875" style="4" customWidth="1"/>
    <col min="16124" max="16125" width="9.23046875" style="4"/>
    <col min="16126" max="16126" width="10" style="4" customWidth="1"/>
    <col min="16127" max="16128" width="9.23046875" style="4"/>
    <col min="16129" max="16129" width="8.23046875" style="4" customWidth="1"/>
    <col min="16130" max="16131" width="9.23046875" style="4"/>
    <col min="16132" max="16132" width="7.765625" style="4" customWidth="1"/>
    <col min="16133" max="16135" width="9.23046875" style="4"/>
    <col min="16136" max="16136" width="7.765625" style="4" customWidth="1"/>
    <col min="16137" max="16382" width="9.23046875" style="4"/>
    <col min="16383" max="16384" width="8.765625" style="4" customWidth="1"/>
  </cols>
  <sheetData>
    <row r="1" spans="1:21" s="2" customFormat="1" ht="45" customHeight="1">
      <c r="A1" s="84" t="s">
        <v>31</v>
      </c>
      <c r="E1" s="9"/>
    </row>
    <row r="2" spans="1:21" s="146" customFormat="1" ht="40.5" customHeight="1">
      <c r="A2" s="145" t="s">
        <v>60</v>
      </c>
      <c r="B2" s="145" t="s">
        <v>61</v>
      </c>
      <c r="C2" s="145" t="s">
        <v>62</v>
      </c>
      <c r="D2" s="145" t="s">
        <v>63</v>
      </c>
      <c r="E2" s="159" t="s">
        <v>64</v>
      </c>
      <c r="F2" s="145" t="s">
        <v>65</v>
      </c>
      <c r="G2" s="152" t="s">
        <v>66</v>
      </c>
      <c r="H2" s="145" t="s">
        <v>67</v>
      </c>
      <c r="I2" s="145" t="s">
        <v>68</v>
      </c>
      <c r="J2" s="145" t="s">
        <v>69</v>
      </c>
      <c r="K2" s="145" t="s">
        <v>70</v>
      </c>
      <c r="L2" s="145" t="s">
        <v>71</v>
      </c>
      <c r="M2" s="145" t="s">
        <v>72</v>
      </c>
      <c r="N2" s="145" t="s">
        <v>73</v>
      </c>
      <c r="O2" s="145" t="s">
        <v>74</v>
      </c>
      <c r="P2" s="145" t="s">
        <v>75</v>
      </c>
      <c r="Q2" s="145" t="s">
        <v>76</v>
      </c>
      <c r="R2" s="152" t="s">
        <v>77</v>
      </c>
      <c r="S2" s="152" t="s">
        <v>78</v>
      </c>
      <c r="T2" s="152" t="s">
        <v>79</v>
      </c>
      <c r="U2" s="152" t="s">
        <v>80</v>
      </c>
    </row>
    <row r="3" spans="1:21" s="147" customFormat="1" ht="20.25" customHeight="1">
      <c r="A3" s="290" t="s">
        <v>81</v>
      </c>
      <c r="B3" s="323">
        <v>1664</v>
      </c>
      <c r="C3" s="323">
        <v>1705</v>
      </c>
      <c r="D3" s="323">
        <v>1766</v>
      </c>
      <c r="E3" s="324">
        <v>1447</v>
      </c>
      <c r="F3" s="323">
        <v>1409</v>
      </c>
      <c r="G3" s="328">
        <v>1598.2</v>
      </c>
      <c r="H3" s="323">
        <v>1296.8222090126051</v>
      </c>
      <c r="I3" s="323">
        <v>1285.627883969936</v>
      </c>
      <c r="J3" s="323">
        <v>1412</v>
      </c>
      <c r="K3" s="323">
        <v>1366</v>
      </c>
      <c r="L3" s="323">
        <v>1350</v>
      </c>
      <c r="M3" s="323">
        <v>868</v>
      </c>
      <c r="N3" s="323">
        <v>959</v>
      </c>
      <c r="O3" s="323">
        <v>1235</v>
      </c>
      <c r="P3" s="323">
        <v>1274</v>
      </c>
      <c r="Q3" s="323">
        <v>1194</v>
      </c>
      <c r="R3" s="149">
        <v>-6.2794348508634218E-2</v>
      </c>
      <c r="S3" s="147" t="s">
        <v>82</v>
      </c>
      <c r="T3" s="149">
        <v>-0.25290952321361532</v>
      </c>
      <c r="U3" s="147" t="s">
        <v>58</v>
      </c>
    </row>
    <row r="4" spans="1:21" s="147" customFormat="1" ht="20.25" customHeight="1">
      <c r="A4" s="290" t="s">
        <v>83</v>
      </c>
      <c r="B4" s="323">
        <v>857</v>
      </c>
      <c r="C4" s="323">
        <v>982</v>
      </c>
      <c r="D4" s="323">
        <v>1067</v>
      </c>
      <c r="E4" s="324">
        <v>875</v>
      </c>
      <c r="F4" s="323">
        <v>836</v>
      </c>
      <c r="G4" s="328">
        <v>923.4</v>
      </c>
      <c r="H4" s="323">
        <v>702.68172061044231</v>
      </c>
      <c r="I4" s="323">
        <v>689.32519297514636</v>
      </c>
      <c r="J4" s="323">
        <v>685</v>
      </c>
      <c r="K4" s="323">
        <v>782</v>
      </c>
      <c r="L4" s="323">
        <v>778</v>
      </c>
      <c r="M4" s="323">
        <v>868</v>
      </c>
      <c r="N4" s="323">
        <v>999</v>
      </c>
      <c r="O4" s="323">
        <v>1027</v>
      </c>
      <c r="P4" s="323">
        <v>941</v>
      </c>
      <c r="Q4" s="323">
        <v>994</v>
      </c>
      <c r="R4" s="149">
        <v>5.6323060573857602E-2</v>
      </c>
      <c r="S4" s="147" t="s">
        <v>82</v>
      </c>
      <c r="T4" s="149">
        <v>7.6456573532596953E-2</v>
      </c>
      <c r="U4" s="147" t="s">
        <v>82</v>
      </c>
    </row>
    <row r="5" spans="1:21" s="147" customFormat="1" ht="20.25" customHeight="1">
      <c r="A5" s="290" t="s">
        <v>84</v>
      </c>
      <c r="B5" s="323">
        <v>1165</v>
      </c>
      <c r="C5" s="323">
        <v>1171</v>
      </c>
      <c r="D5" s="323">
        <v>1167</v>
      </c>
      <c r="E5" s="324">
        <v>1005</v>
      </c>
      <c r="F5" s="323">
        <v>1059</v>
      </c>
      <c r="G5" s="328">
        <v>1113.4000000000001</v>
      </c>
      <c r="H5" s="323">
        <v>1056.9321651469529</v>
      </c>
      <c r="I5" s="323">
        <v>1042.4195175631965</v>
      </c>
      <c r="J5" s="323">
        <v>1099</v>
      </c>
      <c r="K5" s="323">
        <v>1080</v>
      </c>
      <c r="L5" s="323">
        <v>1019</v>
      </c>
      <c r="M5" s="323">
        <v>768</v>
      </c>
      <c r="N5" s="323">
        <v>929</v>
      </c>
      <c r="O5" s="323">
        <v>894</v>
      </c>
      <c r="P5" s="323">
        <v>767</v>
      </c>
      <c r="Q5" s="323">
        <v>806</v>
      </c>
      <c r="R5" s="149">
        <v>5.0847457627118647E-2</v>
      </c>
      <c r="S5" s="147" t="s">
        <v>82</v>
      </c>
      <c r="T5" s="149">
        <v>-0.27609125202083712</v>
      </c>
      <c r="U5" s="147" t="s">
        <v>58</v>
      </c>
    </row>
    <row r="6" spans="1:21" s="147" customFormat="1" ht="20.25" customHeight="1">
      <c r="A6" s="290" t="s">
        <v>85</v>
      </c>
      <c r="B6" s="323">
        <v>1362</v>
      </c>
      <c r="C6" s="323">
        <v>1026</v>
      </c>
      <c r="D6" s="323">
        <v>912</v>
      </c>
      <c r="E6" s="324">
        <v>696</v>
      </c>
      <c r="F6" s="323">
        <v>676</v>
      </c>
      <c r="G6" s="328">
        <v>934.4</v>
      </c>
      <c r="H6" s="323">
        <v>623.52796011643443</v>
      </c>
      <c r="I6" s="323">
        <v>591.12525818554843</v>
      </c>
      <c r="J6" s="323">
        <v>490</v>
      </c>
      <c r="K6" s="323">
        <v>623</v>
      </c>
      <c r="L6" s="323">
        <v>574</v>
      </c>
      <c r="M6" s="323">
        <v>416</v>
      </c>
      <c r="N6" s="323">
        <v>464</v>
      </c>
      <c r="O6" s="323">
        <v>526</v>
      </c>
      <c r="P6" s="323">
        <v>457</v>
      </c>
      <c r="Q6" s="323">
        <v>470</v>
      </c>
      <c r="R6" s="149">
        <v>2.8446389496717725E-2</v>
      </c>
      <c r="S6" s="147" t="s">
        <v>82</v>
      </c>
      <c r="T6" s="149">
        <v>-0.49700342465753422</v>
      </c>
      <c r="U6" s="147" t="s">
        <v>58</v>
      </c>
    </row>
    <row r="7" spans="1:21" s="147" customFormat="1" ht="20.25" customHeight="1">
      <c r="A7" s="290" t="s">
        <v>86</v>
      </c>
      <c r="B7" s="323">
        <v>199</v>
      </c>
      <c r="C7" s="323">
        <v>185</v>
      </c>
      <c r="D7" s="323">
        <v>179</v>
      </c>
      <c r="E7" s="324">
        <v>179</v>
      </c>
      <c r="F7" s="323">
        <v>155</v>
      </c>
      <c r="G7" s="328">
        <v>179.4</v>
      </c>
      <c r="H7" s="323">
        <v>147.16387653119784</v>
      </c>
      <c r="I7" s="323">
        <v>124.12746009946967</v>
      </c>
      <c r="J7" s="323">
        <v>108</v>
      </c>
      <c r="K7" s="323">
        <v>112</v>
      </c>
      <c r="L7" s="323">
        <v>91</v>
      </c>
      <c r="M7" s="323">
        <v>46</v>
      </c>
      <c r="N7" s="323">
        <v>71</v>
      </c>
      <c r="O7" s="323">
        <v>141</v>
      </c>
      <c r="P7" s="323">
        <v>124</v>
      </c>
      <c r="Q7" s="323">
        <v>115</v>
      </c>
      <c r="R7" s="149">
        <v>-7.2580645161290328E-2</v>
      </c>
      <c r="S7" s="147" t="s">
        <v>82</v>
      </c>
      <c r="T7" s="149">
        <v>-0.35897435897435898</v>
      </c>
      <c r="U7" s="147" t="s">
        <v>58</v>
      </c>
    </row>
    <row r="8" spans="1:21" s="147" customFormat="1" ht="20.25" customHeight="1">
      <c r="A8" s="290" t="s">
        <v>87</v>
      </c>
      <c r="B8" s="323">
        <v>31</v>
      </c>
      <c r="C8" s="323">
        <v>30</v>
      </c>
      <c r="D8" s="323">
        <v>18</v>
      </c>
      <c r="E8" s="324">
        <v>21</v>
      </c>
      <c r="F8" s="323">
        <v>17</v>
      </c>
      <c r="G8" s="328">
        <v>23.4</v>
      </c>
      <c r="H8" s="323">
        <v>12.46510326365367</v>
      </c>
      <c r="I8" s="323">
        <v>11.523318327987678</v>
      </c>
      <c r="J8" s="323">
        <v>15</v>
      </c>
      <c r="K8" s="323">
        <v>16</v>
      </c>
      <c r="L8" s="323">
        <v>19</v>
      </c>
      <c r="M8" s="323">
        <v>68</v>
      </c>
      <c r="N8" s="323">
        <v>115</v>
      </c>
      <c r="O8" s="323">
        <v>88</v>
      </c>
      <c r="P8" s="323">
        <v>79</v>
      </c>
      <c r="Q8" s="323">
        <v>70</v>
      </c>
      <c r="R8" s="149">
        <v>-0.11392405063291139</v>
      </c>
      <c r="S8" s="147" t="s">
        <v>82</v>
      </c>
      <c r="T8" s="149">
        <v>1.9914529914529917</v>
      </c>
      <c r="U8" s="147" t="s">
        <v>58</v>
      </c>
    </row>
    <row r="9" spans="1:21" s="147" customFormat="1" ht="20.25" customHeight="1">
      <c r="A9" s="290" t="s">
        <v>88</v>
      </c>
      <c r="B9" s="323">
        <v>63</v>
      </c>
      <c r="C9" s="323">
        <v>65</v>
      </c>
      <c r="D9" s="323">
        <v>53</v>
      </c>
      <c r="E9" s="324">
        <v>54</v>
      </c>
      <c r="F9" s="323">
        <v>46</v>
      </c>
      <c r="G9" s="328">
        <v>56.2</v>
      </c>
      <c r="H9" s="323">
        <v>41.97378568947002</v>
      </c>
      <c r="I9" s="323">
        <v>33.255523439676168</v>
      </c>
      <c r="J9" s="323">
        <v>27</v>
      </c>
      <c r="K9" s="323">
        <v>40</v>
      </c>
      <c r="L9" s="323">
        <v>44</v>
      </c>
      <c r="M9" s="323">
        <v>18</v>
      </c>
      <c r="N9" s="323">
        <v>27</v>
      </c>
      <c r="O9" s="323">
        <v>25</v>
      </c>
      <c r="P9" s="323">
        <v>30</v>
      </c>
      <c r="Q9" s="323">
        <v>34</v>
      </c>
      <c r="R9" s="149">
        <v>0.13333333333333333</v>
      </c>
      <c r="S9" s="147" t="s">
        <v>82</v>
      </c>
      <c r="T9" s="149">
        <v>-0.39501779359430605</v>
      </c>
      <c r="U9" s="147" t="s">
        <v>58</v>
      </c>
    </row>
    <row r="10" spans="1:21" s="147" customFormat="1" ht="20.25" customHeight="1">
      <c r="A10" s="290" t="s">
        <v>89</v>
      </c>
      <c r="B10" s="325" t="s">
        <v>56</v>
      </c>
      <c r="C10" s="325" t="s">
        <v>56</v>
      </c>
      <c r="D10" s="325" t="s">
        <v>56</v>
      </c>
      <c r="E10" s="325" t="s">
        <v>56</v>
      </c>
      <c r="F10" s="325" t="s">
        <v>56</v>
      </c>
      <c r="G10" s="339">
        <v>0</v>
      </c>
      <c r="H10" s="325" t="s">
        <v>56</v>
      </c>
      <c r="I10" s="325" t="s">
        <v>56</v>
      </c>
      <c r="J10" s="323">
        <v>24</v>
      </c>
      <c r="K10" s="323">
        <v>15</v>
      </c>
      <c r="L10" s="323">
        <v>14</v>
      </c>
      <c r="M10" s="323">
        <v>12</v>
      </c>
      <c r="N10" s="323">
        <v>11</v>
      </c>
      <c r="O10" s="323">
        <v>13</v>
      </c>
      <c r="P10" s="323">
        <v>22</v>
      </c>
      <c r="Q10" s="323">
        <v>12</v>
      </c>
      <c r="R10" s="149">
        <v>-0.45454545454545453</v>
      </c>
      <c r="S10" s="147" t="s">
        <v>58</v>
      </c>
      <c r="T10" s="150" t="s">
        <v>56</v>
      </c>
      <c r="U10" s="151" t="s">
        <v>56</v>
      </c>
    </row>
    <row r="11" spans="1:21" s="147" customFormat="1" ht="20.25" customHeight="1">
      <c r="A11" s="290" t="s">
        <v>90</v>
      </c>
      <c r="B11" s="323">
        <v>44.217070492378063</v>
      </c>
      <c r="C11" s="323">
        <v>49.47366313658511</v>
      </c>
      <c r="D11" s="323">
        <v>38.171110100859892</v>
      </c>
      <c r="E11" s="324">
        <v>40.205344354173825</v>
      </c>
      <c r="F11" s="323">
        <v>32.168774845611821</v>
      </c>
      <c r="G11" s="328">
        <v>40.847192585921746</v>
      </c>
      <c r="H11" s="323">
        <v>38.372207302297582</v>
      </c>
      <c r="I11" s="323">
        <v>40.098943099645012</v>
      </c>
      <c r="J11" s="323">
        <v>21</v>
      </c>
      <c r="K11" s="323">
        <v>31</v>
      </c>
      <c r="L11" s="323">
        <v>16</v>
      </c>
      <c r="M11" s="323">
        <v>6</v>
      </c>
      <c r="N11" s="323">
        <v>4</v>
      </c>
      <c r="O11" s="323">
        <v>12</v>
      </c>
      <c r="P11" s="323">
        <v>16</v>
      </c>
      <c r="Q11" s="323">
        <v>12</v>
      </c>
      <c r="R11" s="149">
        <v>-0.25</v>
      </c>
      <c r="S11" s="147" t="s">
        <v>82</v>
      </c>
      <c r="T11" s="149">
        <v>-0.70622216019477724</v>
      </c>
      <c r="U11" s="147" t="s">
        <v>58</v>
      </c>
    </row>
    <row r="12" spans="1:21" s="147" customFormat="1" ht="20.25" customHeight="1">
      <c r="A12" s="290" t="s">
        <v>91</v>
      </c>
      <c r="B12" s="326">
        <v>5385.2170704923783</v>
      </c>
      <c r="C12" s="326">
        <v>5213.4736631365849</v>
      </c>
      <c r="D12" s="326">
        <v>5200.1711101008596</v>
      </c>
      <c r="E12" s="327">
        <v>4317.2053443541736</v>
      </c>
      <c r="F12" s="326">
        <v>4230.1687748456116</v>
      </c>
      <c r="G12" s="340">
        <v>4869.2471925859209</v>
      </c>
      <c r="H12" s="326">
        <v>3919.9390276730542</v>
      </c>
      <c r="I12" s="326">
        <v>3817.5030976606058</v>
      </c>
      <c r="J12" s="326">
        <v>3881</v>
      </c>
      <c r="K12" s="326">
        <v>4065</v>
      </c>
      <c r="L12" s="326">
        <v>3905</v>
      </c>
      <c r="M12" s="326">
        <v>3070</v>
      </c>
      <c r="N12" s="326">
        <v>3579</v>
      </c>
      <c r="O12" s="326">
        <v>3961</v>
      </c>
      <c r="P12" s="326">
        <v>3710</v>
      </c>
      <c r="Q12" s="326">
        <v>3707</v>
      </c>
      <c r="R12" s="293">
        <v>-8.0862533692722374E-4</v>
      </c>
      <c r="S12" s="290" t="s">
        <v>82</v>
      </c>
      <c r="T12" s="293">
        <v>-0.23869135137677902</v>
      </c>
      <c r="U12" s="290" t="s">
        <v>58</v>
      </c>
    </row>
    <row r="13" spans="1:21" s="147" customFormat="1" ht="20.25" customHeight="1">
      <c r="A13" s="291" t="s">
        <v>66</v>
      </c>
      <c r="B13" s="328">
        <v>4869.2471925859209</v>
      </c>
      <c r="C13" s="328">
        <v>4869.2471925859209</v>
      </c>
      <c r="D13" s="328">
        <v>4869.2471925859209</v>
      </c>
      <c r="E13" s="329">
        <v>4869.2471925859209</v>
      </c>
      <c r="F13" s="328">
        <v>4869.2471925859209</v>
      </c>
      <c r="G13" s="328">
        <f>SUM(Table10[[#This Row],[2010]:[2014]])/5</f>
        <v>4869.2471925859209</v>
      </c>
      <c r="H13" s="328">
        <v>4869.2471925859209</v>
      </c>
      <c r="I13" s="328">
        <v>4869.2471925859209</v>
      </c>
      <c r="J13" s="328">
        <v>4869.2471925859209</v>
      </c>
      <c r="K13" s="328">
        <v>4869.2471925859209</v>
      </c>
      <c r="L13" s="328">
        <v>4869.2471925859209</v>
      </c>
      <c r="M13" s="328">
        <v>4869.2471925859209</v>
      </c>
      <c r="N13" s="328">
        <v>4869.2471925859209</v>
      </c>
      <c r="O13" s="328">
        <v>4869.2471925859209</v>
      </c>
      <c r="P13" s="328">
        <v>4869.2471925859209</v>
      </c>
      <c r="Q13" s="328">
        <v>4869.2471925859209</v>
      </c>
      <c r="R13" s="155" t="s">
        <v>56</v>
      </c>
      <c r="S13" s="154" t="s">
        <v>56</v>
      </c>
      <c r="T13" s="156" t="s">
        <v>56</v>
      </c>
      <c r="U13" s="154" t="s">
        <v>56</v>
      </c>
    </row>
    <row r="14" spans="1:21" s="1" customFormat="1" ht="20.25" customHeight="1">
      <c r="A14" s="153" t="s">
        <v>92</v>
      </c>
      <c r="B14" s="147"/>
      <c r="C14" s="147"/>
      <c r="D14" s="147"/>
      <c r="E14" s="148"/>
      <c r="F14" s="147"/>
      <c r="G14" s="147"/>
      <c r="H14" s="147"/>
      <c r="I14" s="147"/>
      <c r="J14" s="147"/>
      <c r="K14" s="147"/>
      <c r="L14" s="147"/>
      <c r="M14" s="147"/>
      <c r="N14" s="147"/>
      <c r="O14" s="147"/>
      <c r="P14" s="147"/>
      <c r="Q14" s="147"/>
      <c r="R14" s="147"/>
      <c r="S14" s="147"/>
      <c r="T14" s="147"/>
    </row>
    <row r="15" spans="1:21" s="1" customFormat="1" ht="20.25" customHeight="1">
      <c r="E15" s="8"/>
    </row>
    <row r="16" spans="1:21" s="1" customFormat="1" ht="20.25" customHeight="1">
      <c r="A16"/>
      <c r="B16"/>
      <c r="C16"/>
      <c r="D16"/>
      <c r="E16"/>
      <c r="F16"/>
      <c r="G16"/>
      <c r="H16"/>
      <c r="I16"/>
      <c r="J16"/>
      <c r="K16"/>
      <c r="L16"/>
      <c r="S16" s="351"/>
    </row>
    <row r="17" spans="5:23" s="1" customFormat="1" ht="20.25" customHeight="1"/>
    <row r="18" spans="5:23" s="1" customFormat="1" ht="20.25" customHeight="1"/>
    <row r="19" spans="5:23" s="1" customFormat="1" ht="20.25" customHeight="1"/>
    <row r="20" spans="5:23" s="1" customFormat="1" ht="20.25" customHeight="1"/>
    <row r="21" spans="5:23" s="1" customFormat="1" ht="20.25" customHeight="1"/>
    <row r="22" spans="5:23" s="1" customFormat="1" ht="20.25" customHeight="1"/>
    <row r="23" spans="5:23" s="1" customFormat="1" ht="21" customHeight="1">
      <c r="N23" s="30"/>
    </row>
    <row r="24" spans="5:23" ht="21" customHeight="1">
      <c r="E24" s="4"/>
      <c r="M24" s="1"/>
      <c r="W24" s="11"/>
    </row>
    <row r="25" spans="5:23" ht="21" customHeight="1">
      <c r="E25" s="4"/>
      <c r="M25" s="1"/>
      <c r="W25" s="11"/>
    </row>
    <row r="26" spans="5:23" ht="21" customHeight="1">
      <c r="E26" s="4"/>
      <c r="M26" s="1"/>
      <c r="W26" s="11"/>
    </row>
    <row r="27" spans="5:23" ht="21" customHeight="1">
      <c r="E27" s="4"/>
      <c r="M27" s="1"/>
      <c r="W27" s="11"/>
    </row>
    <row r="28" spans="5:23" ht="21" customHeight="1">
      <c r="E28" s="4"/>
      <c r="M28" s="1"/>
      <c r="W28" s="11"/>
    </row>
    <row r="29" spans="5:23" ht="21" customHeight="1">
      <c r="E29" s="4"/>
      <c r="M29" s="1"/>
      <c r="W29" s="11"/>
    </row>
    <row r="30" spans="5:23" ht="21" customHeight="1">
      <c r="E30" s="4"/>
      <c r="M30" s="1"/>
      <c r="W30" s="11"/>
    </row>
    <row r="31" spans="5:23" ht="21" customHeight="1">
      <c r="E31" s="4"/>
      <c r="M31" s="1"/>
      <c r="W31" s="11"/>
    </row>
    <row r="32" spans="5:23" ht="21" customHeight="1">
      <c r="E32" s="4"/>
      <c r="M32" s="1"/>
      <c r="W32" s="11"/>
    </row>
    <row r="33" spans="1:23" ht="21" customHeight="1">
      <c r="E33" s="4"/>
      <c r="W33" s="11"/>
    </row>
    <row r="34" spans="1:23" ht="17.5">
      <c r="E34" s="4"/>
      <c r="W34" s="11"/>
    </row>
    <row r="35" spans="1:23" ht="21" customHeight="1">
      <c r="E35" s="4"/>
      <c r="W35" s="11"/>
    </row>
    <row r="36" spans="1:23" ht="17.5">
      <c r="E36" s="4"/>
      <c r="W36" s="11"/>
    </row>
    <row r="37" spans="1:23" ht="17.5">
      <c r="E37" s="4"/>
    </row>
    <row r="38" spans="1:23" ht="21" customHeight="1">
      <c r="B38" s="35"/>
    </row>
    <row r="44" spans="1:23" ht="21" customHeight="1">
      <c r="A44" s="92" t="s">
        <v>59</v>
      </c>
    </row>
    <row r="45" spans="1:23" ht="21" customHeight="1">
      <c r="A45" s="92" t="s">
        <v>50</v>
      </c>
    </row>
    <row r="46" spans="1:23" ht="21" customHeight="1">
      <c r="A46" s="2"/>
    </row>
    <row r="47" spans="1:23" ht="21" customHeight="1">
      <c r="A47" s="1"/>
    </row>
  </sheetData>
  <phoneticPr fontId="43" type="noConversion"/>
  <hyperlinks>
    <hyperlink ref="A44" location="'Table of contents'!A1" display="Back to Table of contents" xr:uid="{E6F2D83B-9B1B-416C-8C58-709C16A5E7A8}"/>
    <hyperlink ref="A45" r:id="rId1" display="Back to Road Casualties in Greater London 2024 Factsheet" xr:uid="{930F2DE4-A192-4D72-A9E3-7EE9828A12BD}"/>
  </hyperlinks>
  <pageMargins left="0.19" right="0.18" top="1" bottom="1" header="0.5" footer="0.5"/>
  <pageSetup paperSize="9" scale="43" orientation="landscape" horizontalDpi="300" verticalDpi="300" r:id="rId2"/>
  <headerFooter alignWithMargins="0">
    <oddHeader>&amp;R&amp;"Arial,Bold Italic"&amp;11ITEM 8.1</oddHeader>
  </headerFooter>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E5A79-6A02-40B6-966D-23CC9D16EF4C}">
  <sheetPr codeName="Sheet4">
    <tabColor rgb="FF92D050"/>
    <pageSetUpPr fitToPage="1"/>
  </sheetPr>
  <dimension ref="A1:Z49"/>
  <sheetViews>
    <sheetView showGridLines="0" zoomScaleNormal="100" workbookViewId="0"/>
  </sheetViews>
  <sheetFormatPr defaultRowHeight="21" customHeight="1"/>
  <cols>
    <col min="1" max="1" width="15.4609375" style="4" customWidth="1"/>
    <col min="2" max="2" width="26.84375" style="4" customWidth="1"/>
    <col min="3" max="3" width="11.69140625" style="4" customWidth="1"/>
    <col min="4" max="4" width="20.53515625" style="4" bestFit="1" customWidth="1"/>
    <col min="5" max="5" width="12.4609375" style="4" customWidth="1"/>
    <col min="6" max="17" width="8.765625" style="4" customWidth="1"/>
    <col min="18" max="248" width="9.23046875" style="4" bestFit="1"/>
    <col min="249" max="249" width="22.23046875" style="4" bestFit="1" customWidth="1"/>
    <col min="250" max="250" width="8.23046875" style="4" customWidth="1"/>
    <col min="251" max="252" width="9.23046875" style="4" bestFit="1"/>
    <col min="253" max="253" width="10" style="4" customWidth="1"/>
    <col min="254" max="255" width="9.23046875" style="4" bestFit="1"/>
    <col min="256" max="256" width="8.23046875" style="4" customWidth="1"/>
    <col min="257" max="258" width="9.23046875" style="4" bestFit="1"/>
    <col min="259" max="259" width="7.765625" style="4" customWidth="1"/>
    <col min="260" max="262" width="9.23046875" style="4" bestFit="1"/>
    <col min="263" max="263" width="7.765625" style="4" customWidth="1"/>
    <col min="264" max="504" width="9.23046875" style="4" bestFit="1"/>
    <col min="505" max="505" width="22.23046875" style="4" bestFit="1" customWidth="1"/>
    <col min="506" max="506" width="8.23046875" style="4" customWidth="1"/>
    <col min="507" max="508" width="9.23046875" style="4" bestFit="1"/>
    <col min="509" max="509" width="10" style="4" customWidth="1"/>
    <col min="510" max="511" width="9.23046875" style="4" bestFit="1"/>
    <col min="512" max="512" width="8.23046875" style="4" customWidth="1"/>
    <col min="513" max="514" width="9.23046875" style="4" bestFit="1"/>
    <col min="515" max="515" width="7.765625" style="4" customWidth="1"/>
    <col min="516" max="518" width="9.23046875" style="4" bestFit="1"/>
    <col min="519" max="519" width="7.765625" style="4" customWidth="1"/>
    <col min="520" max="760" width="9.23046875" style="4" bestFit="1"/>
    <col min="761" max="761" width="22.23046875" style="4" bestFit="1" customWidth="1"/>
    <col min="762" max="762" width="8.23046875" style="4" customWidth="1"/>
    <col min="763" max="764" width="9.23046875" style="4" bestFit="1"/>
    <col min="765" max="765" width="10" style="4" customWidth="1"/>
    <col min="766" max="767" width="9.23046875" style="4" bestFit="1"/>
    <col min="768" max="768" width="8.23046875" style="4" customWidth="1"/>
    <col min="769" max="770" width="9.23046875" style="4" bestFit="1"/>
    <col min="771" max="771" width="7.765625" style="4" customWidth="1"/>
    <col min="772" max="774" width="9.23046875" style="4" bestFit="1"/>
    <col min="775" max="775" width="7.765625" style="4" customWidth="1"/>
    <col min="776" max="1016" width="9.23046875" style="4" bestFit="1"/>
    <col min="1017" max="1017" width="22.23046875" style="4" bestFit="1" customWidth="1"/>
    <col min="1018" max="1018" width="8.23046875" style="4" customWidth="1"/>
    <col min="1019" max="1020" width="9.23046875" style="4" bestFit="1"/>
    <col min="1021" max="1021" width="10" style="4" customWidth="1"/>
    <col min="1022" max="1023" width="9.23046875" style="4" bestFit="1"/>
    <col min="1024" max="1024" width="8.23046875" style="4" customWidth="1"/>
    <col min="1025" max="1026" width="9.23046875" style="4" bestFit="1"/>
    <col min="1027" max="1027" width="7.765625" style="4" customWidth="1"/>
    <col min="1028" max="1030" width="9.23046875" style="4" bestFit="1"/>
    <col min="1031" max="1031" width="7.765625" style="4" customWidth="1"/>
    <col min="1032" max="1272" width="9.23046875" style="4" bestFit="1"/>
    <col min="1273" max="1273" width="22.23046875" style="4" bestFit="1" customWidth="1"/>
    <col min="1274" max="1274" width="8.23046875" style="4" customWidth="1"/>
    <col min="1275" max="1276" width="9.23046875" style="4" bestFit="1"/>
    <col min="1277" max="1277" width="10" style="4" customWidth="1"/>
    <col min="1278" max="1279" width="9.23046875" style="4" bestFit="1"/>
    <col min="1280" max="1280" width="8.23046875" style="4" customWidth="1"/>
    <col min="1281" max="1282" width="9.23046875" style="4" bestFit="1"/>
    <col min="1283" max="1283" width="7.765625" style="4" customWidth="1"/>
    <col min="1284" max="1286" width="9.23046875" style="4" bestFit="1"/>
    <col min="1287" max="1287" width="7.765625" style="4" customWidth="1"/>
    <col min="1288" max="1528" width="9.23046875" style="4" bestFit="1"/>
    <col min="1529" max="1529" width="22.23046875" style="4" bestFit="1" customWidth="1"/>
    <col min="1530" max="1530" width="8.23046875" style="4" customWidth="1"/>
    <col min="1531" max="1532" width="9.23046875" style="4" bestFit="1"/>
    <col min="1533" max="1533" width="10" style="4" customWidth="1"/>
    <col min="1534" max="1535" width="9.23046875" style="4" bestFit="1"/>
    <col min="1536" max="1536" width="8.23046875" style="4" customWidth="1"/>
    <col min="1537" max="1538" width="9.23046875" style="4" bestFit="1"/>
    <col min="1539" max="1539" width="7.765625" style="4" customWidth="1"/>
    <col min="1540" max="1542" width="9.23046875" style="4" bestFit="1"/>
    <col min="1543" max="1543" width="7.765625" style="4" customWidth="1"/>
    <col min="1544" max="1784" width="9.23046875" style="4" bestFit="1"/>
    <col min="1785" max="1785" width="22.23046875" style="4" bestFit="1" customWidth="1"/>
    <col min="1786" max="1786" width="8.23046875" style="4" customWidth="1"/>
    <col min="1787" max="1788" width="9.23046875" style="4" bestFit="1"/>
    <col min="1789" max="1789" width="10" style="4" customWidth="1"/>
    <col min="1790" max="1791" width="9.23046875" style="4" bestFit="1"/>
    <col min="1792" max="1792" width="8.23046875" style="4" customWidth="1"/>
    <col min="1793" max="1794" width="9.23046875" style="4" bestFit="1"/>
    <col min="1795" max="1795" width="7.765625" style="4" customWidth="1"/>
    <col min="1796" max="1798" width="9.23046875" style="4" bestFit="1"/>
    <col min="1799" max="1799" width="7.765625" style="4" customWidth="1"/>
    <col min="1800" max="2040" width="9.23046875" style="4" bestFit="1"/>
    <col min="2041" max="2041" width="22.23046875" style="4" bestFit="1" customWidth="1"/>
    <col min="2042" max="2042" width="8.23046875" style="4" customWidth="1"/>
    <col min="2043" max="2044" width="9.23046875" style="4" bestFit="1"/>
    <col min="2045" max="2045" width="10" style="4" customWidth="1"/>
    <col min="2046" max="2047" width="9.23046875" style="4" bestFit="1"/>
    <col min="2048" max="2048" width="8.23046875" style="4" customWidth="1"/>
    <col min="2049" max="2050" width="9.23046875" style="4" bestFit="1"/>
    <col min="2051" max="2051" width="7.765625" style="4" customWidth="1"/>
    <col min="2052" max="2054" width="9.23046875" style="4" bestFit="1"/>
    <col min="2055" max="2055" width="7.765625" style="4" customWidth="1"/>
    <col min="2056" max="2296" width="9.23046875" style="4" bestFit="1"/>
    <col min="2297" max="2297" width="22.23046875" style="4" bestFit="1" customWidth="1"/>
    <col min="2298" max="2298" width="8.23046875" style="4" customWidth="1"/>
    <col min="2299" max="2300" width="9.23046875" style="4" bestFit="1"/>
    <col min="2301" max="2301" width="10" style="4" customWidth="1"/>
    <col min="2302" max="2303" width="9.23046875" style="4" bestFit="1"/>
    <col min="2304" max="2304" width="8.23046875" style="4" customWidth="1"/>
    <col min="2305" max="2306" width="9.23046875" style="4" bestFit="1"/>
    <col min="2307" max="2307" width="7.765625" style="4" customWidth="1"/>
    <col min="2308" max="2310" width="9.23046875" style="4" bestFit="1"/>
    <col min="2311" max="2311" width="7.765625" style="4" customWidth="1"/>
    <col min="2312" max="2552" width="9.23046875" style="4" bestFit="1"/>
    <col min="2553" max="2553" width="22.23046875" style="4" bestFit="1" customWidth="1"/>
    <col min="2554" max="2554" width="8.23046875" style="4" customWidth="1"/>
    <col min="2555" max="2556" width="9.23046875" style="4" bestFit="1"/>
    <col min="2557" max="2557" width="10" style="4" customWidth="1"/>
    <col min="2558" max="2559" width="9.23046875" style="4" bestFit="1"/>
    <col min="2560" max="2560" width="8.23046875" style="4" customWidth="1"/>
    <col min="2561" max="2562" width="9.23046875" style="4" bestFit="1"/>
    <col min="2563" max="2563" width="7.765625" style="4" customWidth="1"/>
    <col min="2564" max="2566" width="9.23046875" style="4" bestFit="1"/>
    <col min="2567" max="2567" width="7.765625" style="4" customWidth="1"/>
    <col min="2568" max="2808" width="9.23046875" style="4" bestFit="1"/>
    <col min="2809" max="2809" width="22.23046875" style="4" bestFit="1" customWidth="1"/>
    <col min="2810" max="2810" width="8.23046875" style="4" customWidth="1"/>
    <col min="2811" max="2812" width="9.23046875" style="4" bestFit="1"/>
    <col min="2813" max="2813" width="10" style="4" customWidth="1"/>
    <col min="2814" max="2815" width="9.23046875" style="4" bestFit="1"/>
    <col min="2816" max="2816" width="8.23046875" style="4" customWidth="1"/>
    <col min="2817" max="2818" width="9.23046875" style="4" bestFit="1"/>
    <col min="2819" max="2819" width="7.765625" style="4" customWidth="1"/>
    <col min="2820" max="2822" width="9.23046875" style="4" bestFit="1"/>
    <col min="2823" max="2823" width="7.765625" style="4" customWidth="1"/>
    <col min="2824" max="3064" width="9.23046875" style="4" bestFit="1"/>
    <col min="3065" max="3065" width="22.23046875" style="4" bestFit="1" customWidth="1"/>
    <col min="3066" max="3066" width="8.23046875" style="4" customWidth="1"/>
    <col min="3067" max="3068" width="9.23046875" style="4" bestFit="1"/>
    <col min="3069" max="3069" width="10" style="4" customWidth="1"/>
    <col min="3070" max="3071" width="9.23046875" style="4" bestFit="1"/>
    <col min="3072" max="3072" width="8.23046875" style="4" customWidth="1"/>
    <col min="3073" max="3074" width="9.23046875" style="4" bestFit="1"/>
    <col min="3075" max="3075" width="7.765625" style="4" customWidth="1"/>
    <col min="3076" max="3078" width="9.23046875" style="4" bestFit="1"/>
    <col min="3079" max="3079" width="7.765625" style="4" customWidth="1"/>
    <col min="3080" max="3320" width="9.23046875" style="4" bestFit="1"/>
    <col min="3321" max="3321" width="22.23046875" style="4" bestFit="1" customWidth="1"/>
    <col min="3322" max="3322" width="8.23046875" style="4" customWidth="1"/>
    <col min="3323" max="3324" width="9.23046875" style="4" bestFit="1"/>
    <col min="3325" max="3325" width="10" style="4" customWidth="1"/>
    <col min="3326" max="3327" width="9.23046875" style="4" bestFit="1"/>
    <col min="3328" max="3328" width="8.23046875" style="4" customWidth="1"/>
    <col min="3329" max="3330" width="9.23046875" style="4" bestFit="1"/>
    <col min="3331" max="3331" width="7.765625" style="4" customWidth="1"/>
    <col min="3332" max="3334" width="9.23046875" style="4" bestFit="1"/>
    <col min="3335" max="3335" width="7.765625" style="4" customWidth="1"/>
    <col min="3336" max="3576" width="9.23046875" style="4" bestFit="1"/>
    <col min="3577" max="3577" width="22.23046875" style="4" bestFit="1" customWidth="1"/>
    <col min="3578" max="3578" width="8.23046875" style="4" customWidth="1"/>
    <col min="3579" max="3580" width="9.23046875" style="4" bestFit="1"/>
    <col min="3581" max="3581" width="10" style="4" customWidth="1"/>
    <col min="3582" max="3583" width="9.23046875" style="4" bestFit="1"/>
    <col min="3584" max="3584" width="8.23046875" style="4" customWidth="1"/>
    <col min="3585" max="3586" width="9.23046875" style="4" bestFit="1"/>
    <col min="3587" max="3587" width="7.765625" style="4" customWidth="1"/>
    <col min="3588" max="3590" width="9.23046875" style="4" bestFit="1"/>
    <col min="3591" max="3591" width="7.765625" style="4" customWidth="1"/>
    <col min="3592" max="3832" width="9.23046875" style="4" bestFit="1"/>
    <col min="3833" max="3833" width="22.23046875" style="4" bestFit="1" customWidth="1"/>
    <col min="3834" max="3834" width="8.23046875" style="4" customWidth="1"/>
    <col min="3835" max="3836" width="9.23046875" style="4" bestFit="1"/>
    <col min="3837" max="3837" width="10" style="4" customWidth="1"/>
    <col min="3838" max="3839" width="9.23046875" style="4" bestFit="1"/>
    <col min="3840" max="3840" width="8.23046875" style="4" customWidth="1"/>
    <col min="3841" max="3842" width="9.23046875" style="4" bestFit="1"/>
    <col min="3843" max="3843" width="7.765625" style="4" customWidth="1"/>
    <col min="3844" max="3846" width="9.23046875" style="4" bestFit="1"/>
    <col min="3847" max="3847" width="7.765625" style="4" customWidth="1"/>
    <col min="3848" max="4088" width="9.23046875" style="4" bestFit="1"/>
    <col min="4089" max="4089" width="22.23046875" style="4" bestFit="1" customWidth="1"/>
    <col min="4090" max="4090" width="8.23046875" style="4" customWidth="1"/>
    <col min="4091" max="4092" width="9.23046875" style="4" bestFit="1"/>
    <col min="4093" max="4093" width="10" style="4" customWidth="1"/>
    <col min="4094" max="4095" width="9.23046875" style="4" bestFit="1"/>
    <col min="4096" max="4096" width="8.23046875" style="4" customWidth="1"/>
    <col min="4097" max="4098" width="9.23046875" style="4" bestFit="1"/>
    <col min="4099" max="4099" width="7.765625" style="4" customWidth="1"/>
    <col min="4100" max="4102" width="9.23046875" style="4" bestFit="1"/>
    <col min="4103" max="4103" width="7.765625" style="4" customWidth="1"/>
    <col min="4104" max="4344" width="9.23046875" style="4" bestFit="1"/>
    <col min="4345" max="4345" width="22.23046875" style="4" bestFit="1" customWidth="1"/>
    <col min="4346" max="4346" width="8.23046875" style="4" customWidth="1"/>
    <col min="4347" max="4348" width="9.23046875" style="4" bestFit="1"/>
    <col min="4349" max="4349" width="10" style="4" customWidth="1"/>
    <col min="4350" max="4351" width="9.23046875" style="4" bestFit="1"/>
    <col min="4352" max="4352" width="8.23046875" style="4" customWidth="1"/>
    <col min="4353" max="4354" width="9.23046875" style="4" bestFit="1"/>
    <col min="4355" max="4355" width="7.765625" style="4" customWidth="1"/>
    <col min="4356" max="4358" width="9.23046875" style="4" bestFit="1"/>
    <col min="4359" max="4359" width="7.765625" style="4" customWidth="1"/>
    <col min="4360" max="4600" width="9.23046875" style="4" bestFit="1"/>
    <col min="4601" max="4601" width="22.23046875" style="4" bestFit="1" customWidth="1"/>
    <col min="4602" max="4602" width="8.23046875" style="4" customWidth="1"/>
    <col min="4603" max="4604" width="9.23046875" style="4" bestFit="1"/>
    <col min="4605" max="4605" width="10" style="4" customWidth="1"/>
    <col min="4606" max="4607" width="9.23046875" style="4" bestFit="1"/>
    <col min="4608" max="4608" width="8.23046875" style="4" customWidth="1"/>
    <col min="4609" max="4610" width="9.23046875" style="4" bestFit="1"/>
    <col min="4611" max="4611" width="7.765625" style="4" customWidth="1"/>
    <col min="4612" max="4614" width="9.23046875" style="4" bestFit="1"/>
    <col min="4615" max="4615" width="7.765625" style="4" customWidth="1"/>
    <col min="4616" max="4856" width="9.23046875" style="4" bestFit="1"/>
    <col min="4857" max="4857" width="22.23046875" style="4" bestFit="1" customWidth="1"/>
    <col min="4858" max="4858" width="8.23046875" style="4" customWidth="1"/>
    <col min="4859" max="4860" width="9.23046875" style="4" bestFit="1"/>
    <col min="4861" max="4861" width="10" style="4" customWidth="1"/>
    <col min="4862" max="4863" width="9.23046875" style="4" bestFit="1"/>
    <col min="4864" max="4864" width="8.23046875" style="4" customWidth="1"/>
    <col min="4865" max="4866" width="9.23046875" style="4" bestFit="1"/>
    <col min="4867" max="4867" width="7.765625" style="4" customWidth="1"/>
    <col min="4868" max="4870" width="9.23046875" style="4" bestFit="1"/>
    <col min="4871" max="4871" width="7.765625" style="4" customWidth="1"/>
    <col min="4872" max="5112" width="9.23046875" style="4" bestFit="1"/>
    <col min="5113" max="5113" width="22.23046875" style="4" bestFit="1" customWidth="1"/>
    <col min="5114" max="5114" width="8.23046875" style="4" customWidth="1"/>
    <col min="5115" max="5116" width="9.23046875" style="4" bestFit="1"/>
    <col min="5117" max="5117" width="10" style="4" customWidth="1"/>
    <col min="5118" max="5119" width="9.23046875" style="4" bestFit="1"/>
    <col min="5120" max="5120" width="8.23046875" style="4" customWidth="1"/>
    <col min="5121" max="5122" width="9.23046875" style="4" bestFit="1"/>
    <col min="5123" max="5123" width="7.765625" style="4" customWidth="1"/>
    <col min="5124" max="5126" width="9.23046875" style="4" bestFit="1"/>
    <col min="5127" max="5127" width="7.765625" style="4" customWidth="1"/>
    <col min="5128" max="5368" width="9.23046875" style="4" bestFit="1"/>
    <col min="5369" max="5369" width="22.23046875" style="4" bestFit="1" customWidth="1"/>
    <col min="5370" max="5370" width="8.23046875" style="4" customWidth="1"/>
    <col min="5371" max="5372" width="9.23046875" style="4" bestFit="1"/>
    <col min="5373" max="5373" width="10" style="4" customWidth="1"/>
    <col min="5374" max="5375" width="9.23046875" style="4" bestFit="1"/>
    <col min="5376" max="5376" width="8.23046875" style="4" customWidth="1"/>
    <col min="5377" max="5378" width="9.23046875" style="4" bestFit="1"/>
    <col min="5379" max="5379" width="7.765625" style="4" customWidth="1"/>
    <col min="5380" max="5382" width="9.23046875" style="4" bestFit="1"/>
    <col min="5383" max="5383" width="7.765625" style="4" customWidth="1"/>
    <col min="5384" max="5624" width="9.23046875" style="4" bestFit="1"/>
    <col min="5625" max="5625" width="22.23046875" style="4" bestFit="1" customWidth="1"/>
    <col min="5626" max="5626" width="8.23046875" style="4" customWidth="1"/>
    <col min="5627" max="5628" width="9.23046875" style="4" bestFit="1"/>
    <col min="5629" max="5629" width="10" style="4" customWidth="1"/>
    <col min="5630" max="5631" width="9.23046875" style="4" bestFit="1"/>
    <col min="5632" max="5632" width="8.23046875" style="4" customWidth="1"/>
    <col min="5633" max="5634" width="9.23046875" style="4" bestFit="1"/>
    <col min="5635" max="5635" width="7.765625" style="4" customWidth="1"/>
    <col min="5636" max="5638" width="9.23046875" style="4" bestFit="1"/>
    <col min="5639" max="5639" width="7.765625" style="4" customWidth="1"/>
    <col min="5640" max="5880" width="9.23046875" style="4" bestFit="1"/>
    <col min="5881" max="5881" width="22.23046875" style="4" bestFit="1" customWidth="1"/>
    <col min="5882" max="5882" width="8.23046875" style="4" customWidth="1"/>
    <col min="5883" max="5884" width="9.23046875" style="4" bestFit="1"/>
    <col min="5885" max="5885" width="10" style="4" customWidth="1"/>
    <col min="5886" max="5887" width="9.23046875" style="4" bestFit="1"/>
    <col min="5888" max="5888" width="8.23046875" style="4" customWidth="1"/>
    <col min="5889" max="5890" width="9.23046875" style="4" bestFit="1"/>
    <col min="5891" max="5891" width="7.765625" style="4" customWidth="1"/>
    <col min="5892" max="5894" width="9.23046875" style="4" bestFit="1"/>
    <col min="5895" max="5895" width="7.765625" style="4" customWidth="1"/>
    <col min="5896" max="6136" width="9.23046875" style="4" bestFit="1"/>
    <col min="6137" max="6137" width="22.23046875" style="4" bestFit="1" customWidth="1"/>
    <col min="6138" max="6138" width="8.23046875" style="4" customWidth="1"/>
    <col min="6139" max="6140" width="9.23046875" style="4" bestFit="1"/>
    <col min="6141" max="6141" width="10" style="4" customWidth="1"/>
    <col min="6142" max="6143" width="9.23046875" style="4" bestFit="1"/>
    <col min="6144" max="6144" width="8.23046875" style="4" customWidth="1"/>
    <col min="6145" max="6146" width="9.23046875" style="4" bestFit="1"/>
    <col min="6147" max="6147" width="7.765625" style="4" customWidth="1"/>
    <col min="6148" max="6150" width="9.23046875" style="4" bestFit="1"/>
    <col min="6151" max="6151" width="7.765625" style="4" customWidth="1"/>
    <col min="6152" max="6392" width="9.23046875" style="4" bestFit="1"/>
    <col min="6393" max="6393" width="22.23046875" style="4" bestFit="1" customWidth="1"/>
    <col min="6394" max="6394" width="8.23046875" style="4" customWidth="1"/>
    <col min="6395" max="6396" width="9.23046875" style="4" bestFit="1"/>
    <col min="6397" max="6397" width="10" style="4" customWidth="1"/>
    <col min="6398" max="6399" width="9.23046875" style="4" bestFit="1"/>
    <col min="6400" max="6400" width="8.23046875" style="4" customWidth="1"/>
    <col min="6401" max="6402" width="9.23046875" style="4" bestFit="1"/>
    <col min="6403" max="6403" width="7.765625" style="4" customWidth="1"/>
    <col min="6404" max="6406" width="9.23046875" style="4" bestFit="1"/>
    <col min="6407" max="6407" width="7.765625" style="4" customWidth="1"/>
    <col min="6408" max="6648" width="9.23046875" style="4" bestFit="1"/>
    <col min="6649" max="6649" width="22.23046875" style="4" bestFit="1" customWidth="1"/>
    <col min="6650" max="6650" width="8.23046875" style="4" customWidth="1"/>
    <col min="6651" max="6652" width="9.23046875" style="4" bestFit="1"/>
    <col min="6653" max="6653" width="10" style="4" customWidth="1"/>
    <col min="6654" max="6655" width="9.23046875" style="4" bestFit="1"/>
    <col min="6656" max="6656" width="8.23046875" style="4" customWidth="1"/>
    <col min="6657" max="6658" width="9.23046875" style="4" bestFit="1"/>
    <col min="6659" max="6659" width="7.765625" style="4" customWidth="1"/>
    <col min="6660" max="6662" width="9.23046875" style="4" bestFit="1"/>
    <col min="6663" max="6663" width="7.765625" style="4" customWidth="1"/>
    <col min="6664" max="6904" width="9.23046875" style="4" bestFit="1"/>
    <col min="6905" max="6905" width="22.23046875" style="4" bestFit="1" customWidth="1"/>
    <col min="6906" max="6906" width="8.23046875" style="4" customWidth="1"/>
    <col min="6907" max="6908" width="9.23046875" style="4" bestFit="1"/>
    <col min="6909" max="6909" width="10" style="4" customWidth="1"/>
    <col min="6910" max="6911" width="9.23046875" style="4" bestFit="1"/>
    <col min="6912" max="6912" width="8.23046875" style="4" customWidth="1"/>
    <col min="6913" max="6914" width="9.23046875" style="4" bestFit="1"/>
    <col min="6915" max="6915" width="7.765625" style="4" customWidth="1"/>
    <col min="6916" max="6918" width="9.23046875" style="4" bestFit="1"/>
    <col min="6919" max="6919" width="7.765625" style="4" customWidth="1"/>
    <col min="6920" max="7160" width="9.23046875" style="4" bestFit="1"/>
    <col min="7161" max="7161" width="22.23046875" style="4" bestFit="1" customWidth="1"/>
    <col min="7162" max="7162" width="8.23046875" style="4" customWidth="1"/>
    <col min="7163" max="7164" width="9.23046875" style="4" bestFit="1"/>
    <col min="7165" max="7165" width="10" style="4" customWidth="1"/>
    <col min="7166" max="7167" width="9.23046875" style="4" bestFit="1"/>
    <col min="7168" max="7168" width="8.23046875" style="4" customWidth="1"/>
    <col min="7169" max="7170" width="9.23046875" style="4" bestFit="1"/>
    <col min="7171" max="7171" width="7.765625" style="4" customWidth="1"/>
    <col min="7172" max="7174" width="9.23046875" style="4" bestFit="1"/>
    <col min="7175" max="7175" width="7.765625" style="4" customWidth="1"/>
    <col min="7176" max="7416" width="9.23046875" style="4" bestFit="1"/>
    <col min="7417" max="7417" width="22.23046875" style="4" bestFit="1" customWidth="1"/>
    <col min="7418" max="7418" width="8.23046875" style="4" customWidth="1"/>
    <col min="7419" max="7420" width="9.23046875" style="4" bestFit="1"/>
    <col min="7421" max="7421" width="10" style="4" customWidth="1"/>
    <col min="7422" max="7423" width="9.23046875" style="4" bestFit="1"/>
    <col min="7424" max="7424" width="8.23046875" style="4" customWidth="1"/>
    <col min="7425" max="7426" width="9.23046875" style="4" bestFit="1"/>
    <col min="7427" max="7427" width="7.765625" style="4" customWidth="1"/>
    <col min="7428" max="7430" width="9.23046875" style="4" bestFit="1"/>
    <col min="7431" max="7431" width="7.765625" style="4" customWidth="1"/>
    <col min="7432" max="7672" width="9.23046875" style="4" bestFit="1"/>
    <col min="7673" max="7673" width="22.23046875" style="4" bestFit="1" customWidth="1"/>
    <col min="7674" max="7674" width="8.23046875" style="4" customWidth="1"/>
    <col min="7675" max="7676" width="9.23046875" style="4" bestFit="1"/>
    <col min="7677" max="7677" width="10" style="4" customWidth="1"/>
    <col min="7678" max="7679" width="9.23046875" style="4" bestFit="1"/>
    <col min="7680" max="7680" width="8.23046875" style="4" customWidth="1"/>
    <col min="7681" max="7682" width="9.23046875" style="4" bestFit="1"/>
    <col min="7683" max="7683" width="7.765625" style="4" customWidth="1"/>
    <col min="7684" max="7686" width="9.23046875" style="4" bestFit="1"/>
    <col min="7687" max="7687" width="7.765625" style="4" customWidth="1"/>
    <col min="7688" max="7928" width="9.23046875" style="4" bestFit="1"/>
    <col min="7929" max="7929" width="22.23046875" style="4" bestFit="1" customWidth="1"/>
    <col min="7930" max="7930" width="8.23046875" style="4" customWidth="1"/>
    <col min="7931" max="7932" width="9.23046875" style="4" bestFit="1"/>
    <col min="7933" max="7933" width="10" style="4" customWidth="1"/>
    <col min="7934" max="7935" width="9.23046875" style="4" bestFit="1"/>
    <col min="7936" max="7936" width="8.23046875" style="4" customWidth="1"/>
    <col min="7937" max="7938" width="9.23046875" style="4" bestFit="1"/>
    <col min="7939" max="7939" width="7.765625" style="4" customWidth="1"/>
    <col min="7940" max="7942" width="9.23046875" style="4" bestFit="1"/>
    <col min="7943" max="7943" width="7.765625" style="4" customWidth="1"/>
    <col min="7944" max="8184" width="9.23046875" style="4" bestFit="1"/>
    <col min="8185" max="8185" width="22.23046875" style="4" bestFit="1" customWidth="1"/>
    <col min="8186" max="8186" width="8.23046875" style="4" customWidth="1"/>
    <col min="8187" max="8188" width="9.23046875" style="4" bestFit="1"/>
    <col min="8189" max="8189" width="10" style="4" customWidth="1"/>
    <col min="8190" max="8191" width="9.23046875" style="4" bestFit="1"/>
    <col min="8192" max="8192" width="8.23046875" style="4" customWidth="1"/>
    <col min="8193" max="8194" width="9.23046875" style="4" bestFit="1"/>
    <col min="8195" max="8195" width="7.765625" style="4" customWidth="1"/>
    <col min="8196" max="8198" width="9.23046875" style="4" bestFit="1"/>
    <col min="8199" max="8199" width="7.765625" style="4" customWidth="1"/>
    <col min="8200" max="8440" width="9.23046875" style="4" bestFit="1"/>
    <col min="8441" max="8441" width="22.23046875" style="4" bestFit="1" customWidth="1"/>
    <col min="8442" max="8442" width="8.23046875" style="4" customWidth="1"/>
    <col min="8443" max="8444" width="9.23046875" style="4" bestFit="1"/>
    <col min="8445" max="8445" width="10" style="4" customWidth="1"/>
    <col min="8446" max="8447" width="9.23046875" style="4" bestFit="1"/>
    <col min="8448" max="8448" width="8.23046875" style="4" customWidth="1"/>
    <col min="8449" max="8450" width="9.23046875" style="4" bestFit="1"/>
    <col min="8451" max="8451" width="7.765625" style="4" customWidth="1"/>
    <col min="8452" max="8454" width="9.23046875" style="4" bestFit="1"/>
    <col min="8455" max="8455" width="7.765625" style="4" customWidth="1"/>
    <col min="8456" max="8696" width="9.23046875" style="4" bestFit="1"/>
    <col min="8697" max="8697" width="22.23046875" style="4" bestFit="1" customWidth="1"/>
    <col min="8698" max="8698" width="8.23046875" style="4" customWidth="1"/>
    <col min="8699" max="8700" width="9.23046875" style="4" bestFit="1"/>
    <col min="8701" max="8701" width="10" style="4" customWidth="1"/>
    <col min="8702" max="8703" width="9.23046875" style="4" bestFit="1"/>
    <col min="8704" max="8704" width="8.23046875" style="4" customWidth="1"/>
    <col min="8705" max="8706" width="9.23046875" style="4" bestFit="1"/>
    <col min="8707" max="8707" width="7.765625" style="4" customWidth="1"/>
    <col min="8708" max="8710" width="9.23046875" style="4" bestFit="1"/>
    <col min="8711" max="8711" width="7.765625" style="4" customWidth="1"/>
    <col min="8712" max="8952" width="9.23046875" style="4" bestFit="1"/>
    <col min="8953" max="8953" width="22.23046875" style="4" bestFit="1" customWidth="1"/>
    <col min="8954" max="8954" width="8.23046875" style="4" customWidth="1"/>
    <col min="8955" max="8956" width="9.23046875" style="4" bestFit="1"/>
    <col min="8957" max="8957" width="10" style="4" customWidth="1"/>
    <col min="8958" max="8959" width="9.23046875" style="4" bestFit="1"/>
    <col min="8960" max="8960" width="8.23046875" style="4" customWidth="1"/>
    <col min="8961" max="8962" width="9.23046875" style="4" bestFit="1"/>
    <col min="8963" max="8963" width="7.765625" style="4" customWidth="1"/>
    <col min="8964" max="8966" width="9.23046875" style="4" bestFit="1"/>
    <col min="8967" max="8967" width="7.765625" style="4" customWidth="1"/>
    <col min="8968" max="9208" width="9.23046875" style="4" bestFit="1"/>
    <col min="9209" max="9209" width="22.23046875" style="4" bestFit="1" customWidth="1"/>
    <col min="9210" max="9210" width="8.23046875" style="4" customWidth="1"/>
    <col min="9211" max="9212" width="9.23046875" style="4" bestFit="1"/>
    <col min="9213" max="9213" width="10" style="4" customWidth="1"/>
    <col min="9214" max="9215" width="9.23046875" style="4" bestFit="1"/>
    <col min="9216" max="9216" width="8.23046875" style="4" customWidth="1"/>
    <col min="9217" max="9218" width="9.23046875" style="4" bestFit="1"/>
    <col min="9219" max="9219" width="7.765625" style="4" customWidth="1"/>
    <col min="9220" max="9222" width="9.23046875" style="4" bestFit="1"/>
    <col min="9223" max="9223" width="7.765625" style="4" customWidth="1"/>
    <col min="9224" max="9464" width="9.23046875" style="4" bestFit="1"/>
    <col min="9465" max="9465" width="22.23046875" style="4" bestFit="1" customWidth="1"/>
    <col min="9466" max="9466" width="8.23046875" style="4" customWidth="1"/>
    <col min="9467" max="9468" width="9.23046875" style="4" bestFit="1"/>
    <col min="9469" max="9469" width="10" style="4" customWidth="1"/>
    <col min="9470" max="9471" width="9.23046875" style="4" bestFit="1"/>
    <col min="9472" max="9472" width="8.23046875" style="4" customWidth="1"/>
    <col min="9473" max="9474" width="9.23046875" style="4" bestFit="1"/>
    <col min="9475" max="9475" width="7.765625" style="4" customWidth="1"/>
    <col min="9476" max="9478" width="9.23046875" style="4" bestFit="1"/>
    <col min="9479" max="9479" width="7.765625" style="4" customWidth="1"/>
    <col min="9480" max="9720" width="9.23046875" style="4" bestFit="1"/>
    <col min="9721" max="9721" width="22.23046875" style="4" bestFit="1" customWidth="1"/>
    <col min="9722" max="9722" width="8.23046875" style="4" customWidth="1"/>
    <col min="9723" max="9724" width="9.23046875" style="4" bestFit="1"/>
    <col min="9725" max="9725" width="10" style="4" customWidth="1"/>
    <col min="9726" max="9727" width="9.23046875" style="4" bestFit="1"/>
    <col min="9728" max="9728" width="8.23046875" style="4" customWidth="1"/>
    <col min="9729" max="9730" width="9.23046875" style="4" bestFit="1"/>
    <col min="9731" max="9731" width="7.765625" style="4" customWidth="1"/>
    <col min="9732" max="9734" width="9.23046875" style="4" bestFit="1"/>
    <col min="9735" max="9735" width="7.765625" style="4" customWidth="1"/>
    <col min="9736" max="9976" width="9.23046875" style="4" bestFit="1"/>
    <col min="9977" max="9977" width="22.23046875" style="4" bestFit="1" customWidth="1"/>
    <col min="9978" max="9978" width="8.23046875" style="4" customWidth="1"/>
    <col min="9979" max="9980" width="9.23046875" style="4" bestFit="1"/>
    <col min="9981" max="9981" width="10" style="4" customWidth="1"/>
    <col min="9982" max="9983" width="9.23046875" style="4" bestFit="1"/>
    <col min="9984" max="9984" width="8.23046875" style="4" customWidth="1"/>
    <col min="9985" max="9986" width="9.23046875" style="4" bestFit="1"/>
    <col min="9987" max="9987" width="7.765625" style="4" customWidth="1"/>
    <col min="9988" max="9990" width="9.23046875" style="4" bestFit="1"/>
    <col min="9991" max="9991" width="7.765625" style="4" customWidth="1"/>
    <col min="9992" max="10232" width="9.23046875" style="4" bestFit="1"/>
    <col min="10233" max="10233" width="22.23046875" style="4" bestFit="1" customWidth="1"/>
    <col min="10234" max="10234" width="8.23046875" style="4" customWidth="1"/>
    <col min="10235" max="10236" width="9.23046875" style="4" bestFit="1"/>
    <col min="10237" max="10237" width="10" style="4" customWidth="1"/>
    <col min="10238" max="10239" width="9.23046875" style="4" bestFit="1"/>
    <col min="10240" max="10240" width="8.23046875" style="4" customWidth="1"/>
    <col min="10241" max="10242" width="9.23046875" style="4" bestFit="1"/>
    <col min="10243" max="10243" width="7.765625" style="4" customWidth="1"/>
    <col min="10244" max="10246" width="9.23046875" style="4" bestFit="1"/>
    <col min="10247" max="10247" width="7.765625" style="4" customWidth="1"/>
    <col min="10248" max="10488" width="9.23046875" style="4" bestFit="1"/>
    <col min="10489" max="10489" width="22.23046875" style="4" bestFit="1" customWidth="1"/>
    <col min="10490" max="10490" width="8.23046875" style="4" customWidth="1"/>
    <col min="10491" max="10492" width="9.23046875" style="4" bestFit="1"/>
    <col min="10493" max="10493" width="10" style="4" customWidth="1"/>
    <col min="10494" max="10495" width="9.23046875" style="4" bestFit="1"/>
    <col min="10496" max="10496" width="8.23046875" style="4" customWidth="1"/>
    <col min="10497" max="10498" width="9.23046875" style="4" bestFit="1"/>
    <col min="10499" max="10499" width="7.765625" style="4" customWidth="1"/>
    <col min="10500" max="10502" width="9.23046875" style="4" bestFit="1"/>
    <col min="10503" max="10503" width="7.765625" style="4" customWidth="1"/>
    <col min="10504" max="10744" width="9.23046875" style="4" bestFit="1"/>
    <col min="10745" max="10745" width="22.23046875" style="4" bestFit="1" customWidth="1"/>
    <col min="10746" max="10746" width="8.23046875" style="4" customWidth="1"/>
    <col min="10747" max="10748" width="9.23046875" style="4" bestFit="1"/>
    <col min="10749" max="10749" width="10" style="4" customWidth="1"/>
    <col min="10750" max="10751" width="9.23046875" style="4" bestFit="1"/>
    <col min="10752" max="10752" width="8.23046875" style="4" customWidth="1"/>
    <col min="10753" max="10754" width="9.23046875" style="4" bestFit="1"/>
    <col min="10755" max="10755" width="7.765625" style="4" customWidth="1"/>
    <col min="10756" max="10758" width="9.23046875" style="4" bestFit="1"/>
    <col min="10759" max="10759" width="7.765625" style="4" customWidth="1"/>
    <col min="10760" max="11000" width="9.23046875" style="4" bestFit="1"/>
    <col min="11001" max="11001" width="22.23046875" style="4" bestFit="1" customWidth="1"/>
    <col min="11002" max="11002" width="8.23046875" style="4" customWidth="1"/>
    <col min="11003" max="11004" width="9.23046875" style="4" bestFit="1"/>
    <col min="11005" max="11005" width="10" style="4" customWidth="1"/>
    <col min="11006" max="11007" width="9.23046875" style="4" bestFit="1"/>
    <col min="11008" max="11008" width="8.23046875" style="4" customWidth="1"/>
    <col min="11009" max="11010" width="9.23046875" style="4" bestFit="1"/>
    <col min="11011" max="11011" width="7.765625" style="4" customWidth="1"/>
    <col min="11012" max="11014" width="9.23046875" style="4" bestFit="1"/>
    <col min="11015" max="11015" width="7.765625" style="4" customWidth="1"/>
    <col min="11016" max="11256" width="9.23046875" style="4" bestFit="1"/>
    <col min="11257" max="11257" width="22.23046875" style="4" bestFit="1" customWidth="1"/>
    <col min="11258" max="11258" width="8.23046875" style="4" customWidth="1"/>
    <col min="11259" max="11260" width="9.23046875" style="4" bestFit="1"/>
    <col min="11261" max="11261" width="10" style="4" customWidth="1"/>
    <col min="11262" max="11263" width="9.23046875" style="4" bestFit="1"/>
    <col min="11264" max="11264" width="8.23046875" style="4" customWidth="1"/>
    <col min="11265" max="11266" width="9.23046875" style="4" bestFit="1"/>
    <col min="11267" max="11267" width="7.765625" style="4" customWidth="1"/>
    <col min="11268" max="11270" width="9.23046875" style="4" bestFit="1"/>
    <col min="11271" max="11271" width="7.765625" style="4" customWidth="1"/>
    <col min="11272" max="11512" width="9.23046875" style="4" bestFit="1"/>
    <col min="11513" max="11513" width="22.23046875" style="4" bestFit="1" customWidth="1"/>
    <col min="11514" max="11514" width="8.23046875" style="4" customWidth="1"/>
    <col min="11515" max="11516" width="9.23046875" style="4" bestFit="1"/>
    <col min="11517" max="11517" width="10" style="4" customWidth="1"/>
    <col min="11518" max="11519" width="9.23046875" style="4" bestFit="1"/>
    <col min="11520" max="11520" width="8.23046875" style="4" customWidth="1"/>
    <col min="11521" max="11522" width="9.23046875" style="4" bestFit="1"/>
    <col min="11523" max="11523" width="7.765625" style="4" customWidth="1"/>
    <col min="11524" max="11526" width="9.23046875" style="4" bestFit="1"/>
    <col min="11527" max="11527" width="7.765625" style="4" customWidth="1"/>
    <col min="11528" max="11768" width="9.23046875" style="4" bestFit="1"/>
    <col min="11769" max="11769" width="22.23046875" style="4" bestFit="1" customWidth="1"/>
    <col min="11770" max="11770" width="8.23046875" style="4" customWidth="1"/>
    <col min="11771" max="11772" width="9.23046875" style="4" bestFit="1"/>
    <col min="11773" max="11773" width="10" style="4" customWidth="1"/>
    <col min="11774" max="11775" width="9.23046875" style="4" bestFit="1"/>
    <col min="11776" max="11776" width="8.23046875" style="4" customWidth="1"/>
    <col min="11777" max="11778" width="9.23046875" style="4" bestFit="1"/>
    <col min="11779" max="11779" width="7.765625" style="4" customWidth="1"/>
    <col min="11780" max="11782" width="9.23046875" style="4" bestFit="1"/>
    <col min="11783" max="11783" width="7.765625" style="4" customWidth="1"/>
    <col min="11784" max="12024" width="9.23046875" style="4" bestFit="1"/>
    <col min="12025" max="12025" width="22.23046875" style="4" bestFit="1" customWidth="1"/>
    <col min="12026" max="12026" width="8.23046875" style="4" customWidth="1"/>
    <col min="12027" max="12028" width="9.23046875" style="4" bestFit="1"/>
    <col min="12029" max="12029" width="10" style="4" customWidth="1"/>
    <col min="12030" max="12031" width="9.23046875" style="4" bestFit="1"/>
    <col min="12032" max="12032" width="8.23046875" style="4" customWidth="1"/>
    <col min="12033" max="12034" width="9.23046875" style="4" bestFit="1"/>
    <col min="12035" max="12035" width="7.765625" style="4" customWidth="1"/>
    <col min="12036" max="12038" width="9.23046875" style="4" bestFit="1"/>
    <col min="12039" max="12039" width="7.765625" style="4" customWidth="1"/>
    <col min="12040" max="12280" width="9.23046875" style="4" bestFit="1"/>
    <col min="12281" max="12281" width="22.23046875" style="4" bestFit="1" customWidth="1"/>
    <col min="12282" max="12282" width="8.23046875" style="4" customWidth="1"/>
    <col min="12283" max="12284" width="9.23046875" style="4" bestFit="1"/>
    <col min="12285" max="12285" width="10" style="4" customWidth="1"/>
    <col min="12286" max="12287" width="9.23046875" style="4" bestFit="1"/>
    <col min="12288" max="12288" width="8.23046875" style="4" customWidth="1"/>
    <col min="12289" max="12290" width="9.23046875" style="4" bestFit="1"/>
    <col min="12291" max="12291" width="7.765625" style="4" customWidth="1"/>
    <col min="12292" max="12294" width="9.23046875" style="4" bestFit="1"/>
    <col min="12295" max="12295" width="7.765625" style="4" customWidth="1"/>
    <col min="12296" max="12536" width="9.23046875" style="4" bestFit="1"/>
    <col min="12537" max="12537" width="22.23046875" style="4" bestFit="1" customWidth="1"/>
    <col min="12538" max="12538" width="8.23046875" style="4" customWidth="1"/>
    <col min="12539" max="12540" width="9.23046875" style="4" bestFit="1"/>
    <col min="12541" max="12541" width="10" style="4" customWidth="1"/>
    <col min="12542" max="12543" width="9.23046875" style="4" bestFit="1"/>
    <col min="12544" max="12544" width="8.23046875" style="4" customWidth="1"/>
    <col min="12545" max="12546" width="9.23046875" style="4" bestFit="1"/>
    <col min="12547" max="12547" width="7.765625" style="4" customWidth="1"/>
    <col min="12548" max="12550" width="9.23046875" style="4" bestFit="1"/>
    <col min="12551" max="12551" width="7.765625" style="4" customWidth="1"/>
    <col min="12552" max="12792" width="9.23046875" style="4" bestFit="1"/>
    <col min="12793" max="12793" width="22.23046875" style="4" bestFit="1" customWidth="1"/>
    <col min="12794" max="12794" width="8.23046875" style="4" customWidth="1"/>
    <col min="12795" max="12796" width="9.23046875" style="4" bestFit="1"/>
    <col min="12797" max="12797" width="10" style="4" customWidth="1"/>
    <col min="12798" max="12799" width="9.23046875" style="4" bestFit="1"/>
    <col min="12800" max="12800" width="8.23046875" style="4" customWidth="1"/>
    <col min="12801" max="12802" width="9.23046875" style="4" bestFit="1"/>
    <col min="12803" max="12803" width="7.765625" style="4" customWidth="1"/>
    <col min="12804" max="12806" width="9.23046875" style="4" bestFit="1"/>
    <col min="12807" max="12807" width="7.765625" style="4" customWidth="1"/>
    <col min="12808" max="13048" width="9.23046875" style="4" bestFit="1"/>
    <col min="13049" max="13049" width="22.23046875" style="4" bestFit="1" customWidth="1"/>
    <col min="13050" max="13050" width="8.23046875" style="4" customWidth="1"/>
    <col min="13051" max="13052" width="9.23046875" style="4" bestFit="1"/>
    <col min="13053" max="13053" width="10" style="4" customWidth="1"/>
    <col min="13054" max="13055" width="9.23046875" style="4" bestFit="1"/>
    <col min="13056" max="13056" width="8.23046875" style="4" customWidth="1"/>
    <col min="13057" max="13058" width="9.23046875" style="4" bestFit="1"/>
    <col min="13059" max="13059" width="7.765625" style="4" customWidth="1"/>
    <col min="13060" max="13062" width="9.23046875" style="4" bestFit="1"/>
    <col min="13063" max="13063" width="7.765625" style="4" customWidth="1"/>
    <col min="13064" max="13304" width="9.23046875" style="4" bestFit="1"/>
    <col min="13305" max="13305" width="22.23046875" style="4" bestFit="1" customWidth="1"/>
    <col min="13306" max="13306" width="8.23046875" style="4" customWidth="1"/>
    <col min="13307" max="13308" width="9.23046875" style="4" bestFit="1"/>
    <col min="13309" max="13309" width="10" style="4" customWidth="1"/>
    <col min="13310" max="13311" width="9.23046875" style="4" bestFit="1"/>
    <col min="13312" max="13312" width="8.23046875" style="4" customWidth="1"/>
    <col min="13313" max="13314" width="9.23046875" style="4" bestFit="1"/>
    <col min="13315" max="13315" width="7.765625" style="4" customWidth="1"/>
    <col min="13316" max="13318" width="9.23046875" style="4" bestFit="1"/>
    <col min="13319" max="13319" width="7.765625" style="4" customWidth="1"/>
    <col min="13320" max="13560" width="9.23046875" style="4" bestFit="1"/>
    <col min="13561" max="13561" width="22.23046875" style="4" bestFit="1" customWidth="1"/>
    <col min="13562" max="13562" width="8.23046875" style="4" customWidth="1"/>
    <col min="13563" max="13564" width="9.23046875" style="4" bestFit="1"/>
    <col min="13565" max="13565" width="10" style="4" customWidth="1"/>
    <col min="13566" max="13567" width="9.23046875" style="4" bestFit="1"/>
    <col min="13568" max="13568" width="8.23046875" style="4" customWidth="1"/>
    <col min="13569" max="13570" width="9.23046875" style="4" bestFit="1"/>
    <col min="13571" max="13571" width="7.765625" style="4" customWidth="1"/>
    <col min="13572" max="13574" width="9.23046875" style="4" bestFit="1"/>
    <col min="13575" max="13575" width="7.765625" style="4" customWidth="1"/>
    <col min="13576" max="13816" width="9.23046875" style="4" bestFit="1"/>
    <col min="13817" max="13817" width="22.23046875" style="4" bestFit="1" customWidth="1"/>
    <col min="13818" max="13818" width="8.23046875" style="4" customWidth="1"/>
    <col min="13819" max="13820" width="9.23046875" style="4" bestFit="1"/>
    <col min="13821" max="13821" width="10" style="4" customWidth="1"/>
    <col min="13822" max="13823" width="9.23046875" style="4" bestFit="1"/>
    <col min="13824" max="13824" width="8.23046875" style="4" customWidth="1"/>
    <col min="13825" max="13826" width="9.23046875" style="4" bestFit="1"/>
    <col min="13827" max="13827" width="7.765625" style="4" customWidth="1"/>
    <col min="13828" max="13830" width="9.23046875" style="4" bestFit="1"/>
    <col min="13831" max="13831" width="7.765625" style="4" customWidth="1"/>
    <col min="13832" max="14072" width="9.23046875" style="4" bestFit="1"/>
    <col min="14073" max="14073" width="22.23046875" style="4" bestFit="1" customWidth="1"/>
    <col min="14074" max="14074" width="8.23046875" style="4" customWidth="1"/>
    <col min="14075" max="14076" width="9.23046875" style="4" bestFit="1"/>
    <col min="14077" max="14077" width="10" style="4" customWidth="1"/>
    <col min="14078" max="14079" width="9.23046875" style="4" bestFit="1"/>
    <col min="14080" max="14080" width="8.23046875" style="4" customWidth="1"/>
    <col min="14081" max="14082" width="9.23046875" style="4" bestFit="1"/>
    <col min="14083" max="14083" width="7.765625" style="4" customWidth="1"/>
    <col min="14084" max="14086" width="9.23046875" style="4" bestFit="1"/>
    <col min="14087" max="14087" width="7.765625" style="4" customWidth="1"/>
    <col min="14088" max="14328" width="9.23046875" style="4" bestFit="1"/>
    <col min="14329" max="14329" width="22.23046875" style="4" bestFit="1" customWidth="1"/>
    <col min="14330" max="14330" width="8.23046875" style="4" customWidth="1"/>
    <col min="14331" max="14332" width="9.23046875" style="4" bestFit="1"/>
    <col min="14333" max="14333" width="10" style="4" customWidth="1"/>
    <col min="14334" max="14335" width="9.23046875" style="4" bestFit="1"/>
    <col min="14336" max="14336" width="8.23046875" style="4" customWidth="1"/>
    <col min="14337" max="14338" width="9.23046875" style="4" bestFit="1"/>
    <col min="14339" max="14339" width="7.765625" style="4" customWidth="1"/>
    <col min="14340" max="14342" width="9.23046875" style="4" bestFit="1"/>
    <col min="14343" max="14343" width="7.765625" style="4" customWidth="1"/>
    <col min="14344" max="14584" width="9.23046875" style="4" bestFit="1"/>
    <col min="14585" max="14585" width="22.23046875" style="4" bestFit="1" customWidth="1"/>
    <col min="14586" max="14586" width="8.23046875" style="4" customWidth="1"/>
    <col min="14587" max="14588" width="9.23046875" style="4" bestFit="1"/>
    <col min="14589" max="14589" width="10" style="4" customWidth="1"/>
    <col min="14590" max="14591" width="9.23046875" style="4" bestFit="1"/>
    <col min="14592" max="14592" width="8.23046875" style="4" customWidth="1"/>
    <col min="14593" max="14594" width="9.23046875" style="4" bestFit="1"/>
    <col min="14595" max="14595" width="7.765625" style="4" customWidth="1"/>
    <col min="14596" max="14598" width="9.23046875" style="4" bestFit="1"/>
    <col min="14599" max="14599" width="7.765625" style="4" customWidth="1"/>
    <col min="14600" max="14840" width="9.23046875" style="4" bestFit="1"/>
    <col min="14841" max="14841" width="22.23046875" style="4" bestFit="1" customWidth="1"/>
    <col min="14842" max="14842" width="8.23046875" style="4" customWidth="1"/>
    <col min="14843" max="14844" width="9.23046875" style="4" bestFit="1"/>
    <col min="14845" max="14845" width="10" style="4" customWidth="1"/>
    <col min="14846" max="14847" width="9.23046875" style="4" bestFit="1"/>
    <col min="14848" max="14848" width="8.23046875" style="4" customWidth="1"/>
    <col min="14849" max="14850" width="9.23046875" style="4" bestFit="1"/>
    <col min="14851" max="14851" width="7.765625" style="4" customWidth="1"/>
    <col min="14852" max="14854" width="9.23046875" style="4" bestFit="1"/>
    <col min="14855" max="14855" width="7.765625" style="4" customWidth="1"/>
    <col min="14856" max="15096" width="9.23046875" style="4" bestFit="1"/>
    <col min="15097" max="15097" width="22.23046875" style="4" bestFit="1" customWidth="1"/>
    <col min="15098" max="15098" width="8.23046875" style="4" customWidth="1"/>
    <col min="15099" max="15100" width="9.23046875" style="4" bestFit="1"/>
    <col min="15101" max="15101" width="10" style="4" customWidth="1"/>
    <col min="15102" max="15103" width="9.23046875" style="4" bestFit="1"/>
    <col min="15104" max="15104" width="8.23046875" style="4" customWidth="1"/>
    <col min="15105" max="15106" width="9.23046875" style="4" bestFit="1"/>
    <col min="15107" max="15107" width="7.765625" style="4" customWidth="1"/>
    <col min="15108" max="15110" width="9.23046875" style="4" bestFit="1"/>
    <col min="15111" max="15111" width="7.765625" style="4" customWidth="1"/>
    <col min="15112" max="15352" width="9.23046875" style="4" bestFit="1"/>
    <col min="15353" max="15353" width="22.23046875" style="4" bestFit="1" customWidth="1"/>
    <col min="15354" max="15354" width="8.23046875" style="4" customWidth="1"/>
    <col min="15355" max="15356" width="9.23046875" style="4" bestFit="1"/>
    <col min="15357" max="15357" width="10" style="4" customWidth="1"/>
    <col min="15358" max="15359" width="9.23046875" style="4" bestFit="1"/>
    <col min="15360" max="15360" width="8.23046875" style="4" customWidth="1"/>
    <col min="15361" max="15362" width="9.23046875" style="4" bestFit="1"/>
    <col min="15363" max="15363" width="7.765625" style="4" customWidth="1"/>
    <col min="15364" max="15366" width="9.23046875" style="4" bestFit="1"/>
    <col min="15367" max="15367" width="7.765625" style="4" customWidth="1"/>
    <col min="15368" max="15608" width="9.23046875" style="4" bestFit="1"/>
    <col min="15609" max="15609" width="22.23046875" style="4" bestFit="1" customWidth="1"/>
    <col min="15610" max="15610" width="8.23046875" style="4" customWidth="1"/>
    <col min="15611" max="15612" width="9.23046875" style="4" bestFit="1"/>
    <col min="15613" max="15613" width="10" style="4" customWidth="1"/>
    <col min="15614" max="15615" width="9.23046875" style="4" bestFit="1"/>
    <col min="15616" max="15616" width="8.23046875" style="4" customWidth="1"/>
    <col min="15617" max="15618" width="9.23046875" style="4" bestFit="1"/>
    <col min="15619" max="15619" width="7.765625" style="4" customWidth="1"/>
    <col min="15620" max="15622" width="9.23046875" style="4" bestFit="1"/>
    <col min="15623" max="15623" width="7.765625" style="4" customWidth="1"/>
    <col min="15624" max="15864" width="9.23046875" style="4" bestFit="1"/>
    <col min="15865" max="15865" width="22.23046875" style="4" bestFit="1" customWidth="1"/>
    <col min="15866" max="15866" width="8.23046875" style="4" customWidth="1"/>
    <col min="15867" max="15868" width="9.23046875" style="4" bestFit="1"/>
    <col min="15869" max="15869" width="10" style="4" customWidth="1"/>
    <col min="15870" max="15871" width="9.23046875" style="4" bestFit="1"/>
    <col min="15872" max="15872" width="8.23046875" style="4" customWidth="1"/>
    <col min="15873" max="15874" width="9.23046875" style="4" bestFit="1"/>
    <col min="15875" max="15875" width="7.765625" style="4" customWidth="1"/>
    <col min="15876" max="15878" width="9.23046875" style="4" bestFit="1"/>
    <col min="15879" max="15879" width="7.765625" style="4" customWidth="1"/>
    <col min="15880" max="16120" width="9.23046875" style="4" bestFit="1"/>
    <col min="16121" max="16121" width="22.23046875" style="4" bestFit="1" customWidth="1"/>
    <col min="16122" max="16122" width="8.23046875" style="4" customWidth="1"/>
    <col min="16123" max="16124" width="9.23046875" style="4" bestFit="1"/>
    <col min="16125" max="16125" width="10" style="4" customWidth="1"/>
    <col min="16126" max="16127" width="9.23046875" style="4" bestFit="1"/>
    <col min="16128" max="16128" width="8.23046875" style="4" customWidth="1"/>
    <col min="16129" max="16130" width="9.23046875" style="4" bestFit="1"/>
    <col min="16131" max="16131" width="7.765625" style="4" customWidth="1"/>
    <col min="16132" max="16134" width="9.23046875" style="4" bestFit="1"/>
    <col min="16135" max="16135" width="7.765625" style="4" customWidth="1"/>
    <col min="16136" max="16383" width="9.23046875" style="4" bestFit="1"/>
    <col min="16384" max="16384" width="9.23046875" style="4"/>
  </cols>
  <sheetData>
    <row r="1" spans="1:14" s="2" customFormat="1" ht="45" customHeight="1">
      <c r="A1" s="84" t="s">
        <v>32</v>
      </c>
    </row>
    <row r="2" spans="1:14" s="1" customFormat="1" ht="20.25" customHeight="1">
      <c r="A2" s="87" t="s">
        <v>51</v>
      </c>
      <c r="B2" s="79" t="s">
        <v>93</v>
      </c>
      <c r="C2" s="80" t="s">
        <v>53</v>
      </c>
      <c r="D2" s="78" t="s">
        <v>54</v>
      </c>
    </row>
    <row r="3" spans="1:14" s="1" customFormat="1" ht="20.25" customHeight="1">
      <c r="A3" s="135">
        <v>2010</v>
      </c>
      <c r="B3" s="96">
        <v>8</v>
      </c>
      <c r="C3" s="89" t="s">
        <v>56</v>
      </c>
      <c r="D3" s="97" t="s">
        <v>56</v>
      </c>
    </row>
    <row r="4" spans="1:14" s="1" customFormat="1" ht="20.25" customHeight="1">
      <c r="A4" s="135">
        <v>2011</v>
      </c>
      <c r="B4" s="96">
        <v>12</v>
      </c>
      <c r="C4" s="89" t="s">
        <v>56</v>
      </c>
      <c r="D4" s="97" t="s">
        <v>56</v>
      </c>
    </row>
    <row r="5" spans="1:14" s="1" customFormat="1" ht="20.25" customHeight="1">
      <c r="A5" s="135">
        <v>2012</v>
      </c>
      <c r="B5" s="96">
        <v>14</v>
      </c>
      <c r="C5" s="89" t="s">
        <v>56</v>
      </c>
      <c r="D5" s="97" t="s">
        <v>56</v>
      </c>
      <c r="M5" s="362"/>
      <c r="N5" s="362"/>
    </row>
    <row r="6" spans="1:14" s="1" customFormat="1" ht="20.25" customHeight="1">
      <c r="A6" s="135">
        <v>2013</v>
      </c>
      <c r="B6" s="96">
        <v>9</v>
      </c>
      <c r="C6" s="89" t="s">
        <v>56</v>
      </c>
      <c r="D6" s="97" t="s">
        <v>56</v>
      </c>
      <c r="M6" s="362"/>
      <c r="N6" s="362"/>
    </row>
    <row r="7" spans="1:14" s="1" customFormat="1" ht="20.25" customHeight="1">
      <c r="A7" s="135">
        <v>2014</v>
      </c>
      <c r="B7" s="96">
        <v>10</v>
      </c>
      <c r="C7" s="89" t="s">
        <v>56</v>
      </c>
      <c r="D7" s="97" t="s">
        <v>56</v>
      </c>
      <c r="M7" s="362"/>
      <c r="N7" s="362"/>
    </row>
    <row r="8" spans="1:14" s="1" customFormat="1" ht="20.25" customHeight="1">
      <c r="A8" s="136" t="s">
        <v>57</v>
      </c>
      <c r="B8" s="292">
        <v>10.6</v>
      </c>
      <c r="C8" s="104" t="s">
        <v>56</v>
      </c>
      <c r="D8" s="105" t="s">
        <v>56</v>
      </c>
      <c r="M8" s="362"/>
      <c r="N8" s="362"/>
    </row>
    <row r="9" spans="1:14" s="1" customFormat="1" ht="20.25" customHeight="1">
      <c r="A9" s="135">
        <v>2015</v>
      </c>
      <c r="B9" s="96">
        <v>12</v>
      </c>
      <c r="C9" s="89" t="s">
        <v>56</v>
      </c>
      <c r="D9" s="98">
        <v>0.13207547169811323</v>
      </c>
      <c r="M9" s="362"/>
      <c r="N9" s="362"/>
    </row>
    <row r="10" spans="1:14" s="1" customFormat="1" ht="20.25" customHeight="1">
      <c r="A10" s="135">
        <v>2016</v>
      </c>
      <c r="B10" s="96">
        <v>10</v>
      </c>
      <c r="C10" s="89" t="s">
        <v>56</v>
      </c>
      <c r="D10" s="98">
        <v>-5.6603773584905627E-2</v>
      </c>
    </row>
    <row r="11" spans="1:14" s="1" customFormat="1" ht="20.25" customHeight="1">
      <c r="A11" s="135">
        <v>2017</v>
      </c>
      <c r="B11" s="96">
        <v>8</v>
      </c>
      <c r="C11" s="89" t="s">
        <v>56</v>
      </c>
      <c r="D11" s="98">
        <v>-0.2452830188679245</v>
      </c>
      <c r="M11" s="5"/>
      <c r="N11" s="5"/>
    </row>
    <row r="12" spans="1:14" s="1" customFormat="1" ht="20.25" customHeight="1">
      <c r="A12" s="135">
        <v>2018</v>
      </c>
      <c r="B12" s="96">
        <v>12</v>
      </c>
      <c r="C12" s="89" t="s">
        <v>56</v>
      </c>
      <c r="D12" s="98">
        <v>0.13207547169811323</v>
      </c>
    </row>
    <row r="13" spans="1:14" s="1" customFormat="1" ht="20.25" customHeight="1">
      <c r="A13" s="135">
        <v>2019</v>
      </c>
      <c r="B13" s="96">
        <v>11</v>
      </c>
      <c r="C13" s="89" t="s">
        <v>56</v>
      </c>
      <c r="D13" s="98">
        <v>3.7735849056603807E-2</v>
      </c>
    </row>
    <row r="14" spans="1:14" s="1" customFormat="1" ht="20.25" customHeight="1">
      <c r="A14" s="135">
        <v>2020</v>
      </c>
      <c r="B14" s="96">
        <v>7</v>
      </c>
      <c r="C14" s="89" t="s">
        <v>56</v>
      </c>
      <c r="D14" s="98">
        <v>-0.33962264150943394</v>
      </c>
    </row>
    <row r="15" spans="1:14" s="1" customFormat="1" ht="20.25" customHeight="1">
      <c r="A15" s="135">
        <v>2021</v>
      </c>
      <c r="B15" s="96">
        <v>5</v>
      </c>
      <c r="C15" s="89" t="s">
        <v>56</v>
      </c>
      <c r="D15" s="98">
        <v>-0.52830188679245282</v>
      </c>
    </row>
    <row r="16" spans="1:14" s="1" customFormat="1" ht="20.25" customHeight="1">
      <c r="A16" s="135">
        <v>2022</v>
      </c>
      <c r="B16" s="96">
        <v>9</v>
      </c>
      <c r="C16" s="89" t="s">
        <v>56</v>
      </c>
      <c r="D16" s="98">
        <v>-0.15094339622641506</v>
      </c>
    </row>
    <row r="17" spans="1:26" s="1" customFormat="1" ht="20.25" customHeight="1">
      <c r="A17" s="135">
        <v>2023</v>
      </c>
      <c r="B17" s="99">
        <v>6</v>
      </c>
      <c r="C17" s="89" t="s">
        <v>56</v>
      </c>
      <c r="D17" s="95">
        <v>-0.43396226415094336</v>
      </c>
    </row>
    <row r="18" spans="1:26" s="1" customFormat="1" ht="20.25" customHeight="1">
      <c r="A18" s="135">
        <v>2024</v>
      </c>
      <c r="B18" s="89">
        <v>13</v>
      </c>
      <c r="C18" s="89" t="s">
        <v>56</v>
      </c>
      <c r="D18" s="100">
        <v>0.22641509433962267</v>
      </c>
    </row>
    <row r="19" spans="1:26" s="1" customFormat="1" ht="20.25" customHeight="1">
      <c r="A19" s="135">
        <v>2025</v>
      </c>
      <c r="B19" s="89" t="s">
        <v>56</v>
      </c>
      <c r="C19" s="89" t="s">
        <v>56</v>
      </c>
      <c r="D19" s="101" t="s">
        <v>56</v>
      </c>
    </row>
    <row r="20" spans="1:26" s="1" customFormat="1" ht="20.25" customHeight="1">
      <c r="A20" s="135">
        <v>2026</v>
      </c>
      <c r="B20" s="89" t="s">
        <v>56</v>
      </c>
      <c r="C20" s="89" t="s">
        <v>56</v>
      </c>
      <c r="D20" s="97" t="s">
        <v>56</v>
      </c>
    </row>
    <row r="21" spans="1:26" s="1" customFormat="1" ht="20.25" customHeight="1">
      <c r="A21" s="135">
        <v>2027</v>
      </c>
      <c r="B21" s="89" t="s">
        <v>56</v>
      </c>
      <c r="C21" s="89" t="s">
        <v>56</v>
      </c>
      <c r="D21" s="97" t="s">
        <v>56</v>
      </c>
    </row>
    <row r="22" spans="1:26" s="1" customFormat="1" ht="20.25" customHeight="1">
      <c r="A22" s="135">
        <v>2028</v>
      </c>
      <c r="B22" s="89" t="s">
        <v>56</v>
      </c>
      <c r="C22" s="89" t="s">
        <v>56</v>
      </c>
      <c r="D22" s="97" t="s">
        <v>56</v>
      </c>
    </row>
    <row r="23" spans="1:26" s="1" customFormat="1" ht="20.25" customHeight="1">
      <c r="A23" s="135">
        <v>2029</v>
      </c>
      <c r="B23" s="89" t="s">
        <v>56</v>
      </c>
      <c r="C23" s="89" t="s">
        <v>56</v>
      </c>
      <c r="D23" s="97" t="s">
        <v>56</v>
      </c>
    </row>
    <row r="24" spans="1:26" s="1" customFormat="1" ht="20.25" customHeight="1">
      <c r="A24" s="137" t="s">
        <v>53</v>
      </c>
      <c r="B24" s="312">
        <v>0</v>
      </c>
      <c r="C24" s="102">
        <v>0</v>
      </c>
      <c r="D24" s="103" t="s">
        <v>56</v>
      </c>
    </row>
    <row r="25" spans="1:26" s="1" customFormat="1" ht="23.15" customHeight="1">
      <c r="A25" s="359" t="s">
        <v>274</v>
      </c>
      <c r="B25" s="356"/>
      <c r="C25" s="357"/>
      <c r="D25" s="358"/>
    </row>
    <row r="26" spans="1:26" s="1" customFormat="1" ht="20.25" customHeight="1">
      <c r="Z26" s="1" t="s">
        <v>95</v>
      </c>
    </row>
    <row r="27" spans="1:26" s="1" customFormat="1" ht="20.25" customHeight="1"/>
    <row r="28" spans="1:26" s="1" customFormat="1" ht="20.25" customHeight="1"/>
    <row r="29" spans="1:26" s="1" customFormat="1" ht="20.25" customHeight="1">
      <c r="A29" s="3"/>
    </row>
    <row r="30" spans="1:26" s="1" customFormat="1" ht="17.5">
      <c r="H30" s="6"/>
      <c r="I30" s="4"/>
      <c r="J30" s="4"/>
      <c r="K30" s="4"/>
      <c r="L30" s="4"/>
      <c r="M30" s="4"/>
      <c r="N30" s="4"/>
    </row>
    <row r="31" spans="1:26" s="1" customFormat="1" ht="21" customHeight="1"/>
    <row r="32" spans="1:26" s="1" customFormat="1" ht="21" customHeight="1"/>
    <row r="33" spans="1:14" s="1" customFormat="1" ht="21" customHeight="1"/>
    <row r="34" spans="1:14" s="1" customFormat="1" ht="21" customHeight="1"/>
    <row r="35" spans="1:14" s="1" customFormat="1" ht="21" customHeight="1"/>
    <row r="36" spans="1:14" s="1" customFormat="1" ht="21" customHeight="1"/>
    <row r="37" spans="1:14" ht="21" customHeight="1">
      <c r="F37" s="1"/>
      <c r="G37" s="1"/>
      <c r="H37" s="1"/>
      <c r="I37" s="1"/>
      <c r="J37" s="1"/>
      <c r="K37" s="1"/>
      <c r="L37" s="1"/>
      <c r="M37" s="1"/>
      <c r="N37" s="1"/>
    </row>
    <row r="40" spans="1:14" ht="21" customHeight="1">
      <c r="H40" s="7"/>
      <c r="I40" s="7"/>
      <c r="J40" s="7"/>
    </row>
    <row r="41" spans="1:14" ht="21" customHeight="1">
      <c r="H41" s="7"/>
      <c r="I41" s="7"/>
      <c r="J41" s="7"/>
    </row>
    <row r="42" spans="1:14" ht="21" customHeight="1">
      <c r="H42" s="7"/>
      <c r="I42" s="7"/>
      <c r="J42" s="7"/>
    </row>
    <row r="48" spans="1:14" ht="21" customHeight="1">
      <c r="A48" s="92" t="s">
        <v>59</v>
      </c>
    </row>
    <row r="49" spans="1:1" ht="21" customHeight="1">
      <c r="A49" s="92" t="s">
        <v>50</v>
      </c>
    </row>
  </sheetData>
  <mergeCells count="1">
    <mergeCell ref="M5:N9"/>
  </mergeCells>
  <hyperlinks>
    <hyperlink ref="A48" location="'Table of contents'!A1" display="Back to Table of contents" xr:uid="{EC903654-CF34-48FE-95EF-F7076FA1E40F}"/>
    <hyperlink ref="A49" r:id="rId1" display="Back to Road Casualties in Greater London 2024 Factsheet" xr:uid="{F73F3EB5-FF82-4940-8E80-E4FEAE830D5D}"/>
  </hyperlinks>
  <pageMargins left="0.19" right="0.18" top="1" bottom="1" header="0.5" footer="0.5"/>
  <pageSetup paperSize="9" scale="46" orientation="landscape" horizontalDpi="300" verticalDpi="300" r:id="rId2"/>
  <headerFooter alignWithMargins="0">
    <oddHeader>&amp;R&amp;"Arial,Bold Italic"&amp;11ITEM 8.1</oddHeader>
  </headerFooter>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556A2-8171-4F03-815C-4F42B87E94C6}">
  <sheetPr codeName="Sheet14">
    <tabColor rgb="FF92D050"/>
    <pageSetUpPr fitToPage="1"/>
  </sheetPr>
  <dimension ref="A1:R42"/>
  <sheetViews>
    <sheetView showGridLines="0" zoomScaleNormal="100" workbookViewId="0"/>
  </sheetViews>
  <sheetFormatPr defaultColWidth="8.765625" defaultRowHeight="21" customHeight="1"/>
  <cols>
    <col min="1" max="1" width="27.4609375" style="4" customWidth="1"/>
    <col min="2" max="9" width="7.23046875" style="4" customWidth="1"/>
    <col min="10" max="10" width="9.84375" style="4" bestFit="1" customWidth="1"/>
    <col min="11" max="11" width="11.07421875" style="4" bestFit="1" customWidth="1"/>
    <col min="12" max="12" width="15.765625" style="4" bestFit="1" customWidth="1"/>
    <col min="13" max="16384" width="8.765625" style="4"/>
  </cols>
  <sheetData>
    <row r="1" spans="1:12" ht="45" customHeight="1">
      <c r="A1" s="107" t="s">
        <v>96</v>
      </c>
      <c r="B1" s="60"/>
      <c r="C1" s="60"/>
      <c r="D1" s="60"/>
      <c r="E1" s="60"/>
      <c r="F1" s="60"/>
      <c r="G1" s="60"/>
    </row>
    <row r="2" spans="1:12" s="1" customFormat="1" ht="40.5" customHeight="1">
      <c r="A2" s="110" t="s">
        <v>60</v>
      </c>
      <c r="B2" s="79" t="s">
        <v>69</v>
      </c>
      <c r="C2" s="79" t="s">
        <v>70</v>
      </c>
      <c r="D2" s="79" t="s">
        <v>71</v>
      </c>
      <c r="E2" s="79" t="s">
        <v>72</v>
      </c>
      <c r="F2" s="79" t="s">
        <v>73</v>
      </c>
      <c r="G2" s="79" t="s">
        <v>74</v>
      </c>
      <c r="H2" s="79" t="s">
        <v>75</v>
      </c>
      <c r="I2" s="79" t="s">
        <v>76</v>
      </c>
      <c r="J2" s="79" t="s">
        <v>97</v>
      </c>
      <c r="K2" s="79" t="s">
        <v>55</v>
      </c>
      <c r="L2" s="78" t="s">
        <v>98</v>
      </c>
    </row>
    <row r="3" spans="1:12" s="1" customFormat="1" ht="20.5" customHeight="1">
      <c r="A3" s="111" t="s">
        <v>99</v>
      </c>
      <c r="B3" s="89">
        <v>105</v>
      </c>
      <c r="C3" s="89">
        <v>105</v>
      </c>
      <c r="D3" s="89">
        <v>88</v>
      </c>
      <c r="E3" s="89">
        <v>43</v>
      </c>
      <c r="F3" s="89">
        <v>67</v>
      </c>
      <c r="G3" s="89">
        <v>137</v>
      </c>
      <c r="H3" s="89">
        <v>121</v>
      </c>
      <c r="I3" s="89">
        <v>107</v>
      </c>
      <c r="J3" s="116">
        <v>-0.12</v>
      </c>
      <c r="K3" s="118" t="s">
        <v>82</v>
      </c>
      <c r="L3" s="121" t="s">
        <v>56</v>
      </c>
    </row>
    <row r="4" spans="1:12" s="1" customFormat="1" ht="20.5" customHeight="1">
      <c r="A4" s="111" t="s">
        <v>81</v>
      </c>
      <c r="B4" s="89">
        <v>99</v>
      </c>
      <c r="C4" s="89">
        <v>93</v>
      </c>
      <c r="D4" s="89">
        <v>85</v>
      </c>
      <c r="E4" s="89">
        <v>52</v>
      </c>
      <c r="F4" s="89">
        <v>49</v>
      </c>
      <c r="G4" s="89">
        <v>67</v>
      </c>
      <c r="H4" s="89">
        <v>86</v>
      </c>
      <c r="I4" s="89">
        <v>92</v>
      </c>
      <c r="J4" s="116">
        <v>7.0000000000000007E-2</v>
      </c>
      <c r="K4" s="118" t="s">
        <v>82</v>
      </c>
      <c r="L4" s="121" t="s">
        <v>56</v>
      </c>
    </row>
    <row r="5" spans="1:12" s="1" customFormat="1" ht="20.5" customHeight="1">
      <c r="A5" s="111" t="s">
        <v>83</v>
      </c>
      <c r="B5" s="89">
        <v>17</v>
      </c>
      <c r="C5" s="89">
        <v>13</v>
      </c>
      <c r="D5" s="89">
        <v>13</v>
      </c>
      <c r="E5" s="89">
        <v>17</v>
      </c>
      <c r="F5" s="89">
        <v>30</v>
      </c>
      <c r="G5" s="89">
        <v>25</v>
      </c>
      <c r="H5" s="89">
        <v>26</v>
      </c>
      <c r="I5" s="89">
        <v>25</v>
      </c>
      <c r="J5" s="116">
        <v>-0.04</v>
      </c>
      <c r="K5" s="118" t="s">
        <v>82</v>
      </c>
      <c r="L5" s="121" t="s">
        <v>56</v>
      </c>
    </row>
    <row r="6" spans="1:12" s="1" customFormat="1" ht="20.5" customHeight="1">
      <c r="A6" s="111" t="s">
        <v>84</v>
      </c>
      <c r="B6" s="89">
        <v>25</v>
      </c>
      <c r="C6" s="89">
        <v>10</v>
      </c>
      <c r="D6" s="89">
        <v>12</v>
      </c>
      <c r="E6" s="89">
        <v>14</v>
      </c>
      <c r="F6" s="89">
        <v>16</v>
      </c>
      <c r="G6" s="89">
        <v>14</v>
      </c>
      <c r="H6" s="89">
        <v>7</v>
      </c>
      <c r="I6" s="89">
        <v>8</v>
      </c>
      <c r="J6" s="116">
        <v>0.14000000000000001</v>
      </c>
      <c r="K6" s="118" t="s">
        <v>82</v>
      </c>
      <c r="L6" s="121" t="s">
        <v>56</v>
      </c>
    </row>
    <row r="7" spans="1:12" s="1" customFormat="1" ht="20.5" customHeight="1">
      <c r="A7" s="111" t="s">
        <v>85</v>
      </c>
      <c r="B7" s="89">
        <v>13</v>
      </c>
      <c r="C7" s="89">
        <v>16</v>
      </c>
      <c r="D7" s="89">
        <v>11</v>
      </c>
      <c r="E7" s="89">
        <v>6</v>
      </c>
      <c r="F7" s="89">
        <v>8</v>
      </c>
      <c r="G7" s="89">
        <v>18</v>
      </c>
      <c r="H7" s="89">
        <v>12</v>
      </c>
      <c r="I7" s="89">
        <v>13</v>
      </c>
      <c r="J7" s="116">
        <v>0.08</v>
      </c>
      <c r="K7" s="118" t="s">
        <v>82</v>
      </c>
      <c r="L7" s="121" t="s">
        <v>56</v>
      </c>
    </row>
    <row r="8" spans="1:12" s="1" customFormat="1" ht="20.5" customHeight="1">
      <c r="A8" s="111" t="s">
        <v>87</v>
      </c>
      <c r="B8" s="89">
        <v>0</v>
      </c>
      <c r="C8" s="89">
        <v>2</v>
      </c>
      <c r="D8" s="89">
        <v>0</v>
      </c>
      <c r="E8" s="89">
        <v>2</v>
      </c>
      <c r="F8" s="89">
        <v>3</v>
      </c>
      <c r="G8" s="89">
        <v>4</v>
      </c>
      <c r="H8" s="89">
        <v>4</v>
      </c>
      <c r="I8" s="89">
        <v>3</v>
      </c>
      <c r="J8" s="116">
        <v>-0.25</v>
      </c>
      <c r="K8" s="118" t="s">
        <v>82</v>
      </c>
      <c r="L8" s="121" t="s">
        <v>56</v>
      </c>
    </row>
    <row r="9" spans="1:12" s="1" customFormat="1" ht="20.5" customHeight="1">
      <c r="A9" s="111" t="s">
        <v>88</v>
      </c>
      <c r="B9" s="89">
        <v>0</v>
      </c>
      <c r="C9" s="89">
        <v>0</v>
      </c>
      <c r="D9" s="89">
        <v>0</v>
      </c>
      <c r="E9" s="89">
        <v>0</v>
      </c>
      <c r="F9" s="89">
        <v>1</v>
      </c>
      <c r="G9" s="89">
        <v>2</v>
      </c>
      <c r="H9" s="89">
        <v>0</v>
      </c>
      <c r="I9" s="89">
        <v>0</v>
      </c>
      <c r="J9" s="116">
        <v>0</v>
      </c>
      <c r="K9" s="118" t="s">
        <v>82</v>
      </c>
      <c r="L9" s="121" t="s">
        <v>56</v>
      </c>
    </row>
    <row r="10" spans="1:12" s="1" customFormat="1" ht="20.5" customHeight="1">
      <c r="A10" s="111" t="s">
        <v>100</v>
      </c>
      <c r="B10" s="89">
        <v>0</v>
      </c>
      <c r="C10" s="89">
        <v>0</v>
      </c>
      <c r="D10" s="89">
        <v>0</v>
      </c>
      <c r="E10" s="89">
        <v>1</v>
      </c>
      <c r="F10" s="89">
        <v>0</v>
      </c>
      <c r="G10" s="89">
        <v>1</v>
      </c>
      <c r="H10" s="89">
        <v>2</v>
      </c>
      <c r="I10" s="89">
        <v>0</v>
      </c>
      <c r="J10" s="116">
        <v>-1</v>
      </c>
      <c r="K10" s="118" t="s">
        <v>82</v>
      </c>
      <c r="L10" s="121" t="s">
        <v>56</v>
      </c>
    </row>
    <row r="11" spans="1:12" s="1" customFormat="1" ht="20.5" customHeight="1">
      <c r="A11" s="111" t="s">
        <v>101</v>
      </c>
      <c r="B11" s="89">
        <v>0</v>
      </c>
      <c r="C11" s="89">
        <v>0</v>
      </c>
      <c r="D11" s="89">
        <v>0</v>
      </c>
      <c r="E11" s="89">
        <v>0</v>
      </c>
      <c r="F11" s="89">
        <v>0</v>
      </c>
      <c r="G11" s="89">
        <v>1</v>
      </c>
      <c r="H11" s="89">
        <v>0</v>
      </c>
      <c r="I11" s="89">
        <v>0</v>
      </c>
      <c r="J11" s="116">
        <v>0</v>
      </c>
      <c r="K11" s="118" t="s">
        <v>82</v>
      </c>
      <c r="L11" s="121" t="s">
        <v>56</v>
      </c>
    </row>
    <row r="12" spans="1:12" s="1" customFormat="1" ht="20.5" customHeight="1">
      <c r="A12" s="111" t="s">
        <v>91</v>
      </c>
      <c r="B12" s="108">
        <v>259</v>
      </c>
      <c r="C12" s="108">
        <v>239</v>
      </c>
      <c r="D12" s="108">
        <v>209</v>
      </c>
      <c r="E12" s="108">
        <v>135</v>
      </c>
      <c r="F12" s="108">
        <v>174</v>
      </c>
      <c r="G12" s="108">
        <v>269</v>
      </c>
      <c r="H12" s="108">
        <v>258</v>
      </c>
      <c r="I12" s="108">
        <v>248</v>
      </c>
      <c r="J12" s="117">
        <v>-0.04</v>
      </c>
      <c r="K12" s="119" t="s">
        <v>82</v>
      </c>
      <c r="L12" s="122">
        <v>-0.34</v>
      </c>
    </row>
    <row r="13" spans="1:12" s="1" customFormat="1" ht="20.5" customHeight="1">
      <c r="A13" s="112" t="s">
        <v>66</v>
      </c>
      <c r="B13" s="109">
        <v>374.8</v>
      </c>
      <c r="C13" s="109">
        <v>374.8</v>
      </c>
      <c r="D13" s="109">
        <v>374.8</v>
      </c>
      <c r="E13" s="109">
        <v>374.8</v>
      </c>
      <c r="F13" s="109">
        <v>374.8</v>
      </c>
      <c r="G13" s="109">
        <v>374.8</v>
      </c>
      <c r="H13" s="109">
        <v>374.8</v>
      </c>
      <c r="I13" s="109">
        <v>374.8</v>
      </c>
      <c r="J13" s="109" t="s">
        <v>56</v>
      </c>
      <c r="K13" s="120" t="s">
        <v>56</v>
      </c>
      <c r="L13" s="123" t="s">
        <v>56</v>
      </c>
    </row>
    <row r="14" spans="1:12" s="1" customFormat="1" ht="20.25" customHeight="1">
      <c r="A14" s="354" t="s">
        <v>94</v>
      </c>
      <c r="B14" s="352"/>
      <c r="C14" s="5"/>
      <c r="D14" s="5"/>
      <c r="E14" s="5"/>
      <c r="F14" s="5"/>
      <c r="G14" s="5"/>
      <c r="H14" s="353"/>
      <c r="I14" s="353"/>
      <c r="J14" s="142"/>
      <c r="K14" s="114"/>
      <c r="L14" s="143"/>
    </row>
    <row r="15" spans="1:12" s="1" customFormat="1" ht="20.25" customHeight="1"/>
    <row r="16" spans="1:12" s="1" customFormat="1" ht="20.25" customHeight="1"/>
    <row r="18" spans="13:18" ht="20.5" customHeight="1"/>
    <row r="19" spans="13:18" ht="20.5" customHeight="1"/>
    <row r="20" spans="13:18" ht="20.5" customHeight="1"/>
    <row r="21" spans="13:18" ht="20.5" customHeight="1"/>
    <row r="22" spans="13:18" ht="20.5" customHeight="1"/>
    <row r="23" spans="13:18" ht="20.5" customHeight="1"/>
    <row r="24" spans="13:18" ht="20.5" customHeight="1"/>
    <row r="25" spans="13:18" s="1" customFormat="1" ht="20.5" customHeight="1">
      <c r="M25" s="18"/>
      <c r="N25" s="5"/>
      <c r="O25" s="5"/>
      <c r="P25" s="5"/>
      <c r="Q25" s="5"/>
      <c r="R25" s="5"/>
    </row>
    <row r="26" spans="13:18" s="1" customFormat="1" ht="20.5" customHeight="1"/>
    <row r="27" spans="13:18" s="1" customFormat="1" ht="20.5" customHeight="1"/>
    <row r="28" spans="13:18" s="1" customFormat="1" ht="20.5" customHeight="1"/>
    <row r="29" spans="13:18" s="1" customFormat="1" ht="20.5" customHeight="1"/>
    <row r="30" spans="13:18" s="1" customFormat="1" ht="20.5" customHeight="1"/>
    <row r="31" spans="13:18" s="1" customFormat="1" ht="20.5" customHeight="1"/>
    <row r="32" spans="13:18" s="1" customFormat="1" ht="20.5" customHeight="1"/>
    <row r="33" spans="1:1" s="1" customFormat="1" ht="20.5" customHeight="1"/>
    <row r="34" spans="1:1" ht="20.5" customHeight="1"/>
    <row r="35" spans="1:1" ht="20.5" customHeight="1">
      <c r="A35" s="106"/>
    </row>
    <row r="36" spans="1:1" s="1" customFormat="1" ht="20.5" customHeight="1">
      <c r="A36" s="92" t="s">
        <v>59</v>
      </c>
    </row>
    <row r="37" spans="1:1" s="1" customFormat="1" ht="20.5" customHeight="1">
      <c r="A37" s="92" t="s">
        <v>50</v>
      </c>
    </row>
    <row r="38" spans="1:1" ht="20.5" customHeight="1"/>
    <row r="39" spans="1:1" ht="17.5"/>
    <row r="40" spans="1:1" ht="17.5"/>
    <row r="41" spans="1:1" ht="17.5"/>
    <row r="42" spans="1:1" ht="17.5"/>
  </sheetData>
  <phoneticPr fontId="43" type="noConversion"/>
  <hyperlinks>
    <hyperlink ref="A36" location="'Table of contents'!A1" display="Back to Table of contents" xr:uid="{450FB382-1996-4E32-B862-B7D38519DC3A}"/>
    <hyperlink ref="A37" r:id="rId1" display="Back to Road Casualties in Greater London 2024 Factsheet" xr:uid="{443A297B-8B67-4CE9-AE0F-5D4058D5429A}"/>
  </hyperlinks>
  <pageMargins left="0.19" right="0.18" top="1" bottom="1" header="0.5" footer="0.5"/>
  <pageSetup paperSize="9" scale="41" orientation="landscape" horizontalDpi="300" verticalDpi="300" r:id="rId2"/>
  <headerFooter alignWithMargins="0">
    <oddHeader>&amp;R&amp;"Arial,Bold Italic"&amp;11ITEM 8.1</oddHeader>
  </headerFooter>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05BEC-3F0B-423F-9614-1E1D8DD9B719}">
  <sheetPr>
    <tabColor rgb="FF92D050"/>
    <pageSetUpPr fitToPage="1"/>
  </sheetPr>
  <dimension ref="A1:AC47"/>
  <sheetViews>
    <sheetView showGridLines="0" zoomScaleNormal="100" workbookViewId="0"/>
  </sheetViews>
  <sheetFormatPr defaultColWidth="8.765625" defaultRowHeight="21" customHeight="1"/>
  <cols>
    <col min="1" max="1" width="34.3046875" style="4" customWidth="1"/>
    <col min="2" max="6" width="7.3046875" style="4" customWidth="1"/>
    <col min="7" max="7" width="8.84375" style="4" customWidth="1"/>
    <col min="8" max="17" width="7.3046875" style="4" customWidth="1"/>
    <col min="18" max="18" width="13.23046875" style="4" customWidth="1"/>
    <col min="19" max="19" width="21.07421875" style="4" customWidth="1"/>
    <col min="20" max="20" width="14.765625" style="4" customWidth="1"/>
    <col min="21" max="21" width="20.53515625" style="4" customWidth="1"/>
    <col min="22" max="16384" width="8.765625" style="4"/>
  </cols>
  <sheetData>
    <row r="1" spans="1:21" ht="45" customHeight="1">
      <c r="A1" s="84" t="s">
        <v>34</v>
      </c>
      <c r="E1" s="124"/>
    </row>
    <row r="2" spans="1:21" s="133" customFormat="1" ht="41.25" customHeight="1">
      <c r="A2" s="157" t="s">
        <v>60</v>
      </c>
      <c r="B2" s="158" t="s">
        <v>61</v>
      </c>
      <c r="C2" s="158" t="s">
        <v>62</v>
      </c>
      <c r="D2" s="158" t="s">
        <v>63</v>
      </c>
      <c r="E2" s="159" t="s">
        <v>64</v>
      </c>
      <c r="F2" s="158" t="s">
        <v>65</v>
      </c>
      <c r="G2" s="152" t="s">
        <v>66</v>
      </c>
      <c r="H2" s="158" t="s">
        <v>67</v>
      </c>
      <c r="I2" s="158" t="s">
        <v>68</v>
      </c>
      <c r="J2" s="158" t="s">
        <v>69</v>
      </c>
      <c r="K2" s="158" t="s">
        <v>70</v>
      </c>
      <c r="L2" s="158" t="s">
        <v>71</v>
      </c>
      <c r="M2" s="158" t="s">
        <v>72</v>
      </c>
      <c r="N2" s="158" t="s">
        <v>73</v>
      </c>
      <c r="O2" s="158" t="s">
        <v>74</v>
      </c>
      <c r="P2" s="158" t="s">
        <v>75</v>
      </c>
      <c r="Q2" s="158" t="s">
        <v>76</v>
      </c>
      <c r="R2" s="152" t="s">
        <v>77</v>
      </c>
      <c r="S2" s="152" t="s">
        <v>78</v>
      </c>
      <c r="T2" s="152" t="s">
        <v>79</v>
      </c>
      <c r="U2" s="152" t="s">
        <v>80</v>
      </c>
    </row>
    <row r="3" spans="1:21" ht="20.5" customHeight="1">
      <c r="A3" s="160" t="s">
        <v>81</v>
      </c>
      <c r="B3" s="125">
        <v>58</v>
      </c>
      <c r="C3" s="125">
        <v>77</v>
      </c>
      <c r="D3" s="125">
        <v>69</v>
      </c>
      <c r="E3" s="161">
        <v>65</v>
      </c>
      <c r="F3" s="125">
        <v>64</v>
      </c>
      <c r="G3" s="164">
        <v>66.599999999999994</v>
      </c>
      <c r="H3" s="125">
        <v>66</v>
      </c>
      <c r="I3" s="125">
        <v>61</v>
      </c>
      <c r="J3" s="125">
        <v>73</v>
      </c>
      <c r="K3" s="125">
        <v>57</v>
      </c>
      <c r="L3" s="125">
        <v>68</v>
      </c>
      <c r="M3" s="125">
        <v>45</v>
      </c>
      <c r="N3" s="125">
        <v>36</v>
      </c>
      <c r="O3" s="125">
        <v>41</v>
      </c>
      <c r="P3" s="125">
        <v>49</v>
      </c>
      <c r="Q3" s="125">
        <v>61</v>
      </c>
      <c r="R3" s="134">
        <v>0.24489795918367346</v>
      </c>
      <c r="S3" s="125" t="s">
        <v>82</v>
      </c>
      <c r="T3" s="134">
        <v>-8.4084084084084007E-2</v>
      </c>
      <c r="U3" s="128" t="s">
        <v>82</v>
      </c>
    </row>
    <row r="4" spans="1:21" ht="20.5" customHeight="1">
      <c r="A4" s="160" t="s">
        <v>83</v>
      </c>
      <c r="B4" s="125">
        <v>10</v>
      </c>
      <c r="C4" s="125">
        <v>16</v>
      </c>
      <c r="D4" s="125">
        <v>14</v>
      </c>
      <c r="E4" s="161">
        <v>14</v>
      </c>
      <c r="F4" s="125">
        <v>13</v>
      </c>
      <c r="G4" s="164">
        <v>13.4</v>
      </c>
      <c r="H4" s="125">
        <v>9</v>
      </c>
      <c r="I4" s="125">
        <v>8</v>
      </c>
      <c r="J4" s="125">
        <v>10</v>
      </c>
      <c r="K4" s="125">
        <v>12</v>
      </c>
      <c r="L4" s="125">
        <v>5</v>
      </c>
      <c r="M4" s="125">
        <v>6</v>
      </c>
      <c r="N4" s="125">
        <v>10</v>
      </c>
      <c r="O4" s="125">
        <v>7</v>
      </c>
      <c r="P4" s="125">
        <v>8</v>
      </c>
      <c r="Q4" s="125">
        <v>9</v>
      </c>
      <c r="R4" s="134">
        <v>0.125</v>
      </c>
      <c r="S4" s="125" t="s">
        <v>82</v>
      </c>
      <c r="T4" s="134">
        <v>-0.32835820895522388</v>
      </c>
      <c r="U4" s="128" t="s">
        <v>82</v>
      </c>
    </row>
    <row r="5" spans="1:21" ht="20.5" customHeight="1">
      <c r="A5" s="160" t="s">
        <v>84</v>
      </c>
      <c r="B5" s="125">
        <v>28</v>
      </c>
      <c r="C5" s="125">
        <v>30</v>
      </c>
      <c r="D5" s="125">
        <v>27</v>
      </c>
      <c r="E5" s="161">
        <v>22</v>
      </c>
      <c r="F5" s="125">
        <v>27</v>
      </c>
      <c r="G5" s="164">
        <v>26.8</v>
      </c>
      <c r="H5" s="125">
        <v>36</v>
      </c>
      <c r="I5" s="125">
        <v>33</v>
      </c>
      <c r="J5" s="125">
        <v>31</v>
      </c>
      <c r="K5" s="125">
        <v>22</v>
      </c>
      <c r="L5" s="125">
        <v>31</v>
      </c>
      <c r="M5" s="125">
        <v>31</v>
      </c>
      <c r="N5" s="125">
        <v>14</v>
      </c>
      <c r="O5" s="125">
        <v>21</v>
      </c>
      <c r="P5" s="125">
        <v>21</v>
      </c>
      <c r="Q5" s="125">
        <v>18</v>
      </c>
      <c r="R5" s="134">
        <v>-0.14285714285714285</v>
      </c>
      <c r="S5" s="125" t="s">
        <v>82</v>
      </c>
      <c r="T5" s="134">
        <v>-0.32835820895522388</v>
      </c>
      <c r="U5" s="128" t="s">
        <v>82</v>
      </c>
    </row>
    <row r="6" spans="1:21" ht="20.5" customHeight="1">
      <c r="A6" s="160" t="s">
        <v>85</v>
      </c>
      <c r="B6" s="125">
        <v>27</v>
      </c>
      <c r="C6" s="125">
        <v>32</v>
      </c>
      <c r="D6" s="125">
        <v>19</v>
      </c>
      <c r="E6" s="161">
        <v>25</v>
      </c>
      <c r="F6" s="125">
        <v>19</v>
      </c>
      <c r="G6" s="164">
        <v>24.4</v>
      </c>
      <c r="H6" s="125">
        <v>20</v>
      </c>
      <c r="I6" s="125">
        <v>10</v>
      </c>
      <c r="J6" s="125">
        <v>14</v>
      </c>
      <c r="K6" s="125">
        <v>16</v>
      </c>
      <c r="L6" s="125">
        <v>17</v>
      </c>
      <c r="M6" s="125">
        <v>11</v>
      </c>
      <c r="N6" s="125">
        <v>10</v>
      </c>
      <c r="O6" s="125">
        <v>25</v>
      </c>
      <c r="P6" s="125">
        <v>16</v>
      </c>
      <c r="Q6" s="125">
        <v>18</v>
      </c>
      <c r="R6" s="134">
        <v>0.125</v>
      </c>
      <c r="S6" s="125" t="s">
        <v>82</v>
      </c>
      <c r="T6" s="134">
        <v>-0.26229508196721307</v>
      </c>
      <c r="U6" s="128" t="s">
        <v>82</v>
      </c>
    </row>
    <row r="7" spans="1:21" ht="20.5" customHeight="1">
      <c r="A7" s="160" t="s">
        <v>86</v>
      </c>
      <c r="B7" s="125">
        <v>0</v>
      </c>
      <c r="C7" s="125">
        <v>1</v>
      </c>
      <c r="D7" s="125">
        <v>2</v>
      </c>
      <c r="E7" s="161">
        <v>1</v>
      </c>
      <c r="F7" s="125">
        <v>0</v>
      </c>
      <c r="G7" s="164">
        <v>0.8</v>
      </c>
      <c r="H7" s="125">
        <v>1</v>
      </c>
      <c r="I7" s="125">
        <v>1</v>
      </c>
      <c r="J7" s="125">
        <v>2</v>
      </c>
      <c r="K7" s="125">
        <v>1</v>
      </c>
      <c r="L7" s="125">
        <v>2</v>
      </c>
      <c r="M7" s="125">
        <v>2</v>
      </c>
      <c r="N7" s="125">
        <v>1</v>
      </c>
      <c r="O7" s="125">
        <v>2</v>
      </c>
      <c r="P7" s="125">
        <v>0</v>
      </c>
      <c r="Q7" s="125">
        <v>2</v>
      </c>
      <c r="R7" s="134" t="s">
        <v>56</v>
      </c>
      <c r="S7" s="125" t="s">
        <v>82</v>
      </c>
      <c r="T7" s="134">
        <v>1.4999999999999998</v>
      </c>
      <c r="U7" s="128" t="s">
        <v>82</v>
      </c>
    </row>
    <row r="8" spans="1:21" ht="20.5" customHeight="1">
      <c r="A8" s="160" t="s">
        <v>87</v>
      </c>
      <c r="B8" s="125">
        <v>1</v>
      </c>
      <c r="C8" s="125">
        <v>2</v>
      </c>
      <c r="D8" s="125">
        <v>0</v>
      </c>
      <c r="E8" s="161">
        <v>2</v>
      </c>
      <c r="F8" s="125">
        <v>2</v>
      </c>
      <c r="G8" s="164">
        <v>1.4</v>
      </c>
      <c r="H8" s="125">
        <v>2</v>
      </c>
      <c r="I8" s="125">
        <v>2</v>
      </c>
      <c r="J8" s="125">
        <v>0</v>
      </c>
      <c r="K8" s="125">
        <v>2</v>
      </c>
      <c r="L8" s="125">
        <v>2</v>
      </c>
      <c r="M8" s="125">
        <v>0</v>
      </c>
      <c r="N8" s="125">
        <v>3</v>
      </c>
      <c r="O8" s="125">
        <v>4</v>
      </c>
      <c r="P8" s="125">
        <v>0</v>
      </c>
      <c r="Q8" s="125">
        <v>1</v>
      </c>
      <c r="R8" s="134" t="s">
        <v>56</v>
      </c>
      <c r="S8" s="125" t="s">
        <v>82</v>
      </c>
      <c r="T8" s="134">
        <v>-0.28571428571428564</v>
      </c>
      <c r="U8" s="128" t="s">
        <v>82</v>
      </c>
    </row>
    <row r="9" spans="1:21" ht="20.5" customHeight="1">
      <c r="A9" s="160" t="s">
        <v>88</v>
      </c>
      <c r="B9" s="125">
        <v>1</v>
      </c>
      <c r="C9" s="125">
        <v>1</v>
      </c>
      <c r="D9" s="125">
        <v>1</v>
      </c>
      <c r="E9" s="161">
        <v>2</v>
      </c>
      <c r="F9" s="125">
        <v>2</v>
      </c>
      <c r="G9" s="164">
        <v>1.4</v>
      </c>
      <c r="H9" s="125">
        <v>1</v>
      </c>
      <c r="I9" s="125">
        <v>1</v>
      </c>
      <c r="J9" s="125">
        <v>1</v>
      </c>
      <c r="K9" s="125">
        <v>0</v>
      </c>
      <c r="L9" s="125">
        <v>0</v>
      </c>
      <c r="M9" s="125">
        <v>0</v>
      </c>
      <c r="N9" s="125">
        <v>1</v>
      </c>
      <c r="O9" s="125">
        <v>1</v>
      </c>
      <c r="P9" s="125">
        <v>0</v>
      </c>
      <c r="Q9" s="125">
        <v>1</v>
      </c>
      <c r="R9" s="134" t="s">
        <v>56</v>
      </c>
      <c r="S9" s="125" t="s">
        <v>82</v>
      </c>
      <c r="T9" s="134">
        <v>-0.28571428571428564</v>
      </c>
      <c r="U9" s="128" t="s">
        <v>82</v>
      </c>
    </row>
    <row r="10" spans="1:21" ht="20.5" customHeight="1">
      <c r="A10" s="160" t="s">
        <v>89</v>
      </c>
      <c r="B10" s="127" t="s">
        <v>56</v>
      </c>
      <c r="C10" s="127" t="s">
        <v>56</v>
      </c>
      <c r="D10" s="127" t="s">
        <v>56</v>
      </c>
      <c r="E10" s="162" t="s">
        <v>56</v>
      </c>
      <c r="F10" s="127" t="s">
        <v>56</v>
      </c>
      <c r="G10" s="165">
        <v>0</v>
      </c>
      <c r="H10" s="127" t="s">
        <v>56</v>
      </c>
      <c r="I10" s="127" t="s">
        <v>56</v>
      </c>
      <c r="J10" s="125">
        <v>0</v>
      </c>
      <c r="K10" s="125">
        <v>0</v>
      </c>
      <c r="L10" s="125">
        <v>0</v>
      </c>
      <c r="M10" s="125">
        <v>1</v>
      </c>
      <c r="N10" s="125">
        <v>0</v>
      </c>
      <c r="O10" s="125">
        <v>1</v>
      </c>
      <c r="P10" s="125">
        <v>0</v>
      </c>
      <c r="Q10" s="125">
        <v>0</v>
      </c>
      <c r="R10" s="134" t="s">
        <v>56</v>
      </c>
      <c r="S10" s="125" t="s">
        <v>82</v>
      </c>
      <c r="T10" s="134" t="s">
        <v>56</v>
      </c>
      <c r="U10" s="128" t="s">
        <v>56</v>
      </c>
    </row>
    <row r="11" spans="1:21" ht="20.5" customHeight="1">
      <c r="A11" s="160" t="s">
        <v>101</v>
      </c>
      <c r="B11" s="125">
        <v>1</v>
      </c>
      <c r="C11" s="125">
        <v>0</v>
      </c>
      <c r="D11" s="125">
        <v>2</v>
      </c>
      <c r="E11" s="161">
        <v>1</v>
      </c>
      <c r="F11" s="125">
        <v>0</v>
      </c>
      <c r="G11" s="164">
        <v>0.8</v>
      </c>
      <c r="H11" s="125">
        <v>1</v>
      </c>
      <c r="I11" s="125">
        <v>0</v>
      </c>
      <c r="J11" s="125">
        <v>0</v>
      </c>
      <c r="K11" s="125">
        <v>2</v>
      </c>
      <c r="L11" s="125">
        <v>0</v>
      </c>
      <c r="M11" s="125">
        <v>0</v>
      </c>
      <c r="N11" s="125">
        <v>0</v>
      </c>
      <c r="O11" s="125">
        <v>0</v>
      </c>
      <c r="P11" s="125">
        <v>1</v>
      </c>
      <c r="Q11" s="125">
        <v>0</v>
      </c>
      <c r="R11" s="134">
        <v>-1</v>
      </c>
      <c r="S11" s="125" t="s">
        <v>82</v>
      </c>
      <c r="T11" s="134">
        <v>-1</v>
      </c>
      <c r="U11" s="128" t="s">
        <v>82</v>
      </c>
    </row>
    <row r="12" spans="1:21" s="297" customFormat="1" ht="20.5" customHeight="1">
      <c r="A12" s="160" t="s">
        <v>91</v>
      </c>
      <c r="B12" s="294">
        <v>126</v>
      </c>
      <c r="C12" s="294">
        <v>159</v>
      </c>
      <c r="D12" s="294">
        <v>134</v>
      </c>
      <c r="E12" s="160">
        <v>132</v>
      </c>
      <c r="F12" s="294">
        <v>127</v>
      </c>
      <c r="G12" s="341">
        <v>135.6</v>
      </c>
      <c r="H12" s="294">
        <v>136</v>
      </c>
      <c r="I12" s="294">
        <v>116</v>
      </c>
      <c r="J12" s="294">
        <v>131</v>
      </c>
      <c r="K12" s="294">
        <v>112</v>
      </c>
      <c r="L12" s="294">
        <v>125</v>
      </c>
      <c r="M12" s="294">
        <v>96</v>
      </c>
      <c r="N12" s="294">
        <v>75</v>
      </c>
      <c r="O12" s="294">
        <v>102</v>
      </c>
      <c r="P12" s="294">
        <v>95</v>
      </c>
      <c r="Q12" s="294">
        <v>110</v>
      </c>
      <c r="R12" s="295">
        <v>0.15789473684210525</v>
      </c>
      <c r="S12" s="294" t="s">
        <v>82</v>
      </c>
      <c r="T12" s="295">
        <v>-0.18879056047197637</v>
      </c>
      <c r="U12" s="296" t="s">
        <v>58</v>
      </c>
    </row>
    <row r="13" spans="1:21" ht="20.5" customHeight="1">
      <c r="A13" s="163" t="s">
        <v>66</v>
      </c>
      <c r="B13" s="298">
        <v>135.6</v>
      </c>
      <c r="C13" s="298">
        <v>135.6</v>
      </c>
      <c r="D13" s="298">
        <v>135.6</v>
      </c>
      <c r="E13" s="184">
        <v>135.6</v>
      </c>
      <c r="F13" s="298">
        <v>135.6</v>
      </c>
      <c r="G13" s="298">
        <f>SUM(Table12[[#This Row],[2010]:[2014]])/5</f>
        <v>135.6</v>
      </c>
      <c r="H13" s="298">
        <v>135.6</v>
      </c>
      <c r="I13" s="298">
        <v>135.6</v>
      </c>
      <c r="J13" s="298">
        <v>135.6</v>
      </c>
      <c r="K13" s="298">
        <v>135.6</v>
      </c>
      <c r="L13" s="298">
        <v>135.6</v>
      </c>
      <c r="M13" s="298">
        <v>135.6</v>
      </c>
      <c r="N13" s="298">
        <v>135.6</v>
      </c>
      <c r="O13" s="298">
        <v>135.6</v>
      </c>
      <c r="P13" s="298">
        <v>135.6</v>
      </c>
      <c r="Q13" s="298">
        <v>135.6</v>
      </c>
      <c r="R13" s="165" t="s">
        <v>56</v>
      </c>
      <c r="S13" s="164" t="s">
        <v>56</v>
      </c>
      <c r="T13" s="165" t="s">
        <v>56</v>
      </c>
      <c r="U13" s="164" t="s">
        <v>56</v>
      </c>
    </row>
    <row r="14" spans="1:21" ht="20.5" customHeight="1">
      <c r="A14" s="166" t="s">
        <v>92</v>
      </c>
      <c r="B14" s="125"/>
      <c r="C14" s="125"/>
      <c r="D14" s="125"/>
      <c r="E14" s="161"/>
      <c r="F14" s="125"/>
      <c r="G14" s="125"/>
      <c r="H14" s="125"/>
      <c r="I14" s="125"/>
      <c r="J14" s="125"/>
      <c r="K14" s="125"/>
      <c r="L14" s="125"/>
      <c r="M14" s="125"/>
      <c r="N14" s="125"/>
      <c r="O14" s="125"/>
      <c r="P14" s="125"/>
      <c r="Q14" s="125"/>
      <c r="R14" s="125"/>
      <c r="S14" s="125"/>
      <c r="T14" s="125"/>
    </row>
    <row r="15" spans="1:21" ht="20.5" customHeight="1">
      <c r="A15" s="84"/>
      <c r="E15" s="124"/>
    </row>
    <row r="16" spans="1:21" ht="20.5" customHeight="1">
      <c r="A16" s="84"/>
      <c r="E16" s="124"/>
      <c r="Q16" s="360"/>
    </row>
    <row r="17" spans="1:29" ht="20.5" customHeight="1">
      <c r="A17" s="84"/>
      <c r="E17" s="124"/>
    </row>
    <row r="18" spans="1:29" ht="20.5" customHeight="1">
      <c r="A18" s="84"/>
      <c r="E18" s="124"/>
    </row>
    <row r="19" spans="1:29" ht="20.5" customHeight="1">
      <c r="A19" s="84"/>
      <c r="E19" s="124"/>
    </row>
    <row r="20" spans="1:29" ht="20.5" customHeight="1">
      <c r="A20" s="84"/>
      <c r="E20" s="124"/>
    </row>
    <row r="21" spans="1:29" ht="20.5" customHeight="1">
      <c r="A21" s="84"/>
      <c r="E21" s="124"/>
    </row>
    <row r="22" spans="1:29" ht="20.5" customHeight="1">
      <c r="A22" s="84"/>
      <c r="E22" s="124"/>
    </row>
    <row r="23" spans="1:29" s="1" customFormat="1" ht="20.25" customHeight="1">
      <c r="Q23" s="5"/>
      <c r="R23" s="5"/>
      <c r="S23" s="37"/>
      <c r="T23" s="37"/>
      <c r="U23" s="37"/>
      <c r="V23" s="37"/>
      <c r="W23" s="37"/>
      <c r="X23" s="37"/>
      <c r="Y23" s="37"/>
      <c r="Z23" s="37"/>
      <c r="AA23" s="37"/>
      <c r="AB23" s="37"/>
      <c r="AC23" s="5"/>
    </row>
    <row r="24" spans="1:29" s="1" customFormat="1" ht="20.25" customHeight="1">
      <c r="B24" s="5"/>
      <c r="C24" s="5"/>
      <c r="D24" s="5"/>
      <c r="E24" s="5"/>
      <c r="F24" s="5"/>
      <c r="G24" s="5"/>
      <c r="H24" s="5"/>
      <c r="I24" s="5"/>
      <c r="J24" s="5"/>
      <c r="Q24" s="5"/>
      <c r="R24" s="5"/>
      <c r="S24" s="15"/>
      <c r="T24" s="15"/>
      <c r="U24" s="15"/>
      <c r="V24" s="15"/>
      <c r="W24" s="15"/>
      <c r="X24" s="15"/>
      <c r="Y24" s="15"/>
      <c r="Z24" s="15"/>
      <c r="AA24" s="15"/>
      <c r="AB24" s="5"/>
      <c r="AC24" s="5"/>
    </row>
    <row r="25" spans="1:29" s="1" customFormat="1" ht="20.25" customHeight="1">
      <c r="Q25" s="5"/>
      <c r="R25" s="5"/>
      <c r="S25" s="5"/>
      <c r="T25" s="5"/>
      <c r="U25" s="5"/>
      <c r="V25" s="5"/>
      <c r="W25" s="5"/>
      <c r="X25" s="5"/>
      <c r="Y25" s="5"/>
      <c r="Z25" s="5"/>
      <c r="AA25" s="5"/>
      <c r="AB25" s="5"/>
      <c r="AC25" s="5"/>
    </row>
    <row r="26" spans="1:29" s="1" customFormat="1" ht="20.25" customHeight="1"/>
    <row r="27" spans="1:29" s="1" customFormat="1" ht="20.25" customHeight="1">
      <c r="A27"/>
      <c r="B27"/>
      <c r="C27"/>
      <c r="D27"/>
      <c r="E27"/>
      <c r="F27"/>
      <c r="G27"/>
      <c r="H27"/>
      <c r="I27"/>
      <c r="J27"/>
      <c r="K27"/>
    </row>
    <row r="28" spans="1:29" s="1" customFormat="1" ht="15.5"/>
    <row r="29" spans="1:29" s="1" customFormat="1" ht="15.5"/>
    <row r="30" spans="1:29" s="1" customFormat="1" ht="15.5"/>
    <row r="31" spans="1:29" s="1" customFormat="1" ht="15.5"/>
    <row r="32" spans="1:29" s="1" customFormat="1" ht="15.5"/>
    <row r="33" spans="1:14" s="1" customFormat="1" ht="15.5"/>
    <row r="34" spans="1:14" s="1" customFormat="1" ht="15.5"/>
    <row r="35" spans="1:14" ht="17.5">
      <c r="M35" s="1"/>
    </row>
    <row r="36" spans="1:14" ht="17.5">
      <c r="M36" s="1"/>
    </row>
    <row r="37" spans="1:14" ht="17.5">
      <c r="M37" s="1"/>
    </row>
    <row r="38" spans="1:14" ht="17.5">
      <c r="M38" s="1"/>
    </row>
    <row r="39" spans="1:14" ht="17.5">
      <c r="M39" s="1"/>
      <c r="N39" s="29"/>
    </row>
    <row r="40" spans="1:14" ht="17.5">
      <c r="M40" s="1"/>
    </row>
    <row r="41" spans="1:14" ht="17.5"/>
    <row r="42" spans="1:14" ht="17.5"/>
    <row r="43" spans="1:14" ht="17.5"/>
    <row r="44" spans="1:14" ht="17.5">
      <c r="A44" s="92" t="s">
        <v>59</v>
      </c>
    </row>
    <row r="45" spans="1:14" ht="17.5">
      <c r="A45" s="92" t="s">
        <v>50</v>
      </c>
    </row>
    <row r="47" spans="1:14" ht="17.5"/>
  </sheetData>
  <phoneticPr fontId="43" type="noConversion"/>
  <hyperlinks>
    <hyperlink ref="A44" location="'Table of contents'!A1" display="Back to Table of contents" xr:uid="{1426AED9-6222-4C5E-8660-D7C07C3E4652}"/>
    <hyperlink ref="A45" r:id="rId1" display="Back to Road Casualties in Greater London 2024 Factsheet" xr:uid="{709AEFCD-52C1-45EB-98C7-E1E680EBC19D}"/>
  </hyperlinks>
  <pageMargins left="0.19" right="0.18" top="1" bottom="1" header="0.5" footer="0.5"/>
  <pageSetup paperSize="9" scale="36" orientation="landscape" horizontalDpi="300" verticalDpi="300" r:id="rId2"/>
  <headerFooter alignWithMargins="0">
    <oddHeader>&amp;R&amp;"Arial,Bold Italic"&amp;11ITEM 8.1</oddHeader>
  </headerFooter>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77BE7-FD27-4791-B617-D66462E98C24}">
  <sheetPr>
    <tabColor rgb="FF92D050"/>
    <pageSetUpPr fitToPage="1"/>
  </sheetPr>
  <dimension ref="A1:U50"/>
  <sheetViews>
    <sheetView showGridLines="0" zoomScaleNormal="100" workbookViewId="0"/>
  </sheetViews>
  <sheetFormatPr defaultColWidth="8.765625" defaultRowHeight="21" customHeight="1"/>
  <cols>
    <col min="1" max="1" width="25" style="4" customWidth="1"/>
    <col min="2" max="6" width="7.3046875" style="4" customWidth="1"/>
    <col min="7" max="7" width="8.23046875" style="4" customWidth="1"/>
    <col min="8" max="17" width="7.3046875" style="4" customWidth="1"/>
    <col min="18" max="18" width="14.4609375" style="4" customWidth="1"/>
    <col min="19" max="19" width="20.69140625" style="4" customWidth="1"/>
    <col min="20" max="20" width="14.765625" style="4" customWidth="1"/>
    <col min="21" max="21" width="20.69140625" style="4" customWidth="1"/>
    <col min="22" max="16384" width="8.765625" style="4"/>
  </cols>
  <sheetData>
    <row r="1" spans="1:21" ht="45" customHeight="1">
      <c r="A1" s="84" t="s">
        <v>35</v>
      </c>
    </row>
    <row r="2" spans="1:21" s="133" customFormat="1" ht="41.25" customHeight="1">
      <c r="A2" s="157" t="s">
        <v>60</v>
      </c>
      <c r="B2" s="158" t="s">
        <v>61</v>
      </c>
      <c r="C2" s="158" t="s">
        <v>62</v>
      </c>
      <c r="D2" s="158" t="s">
        <v>63</v>
      </c>
      <c r="E2" s="158" t="s">
        <v>64</v>
      </c>
      <c r="F2" s="158" t="s">
        <v>65</v>
      </c>
      <c r="G2" s="152" t="s">
        <v>66</v>
      </c>
      <c r="H2" s="158" t="s">
        <v>67</v>
      </c>
      <c r="I2" s="158" t="s">
        <v>68</v>
      </c>
      <c r="J2" s="158" t="s">
        <v>69</v>
      </c>
      <c r="K2" s="158" t="s">
        <v>70</v>
      </c>
      <c r="L2" s="158" t="s">
        <v>71</v>
      </c>
      <c r="M2" s="158" t="s">
        <v>72</v>
      </c>
      <c r="N2" s="158" t="s">
        <v>73</v>
      </c>
      <c r="O2" s="158" t="s">
        <v>74</v>
      </c>
      <c r="P2" s="158" t="s">
        <v>75</v>
      </c>
      <c r="Q2" s="158" t="s">
        <v>76</v>
      </c>
      <c r="R2" s="152" t="s">
        <v>77</v>
      </c>
      <c r="S2" s="152" t="s">
        <v>78</v>
      </c>
      <c r="T2" s="152" t="s">
        <v>79</v>
      </c>
      <c r="U2" s="152" t="s">
        <v>80</v>
      </c>
    </row>
    <row r="3" spans="1:21" ht="20.5" customHeight="1">
      <c r="A3" s="160" t="s">
        <v>81</v>
      </c>
      <c r="B3" s="300">
        <v>1606</v>
      </c>
      <c r="C3" s="300">
        <v>1628</v>
      </c>
      <c r="D3" s="300">
        <v>1697</v>
      </c>
      <c r="E3" s="300">
        <v>1382</v>
      </c>
      <c r="F3" s="300">
        <v>1345</v>
      </c>
      <c r="G3" s="302">
        <v>1531.6</v>
      </c>
      <c r="H3" s="300">
        <v>1230.8222090126051</v>
      </c>
      <c r="I3" s="300">
        <v>1224.627883969936</v>
      </c>
      <c r="J3" s="300">
        <v>1339</v>
      </c>
      <c r="K3" s="300">
        <v>1309</v>
      </c>
      <c r="L3" s="300">
        <v>1282</v>
      </c>
      <c r="M3" s="300">
        <v>823</v>
      </c>
      <c r="N3" s="300">
        <v>923</v>
      </c>
      <c r="O3" s="300">
        <v>1194</v>
      </c>
      <c r="P3" s="300">
        <v>1225</v>
      </c>
      <c r="Q3" s="300">
        <v>1133</v>
      </c>
      <c r="R3" s="134">
        <v>-7.5102040816326529E-2</v>
      </c>
      <c r="S3" s="125" t="s">
        <v>58</v>
      </c>
      <c r="T3" s="131">
        <v>-0.26025071820318618</v>
      </c>
      <c r="U3" s="125" t="s">
        <v>58</v>
      </c>
    </row>
    <row r="4" spans="1:21" ht="20.5" customHeight="1">
      <c r="A4" s="160" t="s">
        <v>83</v>
      </c>
      <c r="B4" s="300">
        <v>847</v>
      </c>
      <c r="C4" s="300">
        <v>966</v>
      </c>
      <c r="D4" s="300">
        <v>1053</v>
      </c>
      <c r="E4" s="300">
        <v>861</v>
      </c>
      <c r="F4" s="300">
        <v>823</v>
      </c>
      <c r="G4" s="302">
        <v>910</v>
      </c>
      <c r="H4" s="300">
        <v>693.68172061044231</v>
      </c>
      <c r="I4" s="300">
        <v>681.32519297514636</v>
      </c>
      <c r="J4" s="300">
        <v>675</v>
      </c>
      <c r="K4" s="300">
        <v>770</v>
      </c>
      <c r="L4" s="300">
        <v>773</v>
      </c>
      <c r="M4" s="300">
        <v>862</v>
      </c>
      <c r="N4" s="300">
        <v>989</v>
      </c>
      <c r="O4" s="300">
        <v>1020</v>
      </c>
      <c r="P4" s="300">
        <v>933</v>
      </c>
      <c r="Q4" s="300">
        <v>985</v>
      </c>
      <c r="R4" s="134">
        <v>5.5734190782422297E-2</v>
      </c>
      <c r="S4" s="125" t="s">
        <v>82</v>
      </c>
      <c r="T4" s="131">
        <v>8.2417582417582416E-2</v>
      </c>
      <c r="U4" s="125" t="s">
        <v>58</v>
      </c>
    </row>
    <row r="5" spans="1:21" ht="20.5" customHeight="1">
      <c r="A5" s="160" t="s">
        <v>84</v>
      </c>
      <c r="B5" s="300">
        <v>1137</v>
      </c>
      <c r="C5" s="300">
        <v>1141</v>
      </c>
      <c r="D5" s="300">
        <v>1140</v>
      </c>
      <c r="E5" s="300">
        <v>983</v>
      </c>
      <c r="F5" s="300">
        <v>1032</v>
      </c>
      <c r="G5" s="302">
        <v>1086.5999999999999</v>
      </c>
      <c r="H5" s="300">
        <v>1020.9321651469529</v>
      </c>
      <c r="I5" s="300">
        <v>1009.4195175631965</v>
      </c>
      <c r="J5" s="300">
        <v>1068</v>
      </c>
      <c r="K5" s="300">
        <v>1058</v>
      </c>
      <c r="L5" s="300">
        <v>988</v>
      </c>
      <c r="M5" s="300">
        <v>737</v>
      </c>
      <c r="N5" s="300">
        <v>915</v>
      </c>
      <c r="O5" s="300">
        <v>873</v>
      </c>
      <c r="P5" s="300">
        <v>746</v>
      </c>
      <c r="Q5" s="300">
        <v>788</v>
      </c>
      <c r="R5" s="134">
        <v>5.6300268096514748E-2</v>
      </c>
      <c r="S5" s="125" t="s">
        <v>82</v>
      </c>
      <c r="T5" s="131">
        <v>-0.27480213510031282</v>
      </c>
      <c r="U5" s="125" t="s">
        <v>58</v>
      </c>
    </row>
    <row r="6" spans="1:21" ht="20.5" customHeight="1">
      <c r="A6" s="160" t="s">
        <v>85</v>
      </c>
      <c r="B6" s="300">
        <v>1335</v>
      </c>
      <c r="C6" s="300">
        <v>994</v>
      </c>
      <c r="D6" s="300">
        <v>893</v>
      </c>
      <c r="E6" s="300">
        <v>671</v>
      </c>
      <c r="F6" s="300">
        <v>657</v>
      </c>
      <c r="G6" s="302">
        <v>910</v>
      </c>
      <c r="H6" s="300">
        <v>603.52796011643443</v>
      </c>
      <c r="I6" s="300">
        <v>581.12525818554843</v>
      </c>
      <c r="J6" s="300">
        <v>476</v>
      </c>
      <c r="K6" s="300">
        <v>607</v>
      </c>
      <c r="L6" s="300">
        <v>557</v>
      </c>
      <c r="M6" s="300">
        <v>405</v>
      </c>
      <c r="N6" s="300">
        <v>454</v>
      </c>
      <c r="O6" s="300">
        <v>501</v>
      </c>
      <c r="P6" s="300">
        <v>441</v>
      </c>
      <c r="Q6" s="300">
        <v>452</v>
      </c>
      <c r="R6" s="134">
        <v>2.4943310657596373E-2</v>
      </c>
      <c r="S6" s="125" t="s">
        <v>82</v>
      </c>
      <c r="T6" s="131">
        <v>-0.50329670329670328</v>
      </c>
      <c r="U6" s="125" t="s">
        <v>58</v>
      </c>
    </row>
    <row r="7" spans="1:21" ht="20.5" customHeight="1">
      <c r="A7" s="160" t="s">
        <v>86</v>
      </c>
      <c r="B7" s="300">
        <v>199</v>
      </c>
      <c r="C7" s="300">
        <v>184</v>
      </c>
      <c r="D7" s="300">
        <v>177</v>
      </c>
      <c r="E7" s="300">
        <v>178</v>
      </c>
      <c r="F7" s="300">
        <v>155</v>
      </c>
      <c r="G7" s="302">
        <v>178.6</v>
      </c>
      <c r="H7" s="300">
        <v>146.16387653119784</v>
      </c>
      <c r="I7" s="300">
        <v>123.12746009946967</v>
      </c>
      <c r="J7" s="300">
        <v>106</v>
      </c>
      <c r="K7" s="300">
        <v>111</v>
      </c>
      <c r="L7" s="300">
        <v>89</v>
      </c>
      <c r="M7" s="300">
        <v>44</v>
      </c>
      <c r="N7" s="300">
        <v>70</v>
      </c>
      <c r="O7" s="300">
        <v>139</v>
      </c>
      <c r="P7" s="300">
        <v>124</v>
      </c>
      <c r="Q7" s="300">
        <v>113</v>
      </c>
      <c r="R7" s="134">
        <v>-8.8709677419354843E-2</v>
      </c>
      <c r="S7" s="125" t="s">
        <v>82</v>
      </c>
      <c r="T7" s="131">
        <v>-0.36730123180291152</v>
      </c>
      <c r="U7" s="125" t="s">
        <v>58</v>
      </c>
    </row>
    <row r="8" spans="1:21" ht="20.5" customHeight="1">
      <c r="A8" s="160" t="s">
        <v>87</v>
      </c>
      <c r="B8" s="300">
        <v>30</v>
      </c>
      <c r="C8" s="300">
        <v>28</v>
      </c>
      <c r="D8" s="300">
        <v>18</v>
      </c>
      <c r="E8" s="300">
        <v>19</v>
      </c>
      <c r="F8" s="300">
        <v>15</v>
      </c>
      <c r="G8" s="302">
        <v>22</v>
      </c>
      <c r="H8" s="300">
        <v>10.46510326365367</v>
      </c>
      <c r="I8" s="300">
        <v>9.5233183279876776</v>
      </c>
      <c r="J8" s="300">
        <v>15</v>
      </c>
      <c r="K8" s="300">
        <v>14</v>
      </c>
      <c r="L8" s="300">
        <v>17</v>
      </c>
      <c r="M8" s="300">
        <v>68</v>
      </c>
      <c r="N8" s="300">
        <v>112</v>
      </c>
      <c r="O8" s="300">
        <v>84</v>
      </c>
      <c r="P8" s="300">
        <v>79</v>
      </c>
      <c r="Q8" s="300">
        <v>69</v>
      </c>
      <c r="R8" s="134">
        <v>-0.12658227848101267</v>
      </c>
      <c r="S8" s="125" t="s">
        <v>82</v>
      </c>
      <c r="T8" s="131">
        <v>2.1363636363636362</v>
      </c>
      <c r="U8" s="125" t="s">
        <v>58</v>
      </c>
    </row>
    <row r="9" spans="1:21" ht="20.5" customHeight="1">
      <c r="A9" s="160" t="s">
        <v>88</v>
      </c>
      <c r="B9" s="300">
        <v>62</v>
      </c>
      <c r="C9" s="300">
        <v>64</v>
      </c>
      <c r="D9" s="300">
        <v>52</v>
      </c>
      <c r="E9" s="300">
        <v>52</v>
      </c>
      <c r="F9" s="300">
        <v>44</v>
      </c>
      <c r="G9" s="302">
        <v>54.8</v>
      </c>
      <c r="H9" s="300">
        <v>40.97378568947002</v>
      </c>
      <c r="I9" s="300">
        <v>32.255523439676168</v>
      </c>
      <c r="J9" s="300">
        <v>26</v>
      </c>
      <c r="K9" s="300">
        <v>40</v>
      </c>
      <c r="L9" s="300">
        <v>44</v>
      </c>
      <c r="M9" s="300">
        <v>18</v>
      </c>
      <c r="N9" s="300">
        <v>26</v>
      </c>
      <c r="O9" s="300">
        <v>24</v>
      </c>
      <c r="P9" s="300">
        <v>30</v>
      </c>
      <c r="Q9" s="300">
        <v>33</v>
      </c>
      <c r="R9" s="134">
        <v>0.1</v>
      </c>
      <c r="S9" s="125" t="s">
        <v>82</v>
      </c>
      <c r="T9" s="131">
        <v>-0.39781021897810215</v>
      </c>
      <c r="U9" s="125" t="s">
        <v>58</v>
      </c>
    </row>
    <row r="10" spans="1:21" ht="20.5" customHeight="1">
      <c r="A10" s="160" t="s">
        <v>102</v>
      </c>
      <c r="B10" s="303" t="s">
        <v>56</v>
      </c>
      <c r="C10" s="303" t="s">
        <v>56</v>
      </c>
      <c r="D10" s="303" t="s">
        <v>56</v>
      </c>
      <c r="E10" s="303" t="s">
        <v>56</v>
      </c>
      <c r="F10" s="303" t="s">
        <v>56</v>
      </c>
      <c r="G10" s="342">
        <v>0</v>
      </c>
      <c r="H10" s="303" t="s">
        <v>56</v>
      </c>
      <c r="I10" s="303" t="s">
        <v>56</v>
      </c>
      <c r="J10" s="300">
        <v>24</v>
      </c>
      <c r="K10" s="300">
        <v>15</v>
      </c>
      <c r="L10" s="300">
        <v>14</v>
      </c>
      <c r="M10" s="300">
        <v>11</v>
      </c>
      <c r="N10" s="300">
        <v>11</v>
      </c>
      <c r="O10" s="300">
        <v>12</v>
      </c>
      <c r="P10" s="300">
        <v>22</v>
      </c>
      <c r="Q10" s="300">
        <v>12</v>
      </c>
      <c r="R10" s="134">
        <v>-0.45454545454545453</v>
      </c>
      <c r="S10" s="125" t="s">
        <v>58</v>
      </c>
      <c r="T10" s="134" t="s">
        <v>56</v>
      </c>
      <c r="U10" s="128" t="s">
        <v>56</v>
      </c>
    </row>
    <row r="11" spans="1:21" ht="20.5" customHeight="1">
      <c r="A11" s="160" t="s">
        <v>90</v>
      </c>
      <c r="B11" s="300">
        <v>43</v>
      </c>
      <c r="C11" s="300">
        <v>49</v>
      </c>
      <c r="D11" s="300">
        <v>36</v>
      </c>
      <c r="E11" s="300">
        <v>39</v>
      </c>
      <c r="F11" s="300">
        <v>32</v>
      </c>
      <c r="G11" s="302">
        <v>39.799999999999997</v>
      </c>
      <c r="H11" s="300">
        <v>37.372207302297582</v>
      </c>
      <c r="I11" s="300">
        <v>40.098943099645012</v>
      </c>
      <c r="J11" s="300">
        <v>21</v>
      </c>
      <c r="K11" s="300">
        <v>29</v>
      </c>
      <c r="L11" s="300">
        <v>16</v>
      </c>
      <c r="M11" s="300">
        <v>6</v>
      </c>
      <c r="N11" s="300">
        <v>4</v>
      </c>
      <c r="O11" s="300">
        <v>12</v>
      </c>
      <c r="P11" s="300">
        <v>15</v>
      </c>
      <c r="Q11" s="300">
        <v>12</v>
      </c>
      <c r="R11" s="134">
        <v>-0.2</v>
      </c>
      <c r="S11" s="125" t="s">
        <v>82</v>
      </c>
      <c r="T11" s="131">
        <v>-0.69849246231155782</v>
      </c>
      <c r="U11" s="125" t="s">
        <v>58</v>
      </c>
    </row>
    <row r="12" spans="1:21" s="297" customFormat="1" ht="20.5" customHeight="1">
      <c r="A12" s="160" t="s">
        <v>91</v>
      </c>
      <c r="B12" s="301">
        <v>5259</v>
      </c>
      <c r="C12" s="301">
        <v>5054</v>
      </c>
      <c r="D12" s="301">
        <v>5066</v>
      </c>
      <c r="E12" s="301">
        <v>4185</v>
      </c>
      <c r="F12" s="301">
        <v>4103</v>
      </c>
      <c r="G12" s="343">
        <v>4733.3999999999996</v>
      </c>
      <c r="H12" s="301">
        <v>3783.9390276730542</v>
      </c>
      <c r="I12" s="301">
        <v>3701.5030976606058</v>
      </c>
      <c r="J12" s="301">
        <v>3750</v>
      </c>
      <c r="K12" s="301">
        <v>3953</v>
      </c>
      <c r="L12" s="301">
        <v>3780</v>
      </c>
      <c r="M12" s="301">
        <v>2974</v>
      </c>
      <c r="N12" s="301">
        <v>3504</v>
      </c>
      <c r="O12" s="301">
        <v>3859</v>
      </c>
      <c r="P12" s="301">
        <v>3615</v>
      </c>
      <c r="Q12" s="301">
        <v>3597</v>
      </c>
      <c r="R12" s="295">
        <v>-4.9792531120331947E-3</v>
      </c>
      <c r="S12" s="294" t="s">
        <v>82</v>
      </c>
      <c r="T12" s="299">
        <v>-0.24008112561794898</v>
      </c>
      <c r="U12" s="294" t="s">
        <v>58</v>
      </c>
    </row>
    <row r="13" spans="1:21" ht="20.5" customHeight="1">
      <c r="A13" s="163" t="s">
        <v>66</v>
      </c>
      <c r="B13" s="302">
        <v>4733.3999999999996</v>
      </c>
      <c r="C13" s="302">
        <v>4733.3999999999996</v>
      </c>
      <c r="D13" s="302">
        <v>4733.3999999999996</v>
      </c>
      <c r="E13" s="302">
        <v>4733.3999999999996</v>
      </c>
      <c r="F13" s="302">
        <v>4733.3999999999996</v>
      </c>
      <c r="G13" s="302">
        <f>SUM(Table14[[#This Row],[2010]:[2014]])/5</f>
        <v>4733.3999999999996</v>
      </c>
      <c r="H13" s="302">
        <v>4733.3999999999996</v>
      </c>
      <c r="I13" s="302">
        <v>4733.3999999999996</v>
      </c>
      <c r="J13" s="302">
        <v>4733.3999999999996</v>
      </c>
      <c r="K13" s="302">
        <v>4733.3999999999996</v>
      </c>
      <c r="L13" s="302">
        <v>4733.3999999999996</v>
      </c>
      <c r="M13" s="302">
        <v>4733.3999999999996</v>
      </c>
      <c r="N13" s="302">
        <v>4733.3999999999996</v>
      </c>
      <c r="O13" s="302">
        <v>4733.3999999999996</v>
      </c>
      <c r="P13" s="302">
        <v>4733.3999999999996</v>
      </c>
      <c r="Q13" s="302">
        <v>4733.3999999999996</v>
      </c>
      <c r="R13" s="170" t="s">
        <v>56</v>
      </c>
      <c r="S13" s="171" t="s">
        <v>56</v>
      </c>
      <c r="T13" s="170" t="s">
        <v>56</v>
      </c>
      <c r="U13" s="171" t="s">
        <v>56</v>
      </c>
    </row>
    <row r="14" spans="1:21" ht="20.5" customHeight="1">
      <c r="A14" s="172" t="s">
        <v>92</v>
      </c>
      <c r="B14" s="125"/>
      <c r="C14" s="125"/>
      <c r="D14" s="125"/>
      <c r="E14" s="125"/>
      <c r="F14" s="125"/>
      <c r="G14" s="125"/>
      <c r="H14" s="125"/>
      <c r="I14" s="125"/>
      <c r="J14" s="125"/>
      <c r="K14" s="125"/>
      <c r="L14" s="125"/>
      <c r="M14" s="125"/>
      <c r="N14" s="125"/>
      <c r="O14" s="125"/>
      <c r="P14" s="125"/>
      <c r="Q14" s="134"/>
      <c r="R14" s="125"/>
      <c r="S14" s="131"/>
      <c r="T14" s="125"/>
    </row>
    <row r="15" spans="1:21" ht="20.5" customHeight="1">
      <c r="A15" s="84"/>
    </row>
    <row r="16" spans="1:21" ht="20.5" customHeight="1">
      <c r="A16" s="84"/>
    </row>
    <row r="17" spans="1:12" ht="20.5" customHeight="1">
      <c r="A17" s="84"/>
    </row>
    <row r="18" spans="1:12" ht="20.5" customHeight="1">
      <c r="A18" s="84"/>
    </row>
    <row r="19" spans="1:12" ht="20.5" customHeight="1">
      <c r="A19" s="84"/>
    </row>
    <row r="20" spans="1:12" ht="20.5" customHeight="1">
      <c r="A20" s="84"/>
    </row>
    <row r="21" spans="1:12" ht="20.5" customHeight="1">
      <c r="A21" s="84"/>
    </row>
    <row r="22" spans="1:12" ht="20.5" customHeight="1">
      <c r="A22" s="84"/>
    </row>
    <row r="23" spans="1:12" s="1" customFormat="1" ht="20.25" customHeight="1"/>
    <row r="24" spans="1:12" s="1" customFormat="1" ht="20.25" customHeight="1"/>
    <row r="25" spans="1:12" s="1" customFormat="1" ht="20.25" customHeight="1"/>
    <row r="26" spans="1:12" s="1" customFormat="1" ht="20.25" customHeight="1">
      <c r="H26" s="5"/>
      <c r="I26" s="5"/>
      <c r="J26" s="5"/>
      <c r="K26" s="5"/>
      <c r="L26" s="5"/>
    </row>
    <row r="27" spans="1:12" s="1" customFormat="1" ht="20.25" customHeight="1"/>
    <row r="28" spans="1:12" s="1" customFormat="1" ht="21" customHeight="1"/>
    <row r="29" spans="1:12" s="1" customFormat="1" ht="20.5" customHeight="1"/>
    <row r="30" spans="1:12" s="1" customFormat="1" ht="20.25" customHeight="1"/>
    <row r="31" spans="1:12" s="1" customFormat="1" ht="20.25" customHeight="1"/>
    <row r="32" spans="1:12" s="1" customFormat="1" ht="20.25" customHeight="1"/>
    <row r="33" spans="1:17" s="1" customFormat="1" ht="20.25" customHeight="1"/>
    <row r="34" spans="1:17" s="1" customFormat="1" ht="21" customHeight="1"/>
    <row r="35" spans="1:17" ht="21" customHeight="1">
      <c r="M35" s="1"/>
      <c r="N35" s="39"/>
      <c r="O35" s="40"/>
      <c r="Q35" s="1"/>
    </row>
    <row r="36" spans="1:17" ht="19.5" customHeight="1">
      <c r="M36" s="1"/>
      <c r="N36" s="39"/>
      <c r="O36" s="40"/>
    </row>
    <row r="37" spans="1:17" ht="21" customHeight="1">
      <c r="M37" s="1"/>
      <c r="N37" s="39"/>
      <c r="O37" s="40"/>
    </row>
    <row r="38" spans="1:17" ht="21" customHeight="1">
      <c r="M38" s="1"/>
      <c r="N38" s="39"/>
      <c r="O38" s="40"/>
    </row>
    <row r="39" spans="1:17" ht="21" customHeight="1">
      <c r="M39" s="1"/>
      <c r="N39" s="39"/>
      <c r="O39" s="40"/>
    </row>
    <row r="40" spans="1:17" ht="21" customHeight="1">
      <c r="M40" s="1"/>
      <c r="N40" s="39"/>
      <c r="O40" s="40"/>
    </row>
    <row r="41" spans="1:17" ht="21" customHeight="1">
      <c r="M41" s="1"/>
      <c r="N41" s="39"/>
      <c r="O41" s="40"/>
    </row>
    <row r="42" spans="1:17" ht="21" customHeight="1">
      <c r="M42" s="1"/>
      <c r="N42" s="39"/>
      <c r="O42" s="40"/>
    </row>
    <row r="43" spans="1:17" ht="21" customHeight="1">
      <c r="N43" s="39"/>
      <c r="O43" s="40"/>
    </row>
    <row r="44" spans="1:17" ht="21" customHeight="1">
      <c r="A44" s="92" t="s">
        <v>59</v>
      </c>
      <c r="N44" s="39"/>
      <c r="O44" s="40"/>
    </row>
    <row r="45" spans="1:17" ht="21" customHeight="1">
      <c r="A45" s="92" t="s">
        <v>50</v>
      </c>
    </row>
    <row r="47" spans="1:17" ht="21" customHeight="1">
      <c r="A47" s="94"/>
    </row>
    <row r="50" ht="17.5"/>
  </sheetData>
  <phoneticPr fontId="43" type="noConversion"/>
  <hyperlinks>
    <hyperlink ref="A44" location="'Table of contents'!A1" display="Back to Table of contents" xr:uid="{85938188-DB09-43B9-8ED7-86B02E6A0FC0}"/>
    <hyperlink ref="A45" r:id="rId1" display="Back to Road Casualties in Greater London 2024 Factsheet" xr:uid="{A30775B0-8344-4533-B4B5-782843DE2F42}"/>
  </hyperlinks>
  <pageMargins left="0.19" right="0.18" top="1" bottom="1" header="0.5" footer="0.5"/>
  <pageSetup paperSize="9" scale="43" orientation="landscape" horizontalDpi="300" verticalDpi="300" r:id="rId2"/>
  <headerFooter alignWithMargins="0">
    <oddHeader>&amp;R&amp;"Arial,Bold Italic"&amp;11ITEM 8.1</oddHeader>
  </headerFooter>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7F4DB-28B6-42D6-BEC2-2463B2D85E0E}">
  <sheetPr>
    <tabColor rgb="FF92D050"/>
    <pageSetUpPr fitToPage="1"/>
  </sheetPr>
  <dimension ref="A1:W56"/>
  <sheetViews>
    <sheetView showGridLines="0" zoomScaleNormal="100" workbookViewId="0"/>
  </sheetViews>
  <sheetFormatPr defaultColWidth="8.765625" defaultRowHeight="21" customHeight="1"/>
  <cols>
    <col min="1" max="1" width="25.07421875" style="4" customWidth="1"/>
    <col min="2" max="16" width="8.4609375" style="4" customWidth="1"/>
    <col min="17" max="17" width="8.3046875" style="4" customWidth="1"/>
    <col min="18" max="18" width="12.84375" style="4" customWidth="1"/>
    <col min="19" max="19" width="20.4609375" style="4" customWidth="1"/>
    <col min="20" max="20" width="14.69140625" style="4" customWidth="1"/>
    <col min="21" max="21" width="20.69140625" style="4" customWidth="1"/>
    <col min="22" max="16384" width="8.765625" style="4"/>
  </cols>
  <sheetData>
    <row r="1" spans="1:21" ht="45" customHeight="1">
      <c r="A1" s="84" t="s">
        <v>36</v>
      </c>
      <c r="L1" s="29"/>
    </row>
    <row r="2" spans="1:21" s="133" customFormat="1" ht="41.25" customHeight="1">
      <c r="A2" s="157" t="s">
        <v>51</v>
      </c>
      <c r="B2" s="158" t="s">
        <v>61</v>
      </c>
      <c r="C2" s="158" t="s">
        <v>62</v>
      </c>
      <c r="D2" s="158" t="s">
        <v>63</v>
      </c>
      <c r="E2" s="158" t="s">
        <v>64</v>
      </c>
      <c r="F2" s="158" t="s">
        <v>65</v>
      </c>
      <c r="G2" s="152" t="s">
        <v>66</v>
      </c>
      <c r="H2" s="158" t="s">
        <v>67</v>
      </c>
      <c r="I2" s="158" t="s">
        <v>68</v>
      </c>
      <c r="J2" s="158" t="s">
        <v>69</v>
      </c>
      <c r="K2" s="158" t="s">
        <v>70</v>
      </c>
      <c r="L2" s="158" t="s">
        <v>71</v>
      </c>
      <c r="M2" s="158" t="s">
        <v>72</v>
      </c>
      <c r="N2" s="158" t="s">
        <v>73</v>
      </c>
      <c r="O2" s="158" t="s">
        <v>74</v>
      </c>
      <c r="P2" s="158" t="s">
        <v>75</v>
      </c>
      <c r="Q2" s="158" t="s">
        <v>76</v>
      </c>
      <c r="R2" s="152" t="s">
        <v>77</v>
      </c>
      <c r="S2" s="152" t="s">
        <v>78</v>
      </c>
      <c r="T2" s="152" t="s">
        <v>79</v>
      </c>
      <c r="U2" s="152" t="s">
        <v>80</v>
      </c>
    </row>
    <row r="3" spans="1:21" ht="20.5" customHeight="1">
      <c r="A3" s="160" t="s">
        <v>81</v>
      </c>
      <c r="B3" s="300">
        <v>4207</v>
      </c>
      <c r="C3" s="300">
        <v>4229</v>
      </c>
      <c r="D3" s="300">
        <v>3970</v>
      </c>
      <c r="E3" s="300">
        <v>4202</v>
      </c>
      <c r="F3" s="300">
        <v>4714</v>
      </c>
      <c r="G3" s="302">
        <v>4264.3999999999996</v>
      </c>
      <c r="H3" s="300">
        <v>4578.1220536234914</v>
      </c>
      <c r="I3" s="300">
        <v>4770.2744410709865</v>
      </c>
      <c r="J3" s="300">
        <v>5240</v>
      </c>
      <c r="K3" s="300">
        <v>4396</v>
      </c>
      <c r="L3" s="300">
        <v>4312</v>
      </c>
      <c r="M3" s="300">
        <v>2809</v>
      </c>
      <c r="N3" s="300">
        <v>2878</v>
      </c>
      <c r="O3" s="300">
        <v>3320</v>
      </c>
      <c r="P3" s="300">
        <v>3281</v>
      </c>
      <c r="Q3" s="300">
        <v>3255</v>
      </c>
      <c r="R3" s="134">
        <v>-7.9244132886315145E-3</v>
      </c>
      <c r="S3" s="127" t="s">
        <v>82</v>
      </c>
      <c r="T3" s="134">
        <v>-0.23670387393302686</v>
      </c>
      <c r="U3" s="127" t="s">
        <v>58</v>
      </c>
    </row>
    <row r="4" spans="1:21" ht="20.5" customHeight="1">
      <c r="A4" s="160" t="s">
        <v>83</v>
      </c>
      <c r="B4" s="300">
        <v>3502</v>
      </c>
      <c r="C4" s="300">
        <v>3911</v>
      </c>
      <c r="D4" s="300">
        <v>3951</v>
      </c>
      <c r="E4" s="300">
        <v>4161</v>
      </c>
      <c r="F4" s="300">
        <v>4773</v>
      </c>
      <c r="G4" s="302">
        <v>4059.6</v>
      </c>
      <c r="H4" s="300">
        <v>4176.734153248959</v>
      </c>
      <c r="I4" s="300">
        <v>4132.9981254084732</v>
      </c>
      <c r="J4" s="300">
        <v>3836</v>
      </c>
      <c r="K4" s="300">
        <v>3973</v>
      </c>
      <c r="L4" s="300">
        <v>3856</v>
      </c>
      <c r="M4" s="300">
        <v>3921</v>
      </c>
      <c r="N4" s="300">
        <v>4278</v>
      </c>
      <c r="O4" s="300">
        <v>4064</v>
      </c>
      <c r="P4" s="300">
        <v>3861</v>
      </c>
      <c r="Q4" s="300">
        <v>3884</v>
      </c>
      <c r="R4" s="134">
        <v>6.216006216006216E-3</v>
      </c>
      <c r="S4" s="127" t="s">
        <v>82</v>
      </c>
      <c r="T4" s="134">
        <v>-4.3009163464380704E-2</v>
      </c>
      <c r="U4" s="127" t="s">
        <v>58</v>
      </c>
    </row>
    <row r="5" spans="1:21" ht="20.5" customHeight="1">
      <c r="A5" s="160" t="s">
        <v>84</v>
      </c>
      <c r="B5" s="300">
        <v>3560</v>
      </c>
      <c r="C5" s="300">
        <v>3925</v>
      </c>
      <c r="D5" s="300">
        <v>3901</v>
      </c>
      <c r="E5" s="300">
        <v>3905</v>
      </c>
      <c r="F5" s="300">
        <v>4651</v>
      </c>
      <c r="G5" s="302">
        <v>3988.4</v>
      </c>
      <c r="H5" s="300">
        <v>4887.8004972296349</v>
      </c>
      <c r="I5" s="300">
        <v>4695.1644977157466</v>
      </c>
      <c r="J5" s="300">
        <v>4478</v>
      </c>
      <c r="K5" s="300">
        <v>4042</v>
      </c>
      <c r="L5" s="300">
        <v>4372</v>
      </c>
      <c r="M5" s="300">
        <v>4244</v>
      </c>
      <c r="N5" s="300">
        <v>5077</v>
      </c>
      <c r="O5" s="300">
        <v>5257</v>
      </c>
      <c r="P5" s="300">
        <v>5639</v>
      </c>
      <c r="Q5" s="300">
        <v>4356</v>
      </c>
      <c r="R5" s="134">
        <v>-0.22752261039191346</v>
      </c>
      <c r="S5" s="127" t="s">
        <v>58</v>
      </c>
      <c r="T5" s="134">
        <v>9.2167285126867893E-2</v>
      </c>
      <c r="U5" s="127" t="s">
        <v>58</v>
      </c>
    </row>
    <row r="6" spans="1:21" ht="20.5" customHeight="1">
      <c r="A6" s="160" t="s">
        <v>85</v>
      </c>
      <c r="B6" s="300">
        <v>12356</v>
      </c>
      <c r="C6" s="300">
        <v>11841</v>
      </c>
      <c r="D6" s="300">
        <v>11818</v>
      </c>
      <c r="E6" s="300">
        <v>10426</v>
      </c>
      <c r="F6" s="300">
        <v>12223</v>
      </c>
      <c r="G6" s="302">
        <v>11732.8</v>
      </c>
      <c r="H6" s="300">
        <v>12279.431315961061</v>
      </c>
      <c r="I6" s="300">
        <v>12407.845657085971</v>
      </c>
      <c r="J6" s="300">
        <v>11885</v>
      </c>
      <c r="K6" s="300">
        <v>11181</v>
      </c>
      <c r="L6" s="300">
        <v>10883</v>
      </c>
      <c r="M6" s="300">
        <v>8436</v>
      </c>
      <c r="N6" s="300">
        <v>8636</v>
      </c>
      <c r="O6" s="300">
        <v>8476</v>
      </c>
      <c r="P6" s="300">
        <v>7571</v>
      </c>
      <c r="Q6" s="300">
        <v>6903</v>
      </c>
      <c r="R6" s="134">
        <v>-8.8231409325056132E-2</v>
      </c>
      <c r="S6" s="127" t="s">
        <v>58</v>
      </c>
      <c r="T6" s="134">
        <v>-0.41164939315423427</v>
      </c>
      <c r="U6" s="127" t="s">
        <v>58</v>
      </c>
    </row>
    <row r="7" spans="1:21" ht="20.5" customHeight="1">
      <c r="A7" s="160" t="s">
        <v>86</v>
      </c>
      <c r="B7" s="300">
        <v>1327</v>
      </c>
      <c r="C7" s="300">
        <v>1417</v>
      </c>
      <c r="D7" s="300">
        <v>1265</v>
      </c>
      <c r="E7" s="300">
        <v>1425</v>
      </c>
      <c r="F7" s="300">
        <v>1568</v>
      </c>
      <c r="G7" s="302">
        <v>1400.4</v>
      </c>
      <c r="H7" s="300">
        <v>1593.6381417606319</v>
      </c>
      <c r="I7" s="300">
        <v>1615.6218082876551</v>
      </c>
      <c r="J7" s="300">
        <v>1644</v>
      </c>
      <c r="K7" s="300">
        <v>1339</v>
      </c>
      <c r="L7" s="300">
        <v>1083</v>
      </c>
      <c r="M7" s="300">
        <v>599</v>
      </c>
      <c r="N7" s="300">
        <v>795</v>
      </c>
      <c r="O7" s="300">
        <v>874</v>
      </c>
      <c r="P7" s="300">
        <v>925</v>
      </c>
      <c r="Q7" s="300">
        <v>908</v>
      </c>
      <c r="R7" s="134">
        <v>-1.8378378378378378E-2</v>
      </c>
      <c r="S7" s="127" t="s">
        <v>82</v>
      </c>
      <c r="T7" s="134">
        <v>-0.35161382462153673</v>
      </c>
      <c r="U7" s="127" t="s">
        <v>58</v>
      </c>
    </row>
    <row r="8" spans="1:21" ht="20.5" customHeight="1">
      <c r="A8" s="160" t="s">
        <v>87</v>
      </c>
      <c r="B8" s="300">
        <v>109</v>
      </c>
      <c r="C8" s="300">
        <v>151</v>
      </c>
      <c r="D8" s="300">
        <v>115</v>
      </c>
      <c r="E8" s="300">
        <v>112</v>
      </c>
      <c r="F8" s="300">
        <v>112</v>
      </c>
      <c r="G8" s="302">
        <v>119.8</v>
      </c>
      <c r="H8" s="300">
        <v>62</v>
      </c>
      <c r="I8" s="300">
        <v>148</v>
      </c>
      <c r="J8" s="300">
        <v>160</v>
      </c>
      <c r="K8" s="300">
        <v>90</v>
      </c>
      <c r="L8" s="300">
        <v>130</v>
      </c>
      <c r="M8" s="300">
        <v>240</v>
      </c>
      <c r="N8" s="300">
        <v>376</v>
      </c>
      <c r="O8" s="300">
        <v>293</v>
      </c>
      <c r="P8" s="300">
        <v>258</v>
      </c>
      <c r="Q8" s="300">
        <v>237</v>
      </c>
      <c r="R8" s="134">
        <v>-8.5271317829457363E-2</v>
      </c>
      <c r="S8" s="127" t="s">
        <v>82</v>
      </c>
      <c r="T8" s="134">
        <v>0.96994991652754592</v>
      </c>
      <c r="U8" s="127" t="s">
        <v>58</v>
      </c>
    </row>
    <row r="9" spans="1:21" ht="20.5" customHeight="1">
      <c r="A9" s="160" t="s">
        <v>88</v>
      </c>
      <c r="B9" s="300">
        <v>588</v>
      </c>
      <c r="C9" s="300">
        <v>639</v>
      </c>
      <c r="D9" s="300">
        <v>582</v>
      </c>
      <c r="E9" s="300">
        <v>569</v>
      </c>
      <c r="F9" s="300">
        <v>666</v>
      </c>
      <c r="G9" s="302">
        <v>608.79999999999995</v>
      </c>
      <c r="H9" s="300">
        <v>600</v>
      </c>
      <c r="I9" s="300">
        <v>647</v>
      </c>
      <c r="J9" s="300">
        <v>584</v>
      </c>
      <c r="K9" s="300">
        <v>594</v>
      </c>
      <c r="L9" s="300">
        <v>550</v>
      </c>
      <c r="M9" s="300">
        <v>467</v>
      </c>
      <c r="N9" s="300">
        <v>468</v>
      </c>
      <c r="O9" s="300">
        <v>410</v>
      </c>
      <c r="P9" s="300">
        <v>432</v>
      </c>
      <c r="Q9" s="300">
        <v>397</v>
      </c>
      <c r="R9" s="134">
        <v>-8.1018518518518517E-2</v>
      </c>
      <c r="S9" s="127" t="s">
        <v>82</v>
      </c>
      <c r="T9" s="134">
        <v>-0.34789750328515107</v>
      </c>
      <c r="U9" s="127" t="s">
        <v>58</v>
      </c>
    </row>
    <row r="10" spans="1:21" ht="20.5" customHeight="1">
      <c r="A10" s="160" t="s">
        <v>102</v>
      </c>
      <c r="B10" s="303" t="s">
        <v>56</v>
      </c>
      <c r="C10" s="303" t="s">
        <v>56</v>
      </c>
      <c r="D10" s="303" t="s">
        <v>56</v>
      </c>
      <c r="E10" s="303" t="s">
        <v>56</v>
      </c>
      <c r="F10" s="303" t="s">
        <v>56</v>
      </c>
      <c r="G10" s="342">
        <v>0</v>
      </c>
      <c r="H10" s="303" t="s">
        <v>56</v>
      </c>
      <c r="I10" s="303" t="s">
        <v>56</v>
      </c>
      <c r="J10" s="300">
        <v>660</v>
      </c>
      <c r="K10" s="300">
        <v>514</v>
      </c>
      <c r="L10" s="300">
        <v>411</v>
      </c>
      <c r="M10" s="300">
        <v>219</v>
      </c>
      <c r="N10" s="300">
        <v>246</v>
      </c>
      <c r="O10" s="300">
        <v>245</v>
      </c>
      <c r="P10" s="300">
        <v>183</v>
      </c>
      <c r="Q10" s="300">
        <v>168</v>
      </c>
      <c r="R10" s="134">
        <v>-8.1967213114754092E-2</v>
      </c>
      <c r="S10" s="127" t="s">
        <v>82</v>
      </c>
      <c r="T10" s="134" t="s">
        <v>56</v>
      </c>
      <c r="U10" s="127" t="s">
        <v>56</v>
      </c>
    </row>
    <row r="11" spans="1:21" ht="20.5" customHeight="1">
      <c r="A11" s="160" t="s">
        <v>101</v>
      </c>
      <c r="B11" s="300">
        <v>450</v>
      </c>
      <c r="C11" s="300">
        <v>566</v>
      </c>
      <c r="D11" s="300">
        <v>566</v>
      </c>
      <c r="E11" s="300">
        <v>553</v>
      </c>
      <c r="F11" s="300">
        <v>667</v>
      </c>
      <c r="G11" s="302">
        <v>560.4</v>
      </c>
      <c r="H11" s="300">
        <v>864.26477356103351</v>
      </c>
      <c r="I11" s="300">
        <v>820.41464950910768</v>
      </c>
      <c r="J11" s="300">
        <v>199</v>
      </c>
      <c r="K11" s="300">
        <v>397</v>
      </c>
      <c r="L11" s="300">
        <v>505</v>
      </c>
      <c r="M11" s="300">
        <v>340</v>
      </c>
      <c r="N11" s="300">
        <v>338</v>
      </c>
      <c r="O11" s="300">
        <v>307</v>
      </c>
      <c r="P11" s="300">
        <v>316</v>
      </c>
      <c r="Q11" s="300">
        <v>204</v>
      </c>
      <c r="R11" s="134">
        <v>-0.35443037974683544</v>
      </c>
      <c r="S11" s="127" t="s">
        <v>58</v>
      </c>
      <c r="T11" s="134">
        <v>-0.63597430406852251</v>
      </c>
      <c r="U11" s="127" t="s">
        <v>58</v>
      </c>
    </row>
    <row r="12" spans="1:21" s="297" customFormat="1" ht="20.5" customHeight="1">
      <c r="A12" s="160" t="s">
        <v>91</v>
      </c>
      <c r="B12" s="301">
        <v>26099</v>
      </c>
      <c r="C12" s="301">
        <v>26679</v>
      </c>
      <c r="D12" s="301">
        <v>26168</v>
      </c>
      <c r="E12" s="301">
        <v>25353</v>
      </c>
      <c r="F12" s="301">
        <v>29374</v>
      </c>
      <c r="G12" s="343">
        <v>26734.6</v>
      </c>
      <c r="H12" s="301">
        <v>29041.990935384809</v>
      </c>
      <c r="I12" s="301">
        <v>29237.319179077938</v>
      </c>
      <c r="J12" s="301">
        <v>28686</v>
      </c>
      <c r="K12" s="301">
        <v>26526</v>
      </c>
      <c r="L12" s="301">
        <v>26102</v>
      </c>
      <c r="M12" s="301">
        <v>21275</v>
      </c>
      <c r="N12" s="301">
        <v>23092</v>
      </c>
      <c r="O12" s="301">
        <v>23246</v>
      </c>
      <c r="P12" s="301">
        <v>22466</v>
      </c>
      <c r="Q12" s="301">
        <v>20312</v>
      </c>
      <c r="R12" s="295">
        <v>-9.5878215970800318E-2</v>
      </c>
      <c r="S12" s="337" t="s">
        <v>58</v>
      </c>
      <c r="T12" s="295">
        <v>-0.24023550006358796</v>
      </c>
      <c r="U12" s="337" t="s">
        <v>58</v>
      </c>
    </row>
    <row r="13" spans="1:21" ht="20.5" customHeight="1">
      <c r="A13" s="163" t="s">
        <v>66</v>
      </c>
      <c r="B13" s="302">
        <v>26734.6</v>
      </c>
      <c r="C13" s="302">
        <v>26734.6</v>
      </c>
      <c r="D13" s="302">
        <v>26734.6</v>
      </c>
      <c r="E13" s="302">
        <v>26734.6</v>
      </c>
      <c r="F13" s="302">
        <v>26734.6</v>
      </c>
      <c r="G13" s="302">
        <f>SUM(Table17[[#This Row],[2010]:[2014]])/5</f>
        <v>26734.6</v>
      </c>
      <c r="H13" s="302">
        <v>26734.6</v>
      </c>
      <c r="I13" s="302">
        <v>26734.6</v>
      </c>
      <c r="J13" s="302">
        <v>26734.6</v>
      </c>
      <c r="K13" s="302">
        <v>26734.6</v>
      </c>
      <c r="L13" s="302">
        <v>26734.6</v>
      </c>
      <c r="M13" s="302">
        <v>26734.6</v>
      </c>
      <c r="N13" s="302">
        <v>26734.6</v>
      </c>
      <c r="O13" s="302">
        <v>26734.6</v>
      </c>
      <c r="P13" s="302">
        <v>26734.6</v>
      </c>
      <c r="Q13" s="302">
        <v>26734.6</v>
      </c>
      <c r="R13" s="170" t="s">
        <v>56</v>
      </c>
      <c r="S13" s="165" t="s">
        <v>56</v>
      </c>
      <c r="T13" s="170" t="s">
        <v>56</v>
      </c>
      <c r="U13" s="165" t="s">
        <v>56</v>
      </c>
    </row>
    <row r="14" spans="1:21" ht="20.5" customHeight="1">
      <c r="A14" s="172" t="s">
        <v>92</v>
      </c>
      <c r="B14" s="125"/>
      <c r="C14" s="125"/>
      <c r="D14" s="125"/>
      <c r="E14" s="125"/>
      <c r="F14" s="125"/>
      <c r="G14" s="125"/>
      <c r="H14" s="125"/>
      <c r="I14" s="125"/>
      <c r="J14" s="125"/>
      <c r="K14" s="125"/>
      <c r="L14" s="125"/>
      <c r="M14" s="125"/>
      <c r="N14" s="125"/>
      <c r="O14" s="125"/>
      <c r="P14" s="125"/>
      <c r="Q14" s="134"/>
      <c r="R14" s="125"/>
      <c r="S14" s="134"/>
      <c r="T14" s="125"/>
    </row>
    <row r="15" spans="1:21" ht="20.5" customHeight="1">
      <c r="A15" s="84"/>
      <c r="L15" s="29"/>
    </row>
    <row r="16" spans="1:21" ht="20.5" customHeight="1">
      <c r="A16" s="84"/>
      <c r="L16" s="29"/>
    </row>
    <row r="17" spans="1:20" ht="20.5" customHeight="1">
      <c r="A17" s="84"/>
      <c r="L17" s="29"/>
    </row>
    <row r="18" spans="1:20" ht="20.5" customHeight="1">
      <c r="A18" s="84"/>
      <c r="L18" s="29"/>
    </row>
    <row r="19" spans="1:20" ht="20.5" customHeight="1">
      <c r="A19" s="84"/>
      <c r="L19" s="29"/>
    </row>
    <row r="20" spans="1:20" ht="20.5" customHeight="1">
      <c r="A20" s="84"/>
      <c r="L20" s="29"/>
    </row>
    <row r="21" spans="1:20" ht="20.5" customHeight="1">
      <c r="A21" s="84"/>
      <c r="L21" s="29"/>
    </row>
    <row r="22" spans="1:20" ht="20.5" customHeight="1">
      <c r="A22" s="84"/>
      <c r="L22" s="29"/>
    </row>
    <row r="23" spans="1:20" s="1" customFormat="1" ht="20.25" customHeight="1"/>
    <row r="24" spans="1:20" s="1" customFormat="1" ht="20.25" customHeight="1"/>
    <row r="25" spans="1:20" s="1" customFormat="1" ht="20.25" customHeight="1"/>
    <row r="26" spans="1:20" s="1" customFormat="1" ht="20.25" customHeight="1"/>
    <row r="27" spans="1:20" s="1" customFormat="1" ht="15.5"/>
    <row r="28" spans="1:20" s="1" customFormat="1" ht="21" customHeight="1">
      <c r="A28" s="94"/>
    </row>
    <row r="29" spans="1:20" ht="17.5">
      <c r="M29" s="5"/>
      <c r="N29" s="1"/>
      <c r="O29" s="1"/>
      <c r="P29" s="1"/>
      <c r="Q29" s="1"/>
      <c r="R29" s="1"/>
      <c r="S29" s="1"/>
    </row>
    <row r="30" spans="1:20" ht="21" customHeight="1">
      <c r="M30" s="1"/>
      <c r="N30" s="1"/>
      <c r="O30" s="1"/>
      <c r="P30" s="1"/>
      <c r="Q30" s="1"/>
      <c r="R30" s="1"/>
      <c r="S30" s="1"/>
      <c r="T30" s="32"/>
    </row>
    <row r="31" spans="1:20" ht="21" customHeight="1">
      <c r="M31" s="1"/>
      <c r="T31"/>
    </row>
    <row r="32" spans="1:20" ht="21" customHeight="1">
      <c r="M32" s="1"/>
      <c r="N32" s="32"/>
      <c r="O32" s="32"/>
      <c r="P32" s="32"/>
      <c r="Q32" s="32"/>
      <c r="R32" s="32"/>
      <c r="S32" s="32"/>
      <c r="T32"/>
    </row>
    <row r="33" spans="1:23" ht="21" customHeight="1">
      <c r="M33" s="1"/>
      <c r="N33"/>
      <c r="O33"/>
      <c r="P33"/>
      <c r="Q33"/>
      <c r="R33"/>
      <c r="S33"/>
      <c r="T33"/>
    </row>
    <row r="34" spans="1:23" ht="21" customHeight="1">
      <c r="M34" s="1"/>
      <c r="O34"/>
      <c r="P34"/>
      <c r="Q34"/>
      <c r="R34"/>
      <c r="S34"/>
      <c r="T34"/>
    </row>
    <row r="35" spans="1:23" ht="21" customHeight="1">
      <c r="M35" s="1"/>
      <c r="O35"/>
      <c r="P35"/>
      <c r="Q35"/>
      <c r="R35"/>
      <c r="S35"/>
      <c r="T35"/>
    </row>
    <row r="36" spans="1:23" ht="21" customHeight="1">
      <c r="M36" s="1"/>
      <c r="O36"/>
      <c r="P36"/>
      <c r="Q36"/>
      <c r="R36"/>
      <c r="S36"/>
      <c r="T36"/>
      <c r="W36"/>
    </row>
    <row r="37" spans="1:23" ht="21" customHeight="1">
      <c r="M37" s="1"/>
      <c r="O37"/>
      <c r="P37"/>
      <c r="Q37"/>
      <c r="R37"/>
      <c r="S37"/>
      <c r="T37"/>
    </row>
    <row r="38" spans="1:23" ht="21" customHeight="1">
      <c r="M38" s="1"/>
      <c r="O38"/>
      <c r="P38"/>
      <c r="Q38"/>
      <c r="R38"/>
      <c r="S38"/>
      <c r="T38"/>
    </row>
    <row r="39" spans="1:23" ht="21" customHeight="1">
      <c r="O39"/>
      <c r="P39"/>
      <c r="Q39"/>
      <c r="R39"/>
      <c r="S39"/>
      <c r="T39"/>
    </row>
    <row r="40" spans="1:23" ht="21" customHeight="1">
      <c r="M40" s="32"/>
      <c r="O40"/>
      <c r="P40"/>
      <c r="Q40"/>
      <c r="R40"/>
      <c r="S40"/>
      <c r="T40"/>
    </row>
    <row r="41" spans="1:23" ht="21" customHeight="1">
      <c r="M41"/>
      <c r="O41"/>
      <c r="P41"/>
      <c r="Q41"/>
      <c r="R41"/>
      <c r="S41"/>
      <c r="T41"/>
    </row>
    <row r="42" spans="1:23" ht="21" customHeight="1">
      <c r="O42"/>
      <c r="P42"/>
      <c r="Q42"/>
      <c r="R42"/>
      <c r="S42"/>
    </row>
    <row r="43" spans="1:23" ht="21" customHeight="1">
      <c r="O43"/>
      <c r="P43"/>
      <c r="Q43"/>
      <c r="R43"/>
      <c r="S43"/>
    </row>
    <row r="44" spans="1:23" ht="21" customHeight="1">
      <c r="A44" s="92" t="s">
        <v>59</v>
      </c>
      <c r="N44"/>
    </row>
    <row r="45" spans="1:23" ht="21" customHeight="1">
      <c r="A45" s="92" t="s">
        <v>50</v>
      </c>
      <c r="N45"/>
    </row>
    <row r="46" spans="1:23" ht="21" customHeight="1">
      <c r="N46"/>
    </row>
    <row r="47" spans="1:23" ht="21" customHeight="1">
      <c r="N47"/>
    </row>
    <row r="48" spans="1:23" ht="17.5">
      <c r="N48"/>
    </row>
    <row r="49" spans="1:1" ht="17.5"/>
    <row r="50" spans="1:1" ht="17.5">
      <c r="A50" s="1"/>
    </row>
    <row r="51" spans="1:1" ht="17.5"/>
    <row r="52" spans="1:1" ht="17.5"/>
    <row r="53" spans="1:1" ht="17.5"/>
    <row r="54" spans="1:1" ht="17.5"/>
    <row r="55" spans="1:1" ht="17.5"/>
    <row r="56" spans="1:1" ht="17.5"/>
  </sheetData>
  <phoneticPr fontId="43" type="noConversion"/>
  <hyperlinks>
    <hyperlink ref="A44" location="'Table of contents'!A1" display="Back to Table of contents" xr:uid="{E0718F3E-8EDE-48A9-BA70-1195396FF01D}"/>
    <hyperlink ref="A45" r:id="rId1" display="Back to Road Casualties in Greater London 2024 Factsheet" xr:uid="{3C6AC6E2-9D11-41DA-9D12-73C03C221E7B}"/>
  </hyperlinks>
  <pageMargins left="0.19" right="0.18" top="1" bottom="1" header="0.5" footer="0.5"/>
  <pageSetup paperSize="9" scale="40" orientation="landscape" horizontalDpi="300" verticalDpi="300" r:id="rId2"/>
  <headerFooter alignWithMargins="0">
    <oddHeader>&amp;R&amp;"Arial,Bold Italic"&amp;11ITEM 8.1</oddHeader>
  </headerFooter>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C97B2-0B9D-41BF-847C-B4522AED292F}">
  <sheetPr codeName="Sheet11">
    <tabColor rgb="FF92D050"/>
    <pageSetUpPr fitToPage="1"/>
  </sheetPr>
  <dimension ref="A1:AX69"/>
  <sheetViews>
    <sheetView showGridLines="0" zoomScaleNormal="100" workbookViewId="0"/>
  </sheetViews>
  <sheetFormatPr defaultRowHeight="21" customHeight="1"/>
  <cols>
    <col min="1" max="1" width="23.3046875" style="4" customWidth="1"/>
    <col min="2" max="3" width="8.3046875" style="4" bestFit="1" customWidth="1"/>
    <col min="4" max="4" width="11.4609375" style="4" customWidth="1"/>
    <col min="5" max="5" width="20.765625" style="4" customWidth="1"/>
    <col min="6" max="6" width="12.69140625" style="4" customWidth="1"/>
    <col min="7" max="7" width="12.23046875" style="4" bestFit="1" customWidth="1"/>
    <col min="8" max="8" width="14.69140625" style="4" bestFit="1" customWidth="1"/>
    <col min="9" max="9" width="20.84375" style="4" bestFit="1" customWidth="1"/>
    <col min="10" max="11" width="10.4609375" style="4" bestFit="1" customWidth="1"/>
    <col min="12" max="12" width="13.07421875" style="4" bestFit="1" customWidth="1"/>
    <col min="13" max="13" width="20.84375" style="4" bestFit="1" customWidth="1"/>
    <col min="14" max="15" width="10" style="4" bestFit="1" customWidth="1"/>
    <col min="16" max="16" width="14.3046875" style="4" bestFit="1" customWidth="1"/>
    <col min="17" max="17" width="20.84375" style="4" bestFit="1" customWidth="1"/>
    <col min="18" max="18" width="15.4609375" style="4" bestFit="1" customWidth="1"/>
    <col min="19" max="19" width="16.07421875" style="4" bestFit="1" customWidth="1"/>
    <col min="20" max="20" width="11.07421875" style="4" bestFit="1" customWidth="1"/>
    <col min="21" max="49" width="8.765625" style="4" customWidth="1"/>
    <col min="50" max="260" width="8.765625" style="4"/>
    <col min="261" max="261" width="22.23046875" style="4" bestFit="1" customWidth="1"/>
    <col min="262" max="262" width="8.23046875" style="4" customWidth="1"/>
    <col min="263" max="264" width="8.765625" style="4"/>
    <col min="265" max="265" width="10" style="4" customWidth="1"/>
    <col min="266" max="267" width="8.765625" style="4"/>
    <col min="268" max="268" width="8.23046875" style="4" customWidth="1"/>
    <col min="269" max="270" width="8.765625" style="4"/>
    <col min="271" max="271" width="7.765625" style="4" customWidth="1"/>
    <col min="272" max="274" width="8.765625" style="4"/>
    <col min="275" max="275" width="7.765625" style="4" customWidth="1"/>
    <col min="276" max="516" width="8.765625" style="4"/>
    <col min="517" max="517" width="22.23046875" style="4" bestFit="1" customWidth="1"/>
    <col min="518" max="518" width="8.23046875" style="4" customWidth="1"/>
    <col min="519" max="520" width="8.765625" style="4"/>
    <col min="521" max="521" width="10" style="4" customWidth="1"/>
    <col min="522" max="523" width="8.765625" style="4"/>
    <col min="524" max="524" width="8.23046875" style="4" customWidth="1"/>
    <col min="525" max="526" width="8.765625" style="4"/>
    <col min="527" max="527" width="7.765625" style="4" customWidth="1"/>
    <col min="528" max="530" width="8.765625" style="4"/>
    <col min="531" max="531" width="7.765625" style="4" customWidth="1"/>
    <col min="532" max="772" width="8.765625" style="4"/>
    <col min="773" max="773" width="22.23046875" style="4" bestFit="1" customWidth="1"/>
    <col min="774" max="774" width="8.23046875" style="4" customWidth="1"/>
    <col min="775" max="776" width="8.765625" style="4"/>
    <col min="777" max="777" width="10" style="4" customWidth="1"/>
    <col min="778" max="779" width="8.765625" style="4"/>
    <col min="780" max="780" width="8.23046875" style="4" customWidth="1"/>
    <col min="781" max="782" width="8.765625" style="4"/>
    <col min="783" max="783" width="7.765625" style="4" customWidth="1"/>
    <col min="784" max="786" width="8.765625" style="4"/>
    <col min="787" max="787" width="7.765625" style="4" customWidth="1"/>
    <col min="788" max="1028" width="8.765625" style="4"/>
    <col min="1029" max="1029" width="22.23046875" style="4" bestFit="1" customWidth="1"/>
    <col min="1030" max="1030" width="8.23046875" style="4" customWidth="1"/>
    <col min="1031" max="1032" width="8.765625" style="4"/>
    <col min="1033" max="1033" width="10" style="4" customWidth="1"/>
    <col min="1034" max="1035" width="8.765625" style="4"/>
    <col min="1036" max="1036" width="8.23046875" style="4" customWidth="1"/>
    <col min="1037" max="1038" width="8.765625" style="4"/>
    <col min="1039" max="1039" width="7.765625" style="4" customWidth="1"/>
    <col min="1040" max="1042" width="8.765625" style="4"/>
    <col min="1043" max="1043" width="7.765625" style="4" customWidth="1"/>
    <col min="1044" max="1284" width="8.765625" style="4"/>
    <col min="1285" max="1285" width="22.23046875" style="4" bestFit="1" customWidth="1"/>
    <col min="1286" max="1286" width="8.23046875" style="4" customWidth="1"/>
    <col min="1287" max="1288" width="8.765625" style="4"/>
    <col min="1289" max="1289" width="10" style="4" customWidth="1"/>
    <col min="1290" max="1291" width="8.765625" style="4"/>
    <col min="1292" max="1292" width="8.23046875" style="4" customWidth="1"/>
    <col min="1293" max="1294" width="8.765625" style="4"/>
    <col min="1295" max="1295" width="7.765625" style="4" customWidth="1"/>
    <col min="1296" max="1298" width="8.765625" style="4"/>
    <col min="1299" max="1299" width="7.765625" style="4" customWidth="1"/>
    <col min="1300" max="1540" width="8.765625" style="4"/>
    <col min="1541" max="1541" width="22.23046875" style="4" bestFit="1" customWidth="1"/>
    <col min="1542" max="1542" width="8.23046875" style="4" customWidth="1"/>
    <col min="1543" max="1544" width="8.765625" style="4"/>
    <col min="1545" max="1545" width="10" style="4" customWidth="1"/>
    <col min="1546" max="1547" width="8.765625" style="4"/>
    <col min="1548" max="1548" width="8.23046875" style="4" customWidth="1"/>
    <col min="1549" max="1550" width="8.765625" style="4"/>
    <col min="1551" max="1551" width="7.765625" style="4" customWidth="1"/>
    <col min="1552" max="1554" width="8.765625" style="4"/>
    <col min="1555" max="1555" width="7.765625" style="4" customWidth="1"/>
    <col min="1556" max="1796" width="8.765625" style="4"/>
    <col min="1797" max="1797" width="22.23046875" style="4" bestFit="1" customWidth="1"/>
    <col min="1798" max="1798" width="8.23046875" style="4" customWidth="1"/>
    <col min="1799" max="1800" width="8.765625" style="4"/>
    <col min="1801" max="1801" width="10" style="4" customWidth="1"/>
    <col min="1802" max="1803" width="8.765625" style="4"/>
    <col min="1804" max="1804" width="8.23046875" style="4" customWidth="1"/>
    <col min="1805" max="1806" width="8.765625" style="4"/>
    <col min="1807" max="1807" width="7.765625" style="4" customWidth="1"/>
    <col min="1808" max="1810" width="8.765625" style="4"/>
    <col min="1811" max="1811" width="7.765625" style="4" customWidth="1"/>
    <col min="1812" max="2052" width="8.765625" style="4"/>
    <col min="2053" max="2053" width="22.23046875" style="4" bestFit="1" customWidth="1"/>
    <col min="2054" max="2054" width="8.23046875" style="4" customWidth="1"/>
    <col min="2055" max="2056" width="8.765625" style="4"/>
    <col min="2057" max="2057" width="10" style="4" customWidth="1"/>
    <col min="2058" max="2059" width="8.765625" style="4"/>
    <col min="2060" max="2060" width="8.23046875" style="4" customWidth="1"/>
    <col min="2061" max="2062" width="8.765625" style="4"/>
    <col min="2063" max="2063" width="7.765625" style="4" customWidth="1"/>
    <col min="2064" max="2066" width="8.765625" style="4"/>
    <col min="2067" max="2067" width="7.765625" style="4" customWidth="1"/>
    <col min="2068" max="2308" width="8.765625" style="4"/>
    <col min="2309" max="2309" width="22.23046875" style="4" bestFit="1" customWidth="1"/>
    <col min="2310" max="2310" width="8.23046875" style="4" customWidth="1"/>
    <col min="2311" max="2312" width="8.765625" style="4"/>
    <col min="2313" max="2313" width="10" style="4" customWidth="1"/>
    <col min="2314" max="2315" width="8.765625" style="4"/>
    <col min="2316" max="2316" width="8.23046875" style="4" customWidth="1"/>
    <col min="2317" max="2318" width="8.765625" style="4"/>
    <col min="2319" max="2319" width="7.765625" style="4" customWidth="1"/>
    <col min="2320" max="2322" width="8.765625" style="4"/>
    <col min="2323" max="2323" width="7.765625" style="4" customWidth="1"/>
    <col min="2324" max="2564" width="8.765625" style="4"/>
    <col min="2565" max="2565" width="22.23046875" style="4" bestFit="1" customWidth="1"/>
    <col min="2566" max="2566" width="8.23046875" style="4" customWidth="1"/>
    <col min="2567" max="2568" width="8.765625" style="4"/>
    <col min="2569" max="2569" width="10" style="4" customWidth="1"/>
    <col min="2570" max="2571" width="8.765625" style="4"/>
    <col min="2572" max="2572" width="8.23046875" style="4" customWidth="1"/>
    <col min="2573" max="2574" width="8.765625" style="4"/>
    <col min="2575" max="2575" width="7.765625" style="4" customWidth="1"/>
    <col min="2576" max="2578" width="8.765625" style="4"/>
    <col min="2579" max="2579" width="7.765625" style="4" customWidth="1"/>
    <col min="2580" max="2820" width="8.765625" style="4"/>
    <col min="2821" max="2821" width="22.23046875" style="4" bestFit="1" customWidth="1"/>
    <col min="2822" max="2822" width="8.23046875" style="4" customWidth="1"/>
    <col min="2823" max="2824" width="8.765625" style="4"/>
    <col min="2825" max="2825" width="10" style="4" customWidth="1"/>
    <col min="2826" max="2827" width="8.765625" style="4"/>
    <col min="2828" max="2828" width="8.23046875" style="4" customWidth="1"/>
    <col min="2829" max="2830" width="8.765625" style="4"/>
    <col min="2831" max="2831" width="7.765625" style="4" customWidth="1"/>
    <col min="2832" max="2834" width="8.765625" style="4"/>
    <col min="2835" max="2835" width="7.765625" style="4" customWidth="1"/>
    <col min="2836" max="3076" width="8.765625" style="4"/>
    <col min="3077" max="3077" width="22.23046875" style="4" bestFit="1" customWidth="1"/>
    <col min="3078" max="3078" width="8.23046875" style="4" customWidth="1"/>
    <col min="3079" max="3080" width="8.765625" style="4"/>
    <col min="3081" max="3081" width="10" style="4" customWidth="1"/>
    <col min="3082" max="3083" width="8.765625" style="4"/>
    <col min="3084" max="3084" width="8.23046875" style="4" customWidth="1"/>
    <col min="3085" max="3086" width="8.765625" style="4"/>
    <col min="3087" max="3087" width="7.765625" style="4" customWidth="1"/>
    <col min="3088" max="3090" width="8.765625" style="4"/>
    <col min="3091" max="3091" width="7.765625" style="4" customWidth="1"/>
    <col min="3092" max="3332" width="8.765625" style="4"/>
    <col min="3333" max="3333" width="22.23046875" style="4" bestFit="1" customWidth="1"/>
    <col min="3334" max="3334" width="8.23046875" style="4" customWidth="1"/>
    <col min="3335" max="3336" width="8.765625" style="4"/>
    <col min="3337" max="3337" width="10" style="4" customWidth="1"/>
    <col min="3338" max="3339" width="8.765625" style="4"/>
    <col min="3340" max="3340" width="8.23046875" style="4" customWidth="1"/>
    <col min="3341" max="3342" width="8.765625" style="4"/>
    <col min="3343" max="3343" width="7.765625" style="4" customWidth="1"/>
    <col min="3344" max="3346" width="8.765625" style="4"/>
    <col min="3347" max="3347" width="7.765625" style="4" customWidth="1"/>
    <col min="3348" max="3588" width="8.765625" style="4"/>
    <col min="3589" max="3589" width="22.23046875" style="4" bestFit="1" customWidth="1"/>
    <col min="3590" max="3590" width="8.23046875" style="4" customWidth="1"/>
    <col min="3591" max="3592" width="8.765625" style="4"/>
    <col min="3593" max="3593" width="10" style="4" customWidth="1"/>
    <col min="3594" max="3595" width="8.765625" style="4"/>
    <col min="3596" max="3596" width="8.23046875" style="4" customWidth="1"/>
    <col min="3597" max="3598" width="8.765625" style="4"/>
    <col min="3599" max="3599" width="7.765625" style="4" customWidth="1"/>
    <col min="3600" max="3602" width="8.765625" style="4"/>
    <col min="3603" max="3603" width="7.765625" style="4" customWidth="1"/>
    <col min="3604" max="3844" width="8.765625" style="4"/>
    <col min="3845" max="3845" width="22.23046875" style="4" bestFit="1" customWidth="1"/>
    <col min="3846" max="3846" width="8.23046875" style="4" customWidth="1"/>
    <col min="3847" max="3848" width="8.765625" style="4"/>
    <col min="3849" max="3849" width="10" style="4" customWidth="1"/>
    <col min="3850" max="3851" width="8.765625" style="4"/>
    <col min="3852" max="3852" width="8.23046875" style="4" customWidth="1"/>
    <col min="3853" max="3854" width="8.765625" style="4"/>
    <col min="3855" max="3855" width="7.765625" style="4" customWidth="1"/>
    <col min="3856" max="3858" width="8.765625" style="4"/>
    <col min="3859" max="3859" width="7.765625" style="4" customWidth="1"/>
    <col min="3860" max="4100" width="8.765625" style="4"/>
    <col min="4101" max="4101" width="22.23046875" style="4" bestFit="1" customWidth="1"/>
    <col min="4102" max="4102" width="8.23046875" style="4" customWidth="1"/>
    <col min="4103" max="4104" width="8.765625" style="4"/>
    <col min="4105" max="4105" width="10" style="4" customWidth="1"/>
    <col min="4106" max="4107" width="8.765625" style="4"/>
    <col min="4108" max="4108" width="8.23046875" style="4" customWidth="1"/>
    <col min="4109" max="4110" width="8.765625" style="4"/>
    <col min="4111" max="4111" width="7.765625" style="4" customWidth="1"/>
    <col min="4112" max="4114" width="8.765625" style="4"/>
    <col min="4115" max="4115" width="7.765625" style="4" customWidth="1"/>
    <col min="4116" max="4356" width="8.765625" style="4"/>
    <col min="4357" max="4357" width="22.23046875" style="4" bestFit="1" customWidth="1"/>
    <col min="4358" max="4358" width="8.23046875" style="4" customWidth="1"/>
    <col min="4359" max="4360" width="8.765625" style="4"/>
    <col min="4361" max="4361" width="10" style="4" customWidth="1"/>
    <col min="4362" max="4363" width="8.765625" style="4"/>
    <col min="4364" max="4364" width="8.23046875" style="4" customWidth="1"/>
    <col min="4365" max="4366" width="8.765625" style="4"/>
    <col min="4367" max="4367" width="7.765625" style="4" customWidth="1"/>
    <col min="4368" max="4370" width="8.765625" style="4"/>
    <col min="4371" max="4371" width="7.765625" style="4" customWidth="1"/>
    <col min="4372" max="4612" width="8.765625" style="4"/>
    <col min="4613" max="4613" width="22.23046875" style="4" bestFit="1" customWidth="1"/>
    <col min="4614" max="4614" width="8.23046875" style="4" customWidth="1"/>
    <col min="4615" max="4616" width="8.765625" style="4"/>
    <col min="4617" max="4617" width="10" style="4" customWidth="1"/>
    <col min="4618" max="4619" width="8.765625" style="4"/>
    <col min="4620" max="4620" width="8.23046875" style="4" customWidth="1"/>
    <col min="4621" max="4622" width="8.765625" style="4"/>
    <col min="4623" max="4623" width="7.765625" style="4" customWidth="1"/>
    <col min="4624" max="4626" width="8.765625" style="4"/>
    <col min="4627" max="4627" width="7.765625" style="4" customWidth="1"/>
    <col min="4628" max="4868" width="8.765625" style="4"/>
    <col min="4869" max="4869" width="22.23046875" style="4" bestFit="1" customWidth="1"/>
    <col min="4870" max="4870" width="8.23046875" style="4" customWidth="1"/>
    <col min="4871" max="4872" width="8.765625" style="4"/>
    <col min="4873" max="4873" width="10" style="4" customWidth="1"/>
    <col min="4874" max="4875" width="8.765625" style="4"/>
    <col min="4876" max="4876" width="8.23046875" style="4" customWidth="1"/>
    <col min="4877" max="4878" width="8.765625" style="4"/>
    <col min="4879" max="4879" width="7.765625" style="4" customWidth="1"/>
    <col min="4880" max="4882" width="8.765625" style="4"/>
    <col min="4883" max="4883" width="7.765625" style="4" customWidth="1"/>
    <col min="4884" max="5124" width="8.765625" style="4"/>
    <col min="5125" max="5125" width="22.23046875" style="4" bestFit="1" customWidth="1"/>
    <col min="5126" max="5126" width="8.23046875" style="4" customWidth="1"/>
    <col min="5127" max="5128" width="8.765625" style="4"/>
    <col min="5129" max="5129" width="10" style="4" customWidth="1"/>
    <col min="5130" max="5131" width="8.765625" style="4"/>
    <col min="5132" max="5132" width="8.23046875" style="4" customWidth="1"/>
    <col min="5133" max="5134" width="8.765625" style="4"/>
    <col min="5135" max="5135" width="7.765625" style="4" customWidth="1"/>
    <col min="5136" max="5138" width="8.765625" style="4"/>
    <col min="5139" max="5139" width="7.765625" style="4" customWidth="1"/>
    <col min="5140" max="5380" width="8.765625" style="4"/>
    <col min="5381" max="5381" width="22.23046875" style="4" bestFit="1" customWidth="1"/>
    <col min="5382" max="5382" width="8.23046875" style="4" customWidth="1"/>
    <col min="5383" max="5384" width="8.765625" style="4"/>
    <col min="5385" max="5385" width="10" style="4" customWidth="1"/>
    <col min="5386" max="5387" width="8.765625" style="4"/>
    <col min="5388" max="5388" width="8.23046875" style="4" customWidth="1"/>
    <col min="5389" max="5390" width="8.765625" style="4"/>
    <col min="5391" max="5391" width="7.765625" style="4" customWidth="1"/>
    <col min="5392" max="5394" width="8.765625" style="4"/>
    <col min="5395" max="5395" width="7.765625" style="4" customWidth="1"/>
    <col min="5396" max="5636" width="8.765625" style="4"/>
    <col min="5637" max="5637" width="22.23046875" style="4" bestFit="1" customWidth="1"/>
    <col min="5638" max="5638" width="8.23046875" style="4" customWidth="1"/>
    <col min="5639" max="5640" width="8.765625" style="4"/>
    <col min="5641" max="5641" width="10" style="4" customWidth="1"/>
    <col min="5642" max="5643" width="8.765625" style="4"/>
    <col min="5644" max="5644" width="8.23046875" style="4" customWidth="1"/>
    <col min="5645" max="5646" width="8.765625" style="4"/>
    <col min="5647" max="5647" width="7.765625" style="4" customWidth="1"/>
    <col min="5648" max="5650" width="8.765625" style="4"/>
    <col min="5651" max="5651" width="7.765625" style="4" customWidth="1"/>
    <col min="5652" max="5892" width="8.765625" style="4"/>
    <col min="5893" max="5893" width="22.23046875" style="4" bestFit="1" customWidth="1"/>
    <col min="5894" max="5894" width="8.23046875" style="4" customWidth="1"/>
    <col min="5895" max="5896" width="8.765625" style="4"/>
    <col min="5897" max="5897" width="10" style="4" customWidth="1"/>
    <col min="5898" max="5899" width="8.765625" style="4"/>
    <col min="5900" max="5900" width="8.23046875" style="4" customWidth="1"/>
    <col min="5901" max="5902" width="8.765625" style="4"/>
    <col min="5903" max="5903" width="7.765625" style="4" customWidth="1"/>
    <col min="5904" max="5906" width="8.765625" style="4"/>
    <col min="5907" max="5907" width="7.765625" style="4" customWidth="1"/>
    <col min="5908" max="6148" width="8.765625" style="4"/>
    <col min="6149" max="6149" width="22.23046875" style="4" bestFit="1" customWidth="1"/>
    <col min="6150" max="6150" width="8.23046875" style="4" customWidth="1"/>
    <col min="6151" max="6152" width="8.765625" style="4"/>
    <col min="6153" max="6153" width="10" style="4" customWidth="1"/>
    <col min="6154" max="6155" width="8.765625" style="4"/>
    <col min="6156" max="6156" width="8.23046875" style="4" customWidth="1"/>
    <col min="6157" max="6158" width="8.765625" style="4"/>
    <col min="6159" max="6159" width="7.765625" style="4" customWidth="1"/>
    <col min="6160" max="6162" width="8.765625" style="4"/>
    <col min="6163" max="6163" width="7.765625" style="4" customWidth="1"/>
    <col min="6164" max="6404" width="8.765625" style="4"/>
    <col min="6405" max="6405" width="22.23046875" style="4" bestFit="1" customWidth="1"/>
    <col min="6406" max="6406" width="8.23046875" style="4" customWidth="1"/>
    <col min="6407" max="6408" width="8.765625" style="4"/>
    <col min="6409" max="6409" width="10" style="4" customWidth="1"/>
    <col min="6410" max="6411" width="8.765625" style="4"/>
    <col min="6412" max="6412" width="8.23046875" style="4" customWidth="1"/>
    <col min="6413" max="6414" width="8.765625" style="4"/>
    <col min="6415" max="6415" width="7.765625" style="4" customWidth="1"/>
    <col min="6416" max="6418" width="8.765625" style="4"/>
    <col min="6419" max="6419" width="7.765625" style="4" customWidth="1"/>
    <col min="6420" max="6660" width="8.765625" style="4"/>
    <col min="6661" max="6661" width="22.23046875" style="4" bestFit="1" customWidth="1"/>
    <col min="6662" max="6662" width="8.23046875" style="4" customWidth="1"/>
    <col min="6663" max="6664" width="8.765625" style="4"/>
    <col min="6665" max="6665" width="10" style="4" customWidth="1"/>
    <col min="6666" max="6667" width="8.765625" style="4"/>
    <col min="6668" max="6668" width="8.23046875" style="4" customWidth="1"/>
    <col min="6669" max="6670" width="8.765625" style="4"/>
    <col min="6671" max="6671" width="7.765625" style="4" customWidth="1"/>
    <col min="6672" max="6674" width="8.765625" style="4"/>
    <col min="6675" max="6675" width="7.765625" style="4" customWidth="1"/>
    <col min="6676" max="6916" width="8.765625" style="4"/>
    <col min="6917" max="6917" width="22.23046875" style="4" bestFit="1" customWidth="1"/>
    <col min="6918" max="6918" width="8.23046875" style="4" customWidth="1"/>
    <col min="6919" max="6920" width="8.765625" style="4"/>
    <col min="6921" max="6921" width="10" style="4" customWidth="1"/>
    <col min="6922" max="6923" width="8.765625" style="4"/>
    <col min="6924" max="6924" width="8.23046875" style="4" customWidth="1"/>
    <col min="6925" max="6926" width="8.765625" style="4"/>
    <col min="6927" max="6927" width="7.765625" style="4" customWidth="1"/>
    <col min="6928" max="6930" width="8.765625" style="4"/>
    <col min="6931" max="6931" width="7.765625" style="4" customWidth="1"/>
    <col min="6932" max="7172" width="8.765625" style="4"/>
    <col min="7173" max="7173" width="22.23046875" style="4" bestFit="1" customWidth="1"/>
    <col min="7174" max="7174" width="8.23046875" style="4" customWidth="1"/>
    <col min="7175" max="7176" width="8.765625" style="4"/>
    <col min="7177" max="7177" width="10" style="4" customWidth="1"/>
    <col min="7178" max="7179" width="8.765625" style="4"/>
    <col min="7180" max="7180" width="8.23046875" style="4" customWidth="1"/>
    <col min="7181" max="7182" width="8.765625" style="4"/>
    <col min="7183" max="7183" width="7.765625" style="4" customWidth="1"/>
    <col min="7184" max="7186" width="8.765625" style="4"/>
    <col min="7187" max="7187" width="7.765625" style="4" customWidth="1"/>
    <col min="7188" max="7428" width="8.765625" style="4"/>
    <col min="7429" max="7429" width="22.23046875" style="4" bestFit="1" customWidth="1"/>
    <col min="7430" max="7430" width="8.23046875" style="4" customWidth="1"/>
    <col min="7431" max="7432" width="8.765625" style="4"/>
    <col min="7433" max="7433" width="10" style="4" customWidth="1"/>
    <col min="7434" max="7435" width="8.765625" style="4"/>
    <col min="7436" max="7436" width="8.23046875" style="4" customWidth="1"/>
    <col min="7437" max="7438" width="8.765625" style="4"/>
    <col min="7439" max="7439" width="7.765625" style="4" customWidth="1"/>
    <col min="7440" max="7442" width="8.765625" style="4"/>
    <col min="7443" max="7443" width="7.765625" style="4" customWidth="1"/>
    <col min="7444" max="7684" width="8.765625" style="4"/>
    <col min="7685" max="7685" width="22.23046875" style="4" bestFit="1" customWidth="1"/>
    <col min="7686" max="7686" width="8.23046875" style="4" customWidth="1"/>
    <col min="7687" max="7688" width="8.765625" style="4"/>
    <col min="7689" max="7689" width="10" style="4" customWidth="1"/>
    <col min="7690" max="7691" width="8.765625" style="4"/>
    <col min="7692" max="7692" width="8.23046875" style="4" customWidth="1"/>
    <col min="7693" max="7694" width="8.765625" style="4"/>
    <col min="7695" max="7695" width="7.765625" style="4" customWidth="1"/>
    <col min="7696" max="7698" width="8.765625" style="4"/>
    <col min="7699" max="7699" width="7.765625" style="4" customWidth="1"/>
    <col min="7700" max="7940" width="8.765625" style="4"/>
    <col min="7941" max="7941" width="22.23046875" style="4" bestFit="1" customWidth="1"/>
    <col min="7942" max="7942" width="8.23046875" style="4" customWidth="1"/>
    <col min="7943" max="7944" width="8.765625" style="4"/>
    <col min="7945" max="7945" width="10" style="4" customWidth="1"/>
    <col min="7946" max="7947" width="8.765625" style="4"/>
    <col min="7948" max="7948" width="8.23046875" style="4" customWidth="1"/>
    <col min="7949" max="7950" width="8.765625" style="4"/>
    <col min="7951" max="7951" width="7.765625" style="4" customWidth="1"/>
    <col min="7952" max="7954" width="8.765625" style="4"/>
    <col min="7955" max="7955" width="7.765625" style="4" customWidth="1"/>
    <col min="7956" max="8196" width="8.765625" style="4"/>
    <col min="8197" max="8197" width="22.23046875" style="4" bestFit="1" customWidth="1"/>
    <col min="8198" max="8198" width="8.23046875" style="4" customWidth="1"/>
    <col min="8199" max="8200" width="8.765625" style="4"/>
    <col min="8201" max="8201" width="10" style="4" customWidth="1"/>
    <col min="8202" max="8203" width="8.765625" style="4"/>
    <col min="8204" max="8204" width="8.23046875" style="4" customWidth="1"/>
    <col min="8205" max="8206" width="8.765625" style="4"/>
    <col min="8207" max="8207" width="7.765625" style="4" customWidth="1"/>
    <col min="8208" max="8210" width="8.765625" style="4"/>
    <col min="8211" max="8211" width="7.765625" style="4" customWidth="1"/>
    <col min="8212" max="8452" width="8.765625" style="4"/>
    <col min="8453" max="8453" width="22.23046875" style="4" bestFit="1" customWidth="1"/>
    <col min="8454" max="8454" width="8.23046875" style="4" customWidth="1"/>
    <col min="8455" max="8456" width="8.765625" style="4"/>
    <col min="8457" max="8457" width="10" style="4" customWidth="1"/>
    <col min="8458" max="8459" width="8.765625" style="4"/>
    <col min="8460" max="8460" width="8.23046875" style="4" customWidth="1"/>
    <col min="8461" max="8462" width="8.765625" style="4"/>
    <col min="8463" max="8463" width="7.765625" style="4" customWidth="1"/>
    <col min="8464" max="8466" width="8.765625" style="4"/>
    <col min="8467" max="8467" width="7.765625" style="4" customWidth="1"/>
    <col min="8468" max="8708" width="8.765625" style="4"/>
    <col min="8709" max="8709" width="22.23046875" style="4" bestFit="1" customWidth="1"/>
    <col min="8710" max="8710" width="8.23046875" style="4" customWidth="1"/>
    <col min="8711" max="8712" width="8.765625" style="4"/>
    <col min="8713" max="8713" width="10" style="4" customWidth="1"/>
    <col min="8714" max="8715" width="8.765625" style="4"/>
    <col min="8716" max="8716" width="8.23046875" style="4" customWidth="1"/>
    <col min="8717" max="8718" width="8.765625" style="4"/>
    <col min="8719" max="8719" width="7.765625" style="4" customWidth="1"/>
    <col min="8720" max="8722" width="8.765625" style="4"/>
    <col min="8723" max="8723" width="7.765625" style="4" customWidth="1"/>
    <col min="8724" max="8964" width="8.765625" style="4"/>
    <col min="8965" max="8965" width="22.23046875" style="4" bestFit="1" customWidth="1"/>
    <col min="8966" max="8966" width="8.23046875" style="4" customWidth="1"/>
    <col min="8967" max="8968" width="8.765625" style="4"/>
    <col min="8969" max="8969" width="10" style="4" customWidth="1"/>
    <col min="8970" max="8971" width="8.765625" style="4"/>
    <col min="8972" max="8972" width="8.23046875" style="4" customWidth="1"/>
    <col min="8973" max="8974" width="8.765625" style="4"/>
    <col min="8975" max="8975" width="7.765625" style="4" customWidth="1"/>
    <col min="8976" max="8978" width="8.765625" style="4"/>
    <col min="8979" max="8979" width="7.765625" style="4" customWidth="1"/>
    <col min="8980" max="9220" width="8.765625" style="4"/>
    <col min="9221" max="9221" width="22.23046875" style="4" bestFit="1" customWidth="1"/>
    <col min="9222" max="9222" width="8.23046875" style="4" customWidth="1"/>
    <col min="9223" max="9224" width="8.765625" style="4"/>
    <col min="9225" max="9225" width="10" style="4" customWidth="1"/>
    <col min="9226" max="9227" width="8.765625" style="4"/>
    <col min="9228" max="9228" width="8.23046875" style="4" customWidth="1"/>
    <col min="9229" max="9230" width="8.765625" style="4"/>
    <col min="9231" max="9231" width="7.765625" style="4" customWidth="1"/>
    <col min="9232" max="9234" width="8.765625" style="4"/>
    <col min="9235" max="9235" width="7.765625" style="4" customWidth="1"/>
    <col min="9236" max="9476" width="8.765625" style="4"/>
    <col min="9477" max="9477" width="22.23046875" style="4" bestFit="1" customWidth="1"/>
    <col min="9478" max="9478" width="8.23046875" style="4" customWidth="1"/>
    <col min="9479" max="9480" width="8.765625" style="4"/>
    <col min="9481" max="9481" width="10" style="4" customWidth="1"/>
    <col min="9482" max="9483" width="8.765625" style="4"/>
    <col min="9484" max="9484" width="8.23046875" style="4" customWidth="1"/>
    <col min="9485" max="9486" width="8.765625" style="4"/>
    <col min="9487" max="9487" width="7.765625" style="4" customWidth="1"/>
    <col min="9488" max="9490" width="8.765625" style="4"/>
    <col min="9491" max="9491" width="7.765625" style="4" customWidth="1"/>
    <col min="9492" max="9732" width="8.765625" style="4"/>
    <col min="9733" max="9733" width="22.23046875" style="4" bestFit="1" customWidth="1"/>
    <col min="9734" max="9734" width="8.23046875" style="4" customWidth="1"/>
    <col min="9735" max="9736" width="8.765625" style="4"/>
    <col min="9737" max="9737" width="10" style="4" customWidth="1"/>
    <col min="9738" max="9739" width="8.765625" style="4"/>
    <col min="9740" max="9740" width="8.23046875" style="4" customWidth="1"/>
    <col min="9741" max="9742" width="8.765625" style="4"/>
    <col min="9743" max="9743" width="7.765625" style="4" customWidth="1"/>
    <col min="9744" max="9746" width="8.765625" style="4"/>
    <col min="9747" max="9747" width="7.765625" style="4" customWidth="1"/>
    <col min="9748" max="9988" width="8.765625" style="4"/>
    <col min="9989" max="9989" width="22.23046875" style="4" bestFit="1" customWidth="1"/>
    <col min="9990" max="9990" width="8.23046875" style="4" customWidth="1"/>
    <col min="9991" max="9992" width="8.765625" style="4"/>
    <col min="9993" max="9993" width="10" style="4" customWidth="1"/>
    <col min="9994" max="9995" width="8.765625" style="4"/>
    <col min="9996" max="9996" width="8.23046875" style="4" customWidth="1"/>
    <col min="9997" max="9998" width="8.765625" style="4"/>
    <col min="9999" max="9999" width="7.765625" style="4" customWidth="1"/>
    <col min="10000" max="10002" width="8.765625" style="4"/>
    <col min="10003" max="10003" width="7.765625" style="4" customWidth="1"/>
    <col min="10004" max="10244" width="8.765625" style="4"/>
    <col min="10245" max="10245" width="22.23046875" style="4" bestFit="1" customWidth="1"/>
    <col min="10246" max="10246" width="8.23046875" style="4" customWidth="1"/>
    <col min="10247" max="10248" width="8.765625" style="4"/>
    <col min="10249" max="10249" width="10" style="4" customWidth="1"/>
    <col min="10250" max="10251" width="8.765625" style="4"/>
    <col min="10252" max="10252" width="8.23046875" style="4" customWidth="1"/>
    <col min="10253" max="10254" width="8.765625" style="4"/>
    <col min="10255" max="10255" width="7.765625" style="4" customWidth="1"/>
    <col min="10256" max="10258" width="8.765625" style="4"/>
    <col min="10259" max="10259" width="7.765625" style="4" customWidth="1"/>
    <col min="10260" max="10500" width="8.765625" style="4"/>
    <col min="10501" max="10501" width="22.23046875" style="4" bestFit="1" customWidth="1"/>
    <col min="10502" max="10502" width="8.23046875" style="4" customWidth="1"/>
    <col min="10503" max="10504" width="8.765625" style="4"/>
    <col min="10505" max="10505" width="10" style="4" customWidth="1"/>
    <col min="10506" max="10507" width="8.765625" style="4"/>
    <col min="10508" max="10508" width="8.23046875" style="4" customWidth="1"/>
    <col min="10509" max="10510" width="8.765625" style="4"/>
    <col min="10511" max="10511" width="7.765625" style="4" customWidth="1"/>
    <col min="10512" max="10514" width="8.765625" style="4"/>
    <col min="10515" max="10515" width="7.765625" style="4" customWidth="1"/>
    <col min="10516" max="10756" width="8.765625" style="4"/>
    <col min="10757" max="10757" width="22.23046875" style="4" bestFit="1" customWidth="1"/>
    <col min="10758" max="10758" width="8.23046875" style="4" customWidth="1"/>
    <col min="10759" max="10760" width="8.765625" style="4"/>
    <col min="10761" max="10761" width="10" style="4" customWidth="1"/>
    <col min="10762" max="10763" width="8.765625" style="4"/>
    <col min="10764" max="10764" width="8.23046875" style="4" customWidth="1"/>
    <col min="10765" max="10766" width="8.765625" style="4"/>
    <col min="10767" max="10767" width="7.765625" style="4" customWidth="1"/>
    <col min="10768" max="10770" width="8.765625" style="4"/>
    <col min="10771" max="10771" width="7.765625" style="4" customWidth="1"/>
    <col min="10772" max="11012" width="8.765625" style="4"/>
    <col min="11013" max="11013" width="22.23046875" style="4" bestFit="1" customWidth="1"/>
    <col min="11014" max="11014" width="8.23046875" style="4" customWidth="1"/>
    <col min="11015" max="11016" width="8.765625" style="4"/>
    <col min="11017" max="11017" width="10" style="4" customWidth="1"/>
    <col min="11018" max="11019" width="8.765625" style="4"/>
    <col min="11020" max="11020" width="8.23046875" style="4" customWidth="1"/>
    <col min="11021" max="11022" width="8.765625" style="4"/>
    <col min="11023" max="11023" width="7.765625" style="4" customWidth="1"/>
    <col min="11024" max="11026" width="8.765625" style="4"/>
    <col min="11027" max="11027" width="7.765625" style="4" customWidth="1"/>
    <col min="11028" max="11268" width="8.765625" style="4"/>
    <col min="11269" max="11269" width="22.23046875" style="4" bestFit="1" customWidth="1"/>
    <col min="11270" max="11270" width="8.23046875" style="4" customWidth="1"/>
    <col min="11271" max="11272" width="8.765625" style="4"/>
    <col min="11273" max="11273" width="10" style="4" customWidth="1"/>
    <col min="11274" max="11275" width="8.765625" style="4"/>
    <col min="11276" max="11276" width="8.23046875" style="4" customWidth="1"/>
    <col min="11277" max="11278" width="8.765625" style="4"/>
    <col min="11279" max="11279" width="7.765625" style="4" customWidth="1"/>
    <col min="11280" max="11282" width="8.765625" style="4"/>
    <col min="11283" max="11283" width="7.765625" style="4" customWidth="1"/>
    <col min="11284" max="11524" width="8.765625" style="4"/>
    <col min="11525" max="11525" width="22.23046875" style="4" bestFit="1" customWidth="1"/>
    <col min="11526" max="11526" width="8.23046875" style="4" customWidth="1"/>
    <col min="11527" max="11528" width="8.765625" style="4"/>
    <col min="11529" max="11529" width="10" style="4" customWidth="1"/>
    <col min="11530" max="11531" width="8.765625" style="4"/>
    <col min="11532" max="11532" width="8.23046875" style="4" customWidth="1"/>
    <col min="11533" max="11534" width="8.765625" style="4"/>
    <col min="11535" max="11535" width="7.765625" style="4" customWidth="1"/>
    <col min="11536" max="11538" width="8.765625" style="4"/>
    <col min="11539" max="11539" width="7.765625" style="4" customWidth="1"/>
    <col min="11540" max="11780" width="8.765625" style="4"/>
    <col min="11781" max="11781" width="22.23046875" style="4" bestFit="1" customWidth="1"/>
    <col min="11782" max="11782" width="8.23046875" style="4" customWidth="1"/>
    <col min="11783" max="11784" width="8.765625" style="4"/>
    <col min="11785" max="11785" width="10" style="4" customWidth="1"/>
    <col min="11786" max="11787" width="8.765625" style="4"/>
    <col min="11788" max="11788" width="8.23046875" style="4" customWidth="1"/>
    <col min="11789" max="11790" width="8.765625" style="4"/>
    <col min="11791" max="11791" width="7.765625" style="4" customWidth="1"/>
    <col min="11792" max="11794" width="8.765625" style="4"/>
    <col min="11795" max="11795" width="7.765625" style="4" customWidth="1"/>
    <col min="11796" max="12036" width="8.765625" style="4"/>
    <col min="12037" max="12037" width="22.23046875" style="4" bestFit="1" customWidth="1"/>
    <col min="12038" max="12038" width="8.23046875" style="4" customWidth="1"/>
    <col min="12039" max="12040" width="8.765625" style="4"/>
    <col min="12041" max="12041" width="10" style="4" customWidth="1"/>
    <col min="12042" max="12043" width="8.765625" style="4"/>
    <col min="12044" max="12044" width="8.23046875" style="4" customWidth="1"/>
    <col min="12045" max="12046" width="8.765625" style="4"/>
    <col min="12047" max="12047" width="7.765625" style="4" customWidth="1"/>
    <col min="12048" max="12050" width="8.765625" style="4"/>
    <col min="12051" max="12051" width="7.765625" style="4" customWidth="1"/>
    <col min="12052" max="12292" width="8.765625" style="4"/>
    <col min="12293" max="12293" width="22.23046875" style="4" bestFit="1" customWidth="1"/>
    <col min="12294" max="12294" width="8.23046875" style="4" customWidth="1"/>
    <col min="12295" max="12296" width="8.765625" style="4"/>
    <col min="12297" max="12297" width="10" style="4" customWidth="1"/>
    <col min="12298" max="12299" width="8.765625" style="4"/>
    <col min="12300" max="12300" width="8.23046875" style="4" customWidth="1"/>
    <col min="12301" max="12302" width="8.765625" style="4"/>
    <col min="12303" max="12303" width="7.765625" style="4" customWidth="1"/>
    <col min="12304" max="12306" width="8.765625" style="4"/>
    <col min="12307" max="12307" width="7.765625" style="4" customWidth="1"/>
    <col min="12308" max="12548" width="8.765625" style="4"/>
    <col min="12549" max="12549" width="22.23046875" style="4" bestFit="1" customWidth="1"/>
    <col min="12550" max="12550" width="8.23046875" style="4" customWidth="1"/>
    <col min="12551" max="12552" width="8.765625" style="4"/>
    <col min="12553" max="12553" width="10" style="4" customWidth="1"/>
    <col min="12554" max="12555" width="8.765625" style="4"/>
    <col min="12556" max="12556" width="8.23046875" style="4" customWidth="1"/>
    <col min="12557" max="12558" width="8.765625" style="4"/>
    <col min="12559" max="12559" width="7.765625" style="4" customWidth="1"/>
    <col min="12560" max="12562" width="8.765625" style="4"/>
    <col min="12563" max="12563" width="7.765625" style="4" customWidth="1"/>
    <col min="12564" max="12804" width="8.765625" style="4"/>
    <col min="12805" max="12805" width="22.23046875" style="4" bestFit="1" customWidth="1"/>
    <col min="12806" max="12806" width="8.23046875" style="4" customWidth="1"/>
    <col min="12807" max="12808" width="8.765625" style="4"/>
    <col min="12809" max="12809" width="10" style="4" customWidth="1"/>
    <col min="12810" max="12811" width="8.765625" style="4"/>
    <col min="12812" max="12812" width="8.23046875" style="4" customWidth="1"/>
    <col min="12813" max="12814" width="8.765625" style="4"/>
    <col min="12815" max="12815" width="7.765625" style="4" customWidth="1"/>
    <col min="12816" max="12818" width="8.765625" style="4"/>
    <col min="12819" max="12819" width="7.765625" style="4" customWidth="1"/>
    <col min="12820" max="13060" width="8.765625" style="4"/>
    <col min="13061" max="13061" width="22.23046875" style="4" bestFit="1" customWidth="1"/>
    <col min="13062" max="13062" width="8.23046875" style="4" customWidth="1"/>
    <col min="13063" max="13064" width="8.765625" style="4"/>
    <col min="13065" max="13065" width="10" style="4" customWidth="1"/>
    <col min="13066" max="13067" width="8.765625" style="4"/>
    <col min="13068" max="13068" width="8.23046875" style="4" customWidth="1"/>
    <col min="13069" max="13070" width="8.765625" style="4"/>
    <col min="13071" max="13071" width="7.765625" style="4" customWidth="1"/>
    <col min="13072" max="13074" width="8.765625" style="4"/>
    <col min="13075" max="13075" width="7.765625" style="4" customWidth="1"/>
    <col min="13076" max="13316" width="8.765625" style="4"/>
    <col min="13317" max="13317" width="22.23046875" style="4" bestFit="1" customWidth="1"/>
    <col min="13318" max="13318" width="8.23046875" style="4" customWidth="1"/>
    <col min="13319" max="13320" width="8.765625" style="4"/>
    <col min="13321" max="13321" width="10" style="4" customWidth="1"/>
    <col min="13322" max="13323" width="8.765625" style="4"/>
    <col min="13324" max="13324" width="8.23046875" style="4" customWidth="1"/>
    <col min="13325" max="13326" width="8.765625" style="4"/>
    <col min="13327" max="13327" width="7.765625" style="4" customWidth="1"/>
    <col min="13328" max="13330" width="8.765625" style="4"/>
    <col min="13331" max="13331" width="7.765625" style="4" customWidth="1"/>
    <col min="13332" max="13572" width="8.765625" style="4"/>
    <col min="13573" max="13573" width="22.23046875" style="4" bestFit="1" customWidth="1"/>
    <col min="13574" max="13574" width="8.23046875" style="4" customWidth="1"/>
    <col min="13575" max="13576" width="8.765625" style="4"/>
    <col min="13577" max="13577" width="10" style="4" customWidth="1"/>
    <col min="13578" max="13579" width="8.765625" style="4"/>
    <col min="13580" max="13580" width="8.23046875" style="4" customWidth="1"/>
    <col min="13581" max="13582" width="8.765625" style="4"/>
    <col min="13583" max="13583" width="7.765625" style="4" customWidth="1"/>
    <col min="13584" max="13586" width="8.765625" style="4"/>
    <col min="13587" max="13587" width="7.765625" style="4" customWidth="1"/>
    <col min="13588" max="13828" width="8.765625" style="4"/>
    <col min="13829" max="13829" width="22.23046875" style="4" bestFit="1" customWidth="1"/>
    <col min="13830" max="13830" width="8.23046875" style="4" customWidth="1"/>
    <col min="13831" max="13832" width="8.765625" style="4"/>
    <col min="13833" max="13833" width="10" style="4" customWidth="1"/>
    <col min="13834" max="13835" width="8.765625" style="4"/>
    <col min="13836" max="13836" width="8.23046875" style="4" customWidth="1"/>
    <col min="13837" max="13838" width="8.765625" style="4"/>
    <col min="13839" max="13839" width="7.765625" style="4" customWidth="1"/>
    <col min="13840" max="13842" width="8.765625" style="4"/>
    <col min="13843" max="13843" width="7.765625" style="4" customWidth="1"/>
    <col min="13844" max="14084" width="8.765625" style="4"/>
    <col min="14085" max="14085" width="22.23046875" style="4" bestFit="1" customWidth="1"/>
    <col min="14086" max="14086" width="8.23046875" style="4" customWidth="1"/>
    <col min="14087" max="14088" width="8.765625" style="4"/>
    <col min="14089" max="14089" width="10" style="4" customWidth="1"/>
    <col min="14090" max="14091" width="8.765625" style="4"/>
    <col min="14092" max="14092" width="8.23046875" style="4" customWidth="1"/>
    <col min="14093" max="14094" width="8.765625" style="4"/>
    <col min="14095" max="14095" width="7.765625" style="4" customWidth="1"/>
    <col min="14096" max="14098" width="8.765625" style="4"/>
    <col min="14099" max="14099" width="7.765625" style="4" customWidth="1"/>
    <col min="14100" max="14340" width="8.765625" style="4"/>
    <col min="14341" max="14341" width="22.23046875" style="4" bestFit="1" customWidth="1"/>
    <col min="14342" max="14342" width="8.23046875" style="4" customWidth="1"/>
    <col min="14343" max="14344" width="8.765625" style="4"/>
    <col min="14345" max="14345" width="10" style="4" customWidth="1"/>
    <col min="14346" max="14347" width="8.765625" style="4"/>
    <col min="14348" max="14348" width="8.23046875" style="4" customWidth="1"/>
    <col min="14349" max="14350" width="8.765625" style="4"/>
    <col min="14351" max="14351" width="7.765625" style="4" customWidth="1"/>
    <col min="14352" max="14354" width="8.765625" style="4"/>
    <col min="14355" max="14355" width="7.765625" style="4" customWidth="1"/>
    <col min="14356" max="14596" width="8.765625" style="4"/>
    <col min="14597" max="14597" width="22.23046875" style="4" bestFit="1" customWidth="1"/>
    <col min="14598" max="14598" width="8.23046875" style="4" customWidth="1"/>
    <col min="14599" max="14600" width="8.765625" style="4"/>
    <col min="14601" max="14601" width="10" style="4" customWidth="1"/>
    <col min="14602" max="14603" width="8.765625" style="4"/>
    <col min="14604" max="14604" width="8.23046875" style="4" customWidth="1"/>
    <col min="14605" max="14606" width="8.765625" style="4"/>
    <col min="14607" max="14607" width="7.765625" style="4" customWidth="1"/>
    <col min="14608" max="14610" width="8.765625" style="4"/>
    <col min="14611" max="14611" width="7.765625" style="4" customWidth="1"/>
    <col min="14612" max="14852" width="8.765625" style="4"/>
    <col min="14853" max="14853" width="22.23046875" style="4" bestFit="1" customWidth="1"/>
    <col min="14854" max="14854" width="8.23046875" style="4" customWidth="1"/>
    <col min="14855" max="14856" width="8.765625" style="4"/>
    <col min="14857" max="14857" width="10" style="4" customWidth="1"/>
    <col min="14858" max="14859" width="8.765625" style="4"/>
    <col min="14860" max="14860" width="8.23046875" style="4" customWidth="1"/>
    <col min="14861" max="14862" width="8.765625" style="4"/>
    <col min="14863" max="14863" width="7.765625" style="4" customWidth="1"/>
    <col min="14864" max="14866" width="8.765625" style="4"/>
    <col min="14867" max="14867" width="7.765625" style="4" customWidth="1"/>
    <col min="14868" max="15108" width="8.765625" style="4"/>
    <col min="15109" max="15109" width="22.23046875" style="4" bestFit="1" customWidth="1"/>
    <col min="15110" max="15110" width="8.23046875" style="4" customWidth="1"/>
    <col min="15111" max="15112" width="8.765625" style="4"/>
    <col min="15113" max="15113" width="10" style="4" customWidth="1"/>
    <col min="15114" max="15115" width="8.765625" style="4"/>
    <col min="15116" max="15116" width="8.23046875" style="4" customWidth="1"/>
    <col min="15117" max="15118" width="8.765625" style="4"/>
    <col min="15119" max="15119" width="7.765625" style="4" customWidth="1"/>
    <col min="15120" max="15122" width="8.765625" style="4"/>
    <col min="15123" max="15123" width="7.765625" style="4" customWidth="1"/>
    <col min="15124" max="15364" width="8.765625" style="4"/>
    <col min="15365" max="15365" width="22.23046875" style="4" bestFit="1" customWidth="1"/>
    <col min="15366" max="15366" width="8.23046875" style="4" customWidth="1"/>
    <col min="15367" max="15368" width="8.765625" style="4"/>
    <col min="15369" max="15369" width="10" style="4" customWidth="1"/>
    <col min="15370" max="15371" width="8.765625" style="4"/>
    <col min="15372" max="15372" width="8.23046875" style="4" customWidth="1"/>
    <col min="15373" max="15374" width="8.765625" style="4"/>
    <col min="15375" max="15375" width="7.765625" style="4" customWidth="1"/>
    <col min="15376" max="15378" width="8.765625" style="4"/>
    <col min="15379" max="15379" width="7.765625" style="4" customWidth="1"/>
    <col min="15380" max="15620" width="8.765625" style="4"/>
    <col min="15621" max="15621" width="22.23046875" style="4" bestFit="1" customWidth="1"/>
    <col min="15622" max="15622" width="8.23046875" style="4" customWidth="1"/>
    <col min="15623" max="15624" width="8.765625" style="4"/>
    <col min="15625" max="15625" width="10" style="4" customWidth="1"/>
    <col min="15626" max="15627" width="8.765625" style="4"/>
    <col min="15628" max="15628" width="8.23046875" style="4" customWidth="1"/>
    <col min="15629" max="15630" width="8.765625" style="4"/>
    <col min="15631" max="15631" width="7.765625" style="4" customWidth="1"/>
    <col min="15632" max="15634" width="8.765625" style="4"/>
    <col min="15635" max="15635" width="7.765625" style="4" customWidth="1"/>
    <col min="15636" max="15876" width="8.765625" style="4"/>
    <col min="15877" max="15877" width="22.23046875" style="4" bestFit="1" customWidth="1"/>
    <col min="15878" max="15878" width="8.23046875" style="4" customWidth="1"/>
    <col min="15879" max="15880" width="8.765625" style="4"/>
    <col min="15881" max="15881" width="10" style="4" customWidth="1"/>
    <col min="15882" max="15883" width="8.765625" style="4"/>
    <col min="15884" max="15884" width="8.23046875" style="4" customWidth="1"/>
    <col min="15885" max="15886" width="8.765625" style="4"/>
    <col min="15887" max="15887" width="7.765625" style="4" customWidth="1"/>
    <col min="15888" max="15890" width="8.765625" style="4"/>
    <col min="15891" max="15891" width="7.765625" style="4" customWidth="1"/>
    <col min="15892" max="16132" width="8.765625" style="4"/>
    <col min="16133" max="16133" width="22.23046875" style="4" bestFit="1" customWidth="1"/>
    <col min="16134" max="16134" width="8.23046875" style="4" customWidth="1"/>
    <col min="16135" max="16136" width="8.765625" style="4"/>
    <col min="16137" max="16137" width="10" style="4" customWidth="1"/>
    <col min="16138" max="16139" width="8.765625" style="4"/>
    <col min="16140" max="16140" width="8.23046875" style="4" customWidth="1"/>
    <col min="16141" max="16142" width="8.765625" style="4"/>
    <col min="16143" max="16143" width="7.765625" style="4" customWidth="1"/>
    <col min="16144" max="16146" width="8.765625" style="4"/>
    <col min="16147" max="16147" width="7.765625" style="4" customWidth="1"/>
    <col min="16148" max="16383" width="8.765625" style="4"/>
    <col min="16384" max="16384" width="8.765625" style="4" customWidth="1"/>
  </cols>
  <sheetData>
    <row r="1" spans="1:50" ht="45" customHeight="1">
      <c r="A1" s="107" t="s">
        <v>37</v>
      </c>
    </row>
    <row r="2" spans="1:50" s="133" customFormat="1" ht="40.5" customHeight="1">
      <c r="A2" s="110" t="s">
        <v>60</v>
      </c>
      <c r="B2" s="79" t="s">
        <v>103</v>
      </c>
      <c r="C2" s="79" t="s">
        <v>104</v>
      </c>
      <c r="D2" s="79" t="s">
        <v>105</v>
      </c>
      <c r="E2" s="79" t="s">
        <v>106</v>
      </c>
      <c r="F2" s="79" t="s">
        <v>107</v>
      </c>
      <c r="G2" s="79" t="s">
        <v>108</v>
      </c>
      <c r="H2" s="79" t="s">
        <v>109</v>
      </c>
      <c r="I2" s="79" t="s">
        <v>110</v>
      </c>
      <c r="J2" s="79" t="s">
        <v>111</v>
      </c>
      <c r="K2" s="79" t="s">
        <v>112</v>
      </c>
      <c r="L2" s="79" t="s">
        <v>113</v>
      </c>
      <c r="M2" s="79" t="s">
        <v>114</v>
      </c>
      <c r="N2" s="79" t="s">
        <v>115</v>
      </c>
      <c r="O2" s="79" t="s">
        <v>116</v>
      </c>
      <c r="P2" s="79" t="s">
        <v>117</v>
      </c>
      <c r="Q2" s="79" t="s">
        <v>118</v>
      </c>
      <c r="R2" s="79" t="s">
        <v>119</v>
      </c>
      <c r="S2" s="79" t="s">
        <v>120</v>
      </c>
      <c r="T2" s="78" t="s">
        <v>55</v>
      </c>
    </row>
    <row r="3" spans="1:50" s="1" customFormat="1" ht="21" customHeight="1">
      <c r="A3" s="111" t="s">
        <v>81</v>
      </c>
      <c r="B3" s="139">
        <v>49</v>
      </c>
      <c r="C3" s="139">
        <v>61</v>
      </c>
      <c r="D3" s="116">
        <v>0.24489795918367346</v>
      </c>
      <c r="E3" s="141" t="s">
        <v>82</v>
      </c>
      <c r="F3" s="85">
        <v>1225</v>
      </c>
      <c r="G3" s="85">
        <v>1133</v>
      </c>
      <c r="H3" s="116">
        <v>-7.5102040816326529E-2</v>
      </c>
      <c r="I3" s="141" t="s">
        <v>58</v>
      </c>
      <c r="J3" s="85">
        <v>3281</v>
      </c>
      <c r="K3" s="85">
        <v>3255</v>
      </c>
      <c r="L3" s="116">
        <v>-7.9244132886315145E-3</v>
      </c>
      <c r="M3" s="141" t="s">
        <v>82</v>
      </c>
      <c r="N3" s="85">
        <v>4555</v>
      </c>
      <c r="O3" s="85">
        <v>4449</v>
      </c>
      <c r="P3" s="116">
        <v>-2.327113062568606E-2</v>
      </c>
      <c r="Q3" s="141" t="s">
        <v>82</v>
      </c>
      <c r="R3" s="85">
        <v>5862.8</v>
      </c>
      <c r="S3" s="116">
        <v>-0.24114757453776356</v>
      </c>
      <c r="T3" s="121" t="s">
        <v>58</v>
      </c>
      <c r="X3" s="4"/>
    </row>
    <row r="4" spans="1:50" s="1" customFormat="1" ht="21" customHeight="1">
      <c r="A4" s="111" t="s">
        <v>83</v>
      </c>
      <c r="B4" s="139">
        <v>8</v>
      </c>
      <c r="C4" s="139">
        <v>9</v>
      </c>
      <c r="D4" s="116">
        <v>0.125</v>
      </c>
      <c r="E4" s="141" t="s">
        <v>82</v>
      </c>
      <c r="F4" s="85">
        <v>933</v>
      </c>
      <c r="G4" s="85">
        <v>985</v>
      </c>
      <c r="H4" s="116">
        <v>5.5734190782422297E-2</v>
      </c>
      <c r="I4" s="141" t="s">
        <v>82</v>
      </c>
      <c r="J4" s="85">
        <v>3861</v>
      </c>
      <c r="K4" s="85">
        <v>3884</v>
      </c>
      <c r="L4" s="116">
        <v>6.216006216006216E-3</v>
      </c>
      <c r="M4" s="141" t="s">
        <v>82</v>
      </c>
      <c r="N4" s="85">
        <v>4802</v>
      </c>
      <c r="O4" s="85">
        <v>4879</v>
      </c>
      <c r="P4" s="116">
        <v>1.6034985422740525E-2</v>
      </c>
      <c r="Q4" s="141" t="s">
        <v>82</v>
      </c>
      <c r="R4" s="85">
        <v>4983.2</v>
      </c>
      <c r="S4" s="116">
        <v>-2.0910258468453971E-2</v>
      </c>
      <c r="T4" s="121" t="s">
        <v>82</v>
      </c>
      <c r="X4" s="4"/>
      <c r="AJ4" s="16"/>
      <c r="AK4" s="16"/>
      <c r="AL4" s="16"/>
      <c r="AM4" s="16"/>
      <c r="AN4" s="16"/>
      <c r="AO4" s="16"/>
      <c r="AP4" s="16"/>
      <c r="AQ4" s="16"/>
      <c r="AR4" s="16"/>
      <c r="AS4" s="16"/>
      <c r="AT4" s="16"/>
      <c r="AU4" s="16"/>
      <c r="AV4" s="16"/>
      <c r="AW4" s="16"/>
      <c r="AX4" s="16"/>
    </row>
    <row r="5" spans="1:50" s="1" customFormat="1" ht="21" customHeight="1">
      <c r="A5" s="111" t="s">
        <v>84</v>
      </c>
      <c r="B5" s="139">
        <v>21</v>
      </c>
      <c r="C5" s="139">
        <v>18</v>
      </c>
      <c r="D5" s="116">
        <v>-0.14285714285714285</v>
      </c>
      <c r="E5" s="141" t="s">
        <v>82</v>
      </c>
      <c r="F5" s="85">
        <v>746</v>
      </c>
      <c r="G5" s="85">
        <v>788</v>
      </c>
      <c r="H5" s="116">
        <v>5.6300268096514748E-2</v>
      </c>
      <c r="I5" s="141" t="s">
        <v>82</v>
      </c>
      <c r="J5" s="85">
        <v>5639</v>
      </c>
      <c r="K5" s="85">
        <v>4356</v>
      </c>
      <c r="L5" s="116">
        <v>-0.22752261039191346</v>
      </c>
      <c r="M5" s="141" t="s">
        <v>58</v>
      </c>
      <c r="N5" s="85">
        <v>6406</v>
      </c>
      <c r="O5" s="85">
        <v>5162</v>
      </c>
      <c r="P5" s="116">
        <v>-0.1941929441148923</v>
      </c>
      <c r="Q5" s="141" t="s">
        <v>58</v>
      </c>
      <c r="R5" s="85">
        <v>5102.2</v>
      </c>
      <c r="S5" s="116">
        <v>1.1720434322449175E-2</v>
      </c>
      <c r="T5" s="121" t="s">
        <v>82</v>
      </c>
      <c r="X5" s="4"/>
      <c r="Y5" s="5"/>
      <c r="Z5" s="5"/>
      <c r="AA5" s="5"/>
      <c r="AB5" s="5"/>
      <c r="AC5" s="5"/>
      <c r="AJ5" s="16"/>
      <c r="AK5" s="16"/>
      <c r="AL5" s="16"/>
      <c r="AM5" s="16"/>
      <c r="AN5" s="16"/>
      <c r="AO5" s="16"/>
      <c r="AP5" s="16"/>
      <c r="AQ5" s="16"/>
      <c r="AR5" s="16"/>
      <c r="AS5" s="16"/>
      <c r="AT5" s="16"/>
      <c r="AU5" s="16"/>
      <c r="AV5" s="16"/>
      <c r="AW5" s="16"/>
      <c r="AX5" s="16"/>
    </row>
    <row r="6" spans="1:50" s="1" customFormat="1" ht="21" customHeight="1">
      <c r="A6" s="111" t="s">
        <v>85</v>
      </c>
      <c r="B6" s="139">
        <v>16</v>
      </c>
      <c r="C6" s="139">
        <v>18</v>
      </c>
      <c r="D6" s="116">
        <v>0.125</v>
      </c>
      <c r="E6" s="141" t="s">
        <v>82</v>
      </c>
      <c r="F6" s="85">
        <v>441</v>
      </c>
      <c r="G6" s="85">
        <v>452</v>
      </c>
      <c r="H6" s="116">
        <v>2.4943310657596373E-2</v>
      </c>
      <c r="I6" s="141" t="s">
        <v>82</v>
      </c>
      <c r="J6" s="85">
        <v>7571</v>
      </c>
      <c r="K6" s="85">
        <v>6903</v>
      </c>
      <c r="L6" s="116">
        <v>-8.8231409325056132E-2</v>
      </c>
      <c r="M6" s="141" t="s">
        <v>58</v>
      </c>
      <c r="N6" s="85">
        <v>8028</v>
      </c>
      <c r="O6" s="85">
        <v>7373</v>
      </c>
      <c r="P6" s="116">
        <v>-8.1589436970602891E-2</v>
      </c>
      <c r="Q6" s="141" t="s">
        <v>58</v>
      </c>
      <c r="R6" s="85">
        <v>12667</v>
      </c>
      <c r="S6" s="116">
        <v>-0.41793637009552381</v>
      </c>
      <c r="T6" s="121" t="s">
        <v>58</v>
      </c>
      <c r="X6" s="4"/>
      <c r="Y6" s="14"/>
      <c r="Z6" s="14"/>
      <c r="AA6" s="14"/>
      <c r="AB6" s="14"/>
      <c r="AC6" s="14"/>
      <c r="AJ6" s="16"/>
      <c r="AK6" s="16"/>
      <c r="AL6" s="16"/>
      <c r="AM6" s="16"/>
      <c r="AN6" s="16"/>
      <c r="AO6" s="16"/>
      <c r="AP6" s="16"/>
      <c r="AQ6" s="16"/>
      <c r="AR6" s="16"/>
      <c r="AS6" s="16"/>
      <c r="AT6" s="16"/>
      <c r="AU6" s="16"/>
      <c r="AV6" s="16"/>
      <c r="AW6" s="16"/>
      <c r="AX6" s="16"/>
    </row>
    <row r="7" spans="1:50" s="1" customFormat="1" ht="21" customHeight="1">
      <c r="A7" s="111" t="s">
        <v>86</v>
      </c>
      <c r="B7" s="139">
        <v>0</v>
      </c>
      <c r="C7" s="139">
        <v>2</v>
      </c>
      <c r="D7" s="141">
        <v>0</v>
      </c>
      <c r="E7" s="141" t="s">
        <v>82</v>
      </c>
      <c r="F7" s="85">
        <v>124</v>
      </c>
      <c r="G7" s="85">
        <v>113</v>
      </c>
      <c r="H7" s="116">
        <v>-8.8709677419354843E-2</v>
      </c>
      <c r="I7" s="141" t="s">
        <v>82</v>
      </c>
      <c r="J7" s="85">
        <v>925</v>
      </c>
      <c r="K7" s="85">
        <v>908</v>
      </c>
      <c r="L7" s="116">
        <v>-1.8378378378378378E-2</v>
      </c>
      <c r="M7" s="141" t="s">
        <v>82</v>
      </c>
      <c r="N7" s="85">
        <v>1049</v>
      </c>
      <c r="O7" s="85">
        <v>1023</v>
      </c>
      <c r="P7" s="116">
        <v>-2.4785510009532889E-2</v>
      </c>
      <c r="Q7" s="141" t="s">
        <v>82</v>
      </c>
      <c r="R7" s="85">
        <v>1580</v>
      </c>
      <c r="S7" s="116">
        <v>-0.35253164556962024</v>
      </c>
      <c r="T7" s="121" t="s">
        <v>58</v>
      </c>
      <c r="U7" s="5"/>
      <c r="V7" s="5"/>
      <c r="W7" s="5"/>
      <c r="X7" s="4"/>
      <c r="Y7" s="14"/>
      <c r="Z7" s="16"/>
      <c r="AA7" s="16"/>
      <c r="AB7" s="16"/>
      <c r="AC7" s="17"/>
      <c r="AJ7" s="16"/>
      <c r="AK7" s="16"/>
      <c r="AL7" s="16"/>
      <c r="AM7" s="16"/>
      <c r="AN7" s="16"/>
      <c r="AO7" s="16"/>
      <c r="AP7" s="16"/>
      <c r="AQ7" s="16"/>
      <c r="AR7" s="16"/>
      <c r="AS7" s="16"/>
      <c r="AT7" s="16"/>
      <c r="AU7" s="16"/>
      <c r="AV7" s="16"/>
      <c r="AW7" s="16"/>
      <c r="AX7" s="16"/>
    </row>
    <row r="8" spans="1:50" s="1" customFormat="1" ht="21" customHeight="1">
      <c r="A8" s="111" t="s">
        <v>87</v>
      </c>
      <c r="B8" s="139">
        <v>0</v>
      </c>
      <c r="C8" s="139">
        <v>1</v>
      </c>
      <c r="D8" s="141">
        <v>0</v>
      </c>
      <c r="E8" s="141" t="s">
        <v>82</v>
      </c>
      <c r="F8" s="85">
        <v>79</v>
      </c>
      <c r="G8" s="85">
        <v>69</v>
      </c>
      <c r="H8" s="116">
        <v>-0.12658227848101267</v>
      </c>
      <c r="I8" s="141" t="s">
        <v>82</v>
      </c>
      <c r="J8" s="85">
        <v>258</v>
      </c>
      <c r="K8" s="85">
        <v>237</v>
      </c>
      <c r="L8" s="116">
        <v>-8.5271317829457363E-2</v>
      </c>
      <c r="M8" s="141" t="s">
        <v>82</v>
      </c>
      <c r="N8" s="85">
        <v>337</v>
      </c>
      <c r="O8" s="85">
        <v>306</v>
      </c>
      <c r="P8" s="116">
        <v>-9.1988130563798218E-2</v>
      </c>
      <c r="Q8" s="141" t="s">
        <v>82</v>
      </c>
      <c r="R8" s="85">
        <v>143</v>
      </c>
      <c r="S8" s="116">
        <v>1.1398601398601398</v>
      </c>
      <c r="T8" s="121" t="s">
        <v>58</v>
      </c>
      <c r="U8" s="5"/>
      <c r="V8" s="5"/>
      <c r="W8" s="5"/>
      <c r="X8" s="4"/>
      <c r="Y8" s="14"/>
      <c r="Z8" s="16"/>
      <c r="AA8" s="16"/>
      <c r="AB8" s="16"/>
      <c r="AC8" s="17"/>
      <c r="AJ8" s="16"/>
      <c r="AK8" s="16"/>
      <c r="AL8" s="16"/>
      <c r="AM8" s="16"/>
      <c r="AN8" s="16"/>
      <c r="AO8" s="16"/>
      <c r="AP8" s="16"/>
      <c r="AQ8" s="16"/>
      <c r="AR8" s="16"/>
      <c r="AS8" s="16"/>
      <c r="AT8" s="16"/>
      <c r="AU8" s="16"/>
      <c r="AV8" s="16"/>
      <c r="AW8" s="16"/>
      <c r="AX8" s="16"/>
    </row>
    <row r="9" spans="1:50" s="1" customFormat="1" ht="21" customHeight="1">
      <c r="A9" s="111" t="s">
        <v>88</v>
      </c>
      <c r="B9" s="139">
        <v>0</v>
      </c>
      <c r="C9" s="139">
        <v>1</v>
      </c>
      <c r="D9" s="141">
        <v>0</v>
      </c>
      <c r="E9" s="141" t="s">
        <v>82</v>
      </c>
      <c r="F9" s="85">
        <v>30</v>
      </c>
      <c r="G9" s="85">
        <v>33</v>
      </c>
      <c r="H9" s="116">
        <v>0.1</v>
      </c>
      <c r="I9" s="141" t="s">
        <v>82</v>
      </c>
      <c r="J9" s="85">
        <v>432</v>
      </c>
      <c r="K9" s="85">
        <v>397</v>
      </c>
      <c r="L9" s="116">
        <v>-8.1018518518518517E-2</v>
      </c>
      <c r="M9" s="141" t="s">
        <v>82</v>
      </c>
      <c r="N9" s="85">
        <v>462</v>
      </c>
      <c r="O9" s="85">
        <v>431</v>
      </c>
      <c r="P9" s="116">
        <v>-6.7099567099567103E-2</v>
      </c>
      <c r="Q9" s="141" t="s">
        <v>82</v>
      </c>
      <c r="R9" s="85">
        <v>664.8</v>
      </c>
      <c r="S9" s="116">
        <v>-0.3516847172081829</v>
      </c>
      <c r="T9" s="121" t="s">
        <v>58</v>
      </c>
      <c r="U9" s="5"/>
      <c r="V9" s="5"/>
      <c r="W9" s="5"/>
      <c r="X9" s="4"/>
      <c r="Y9" s="14"/>
      <c r="Z9" s="16"/>
      <c r="AA9" s="16"/>
      <c r="AB9" s="16"/>
      <c r="AC9" s="17"/>
      <c r="AJ9" s="16"/>
      <c r="AK9" s="16"/>
      <c r="AL9" s="16"/>
      <c r="AM9" s="16"/>
      <c r="AN9" s="16"/>
      <c r="AO9" s="16"/>
      <c r="AP9" s="16"/>
      <c r="AQ9" s="16"/>
      <c r="AR9" s="16"/>
      <c r="AS9" s="16"/>
      <c r="AT9" s="16"/>
      <c r="AU9" s="16"/>
      <c r="AV9" s="16"/>
      <c r="AW9" s="16"/>
      <c r="AX9" s="16"/>
    </row>
    <row r="10" spans="1:50" s="1" customFormat="1" ht="21" customHeight="1">
      <c r="A10" s="111" t="s">
        <v>121</v>
      </c>
      <c r="B10" s="139">
        <v>0</v>
      </c>
      <c r="C10" s="139">
        <v>0</v>
      </c>
      <c r="D10" s="141">
        <v>0</v>
      </c>
      <c r="E10" s="141" t="s">
        <v>82</v>
      </c>
      <c r="F10" s="85">
        <v>22</v>
      </c>
      <c r="G10" s="85">
        <v>12</v>
      </c>
      <c r="H10" s="116">
        <v>-0.45454545454545453</v>
      </c>
      <c r="I10" s="141" t="s">
        <v>58</v>
      </c>
      <c r="J10" s="85">
        <v>183</v>
      </c>
      <c r="K10" s="85">
        <v>168</v>
      </c>
      <c r="L10" s="116">
        <v>-8.1967213114754092E-2</v>
      </c>
      <c r="M10" s="141" t="s">
        <v>82</v>
      </c>
      <c r="N10" s="85">
        <v>205</v>
      </c>
      <c r="O10" s="85">
        <v>180</v>
      </c>
      <c r="P10" s="116">
        <v>-0.12195121951219512</v>
      </c>
      <c r="Q10" s="141" t="s">
        <v>82</v>
      </c>
      <c r="R10" s="116" t="s">
        <v>56</v>
      </c>
      <c r="S10" s="116" t="s">
        <v>56</v>
      </c>
      <c r="T10" s="121" t="s">
        <v>56</v>
      </c>
      <c r="U10" s="5"/>
      <c r="V10" s="5"/>
      <c r="W10" s="5"/>
      <c r="X10" s="4"/>
      <c r="Y10" s="14"/>
      <c r="Z10" s="16"/>
      <c r="AA10" s="16"/>
      <c r="AB10" s="16"/>
      <c r="AC10" s="17"/>
      <c r="AJ10" s="16"/>
      <c r="AK10" s="16"/>
      <c r="AL10" s="16"/>
      <c r="AM10" s="16"/>
      <c r="AN10" s="16"/>
      <c r="AO10" s="16"/>
      <c r="AP10" s="16"/>
      <c r="AQ10" s="16"/>
      <c r="AR10" s="16"/>
      <c r="AS10" s="16"/>
      <c r="AT10" s="16"/>
      <c r="AU10" s="16"/>
      <c r="AV10" s="16"/>
      <c r="AW10" s="16"/>
      <c r="AX10" s="16"/>
    </row>
    <row r="11" spans="1:50" s="1" customFormat="1" ht="21" customHeight="1">
      <c r="A11" s="113" t="s">
        <v>101</v>
      </c>
      <c r="B11" s="140">
        <v>1</v>
      </c>
      <c r="C11" s="140">
        <v>0</v>
      </c>
      <c r="D11" s="142">
        <v>-1</v>
      </c>
      <c r="E11" s="315" t="s">
        <v>82</v>
      </c>
      <c r="F11" s="130">
        <v>15</v>
      </c>
      <c r="G11" s="130">
        <v>12</v>
      </c>
      <c r="H11" s="142">
        <v>-0.2</v>
      </c>
      <c r="I11" s="315" t="s">
        <v>82</v>
      </c>
      <c r="J11" s="130">
        <v>316</v>
      </c>
      <c r="K11" s="130">
        <v>204</v>
      </c>
      <c r="L11" s="142">
        <v>-0.35443037974683544</v>
      </c>
      <c r="M11" s="315" t="s">
        <v>58</v>
      </c>
      <c r="N11" s="130">
        <v>332</v>
      </c>
      <c r="O11" s="130">
        <v>216</v>
      </c>
      <c r="P11" s="142">
        <v>-0.3493975903614458</v>
      </c>
      <c r="Q11" s="315" t="s">
        <v>58</v>
      </c>
      <c r="R11" s="130">
        <v>601.20000000000005</v>
      </c>
      <c r="S11" s="142">
        <v>-0.64071856287425155</v>
      </c>
      <c r="T11" s="143" t="s">
        <v>58</v>
      </c>
      <c r="U11" s="5"/>
      <c r="V11" s="5"/>
      <c r="W11" s="5"/>
      <c r="X11" s="4"/>
      <c r="Y11" s="14"/>
      <c r="Z11" s="28"/>
      <c r="AA11" s="28"/>
      <c r="AB11" s="28"/>
      <c r="AC11" s="17"/>
      <c r="AJ11" s="16"/>
      <c r="AK11" s="16"/>
      <c r="AL11" s="16"/>
      <c r="AM11" s="16"/>
      <c r="AN11" s="16"/>
      <c r="AO11" s="16"/>
      <c r="AP11" s="16"/>
      <c r="AQ11" s="16"/>
      <c r="AR11" s="16"/>
      <c r="AS11" s="16"/>
      <c r="AT11" s="16"/>
      <c r="AU11" s="16"/>
      <c r="AV11" s="16"/>
      <c r="AW11" s="16"/>
      <c r="AX11" s="16"/>
    </row>
    <row r="12" spans="1:50" s="1" customFormat="1" ht="21" customHeight="1">
      <c r="A12" s="129" t="s">
        <v>92</v>
      </c>
      <c r="B12" s="140"/>
      <c r="C12" s="140"/>
      <c r="D12" s="315"/>
      <c r="E12" s="144"/>
      <c r="F12" s="130"/>
      <c r="G12" s="130"/>
      <c r="H12" s="142"/>
      <c r="I12" s="144"/>
      <c r="J12" s="130"/>
      <c r="K12" s="130"/>
      <c r="L12" s="142"/>
      <c r="M12" s="316"/>
      <c r="N12" s="317"/>
      <c r="O12" s="317"/>
      <c r="P12" s="318"/>
      <c r="Q12" s="319"/>
      <c r="R12" s="317"/>
      <c r="S12" s="318"/>
      <c r="T12" s="320"/>
      <c r="U12" s="5"/>
      <c r="V12" s="5"/>
      <c r="W12" s="5"/>
      <c r="X12" s="4"/>
      <c r="Y12" s="14"/>
      <c r="Z12" s="28"/>
      <c r="AA12" s="28"/>
      <c r="AB12" s="28"/>
      <c r="AC12" s="17"/>
      <c r="AJ12" s="16"/>
      <c r="AK12" s="16"/>
      <c r="AL12" s="16"/>
      <c r="AM12" s="16"/>
      <c r="AN12" s="16"/>
      <c r="AO12" s="16"/>
      <c r="AP12" s="16"/>
      <c r="AQ12" s="16"/>
      <c r="AR12" s="16"/>
      <c r="AS12" s="16"/>
      <c r="AT12" s="16"/>
      <c r="AU12" s="16"/>
      <c r="AV12" s="16"/>
      <c r="AW12" s="16"/>
      <c r="AX12" s="16"/>
    </row>
    <row r="13" spans="1:50" s="1" customFormat="1" ht="21" customHeight="1">
      <c r="A13" s="174"/>
      <c r="B13" s="175"/>
      <c r="C13" s="175"/>
      <c r="D13" s="176"/>
      <c r="E13" s="177"/>
      <c r="F13" s="45"/>
      <c r="G13" s="45"/>
      <c r="H13" s="176"/>
      <c r="I13" s="177"/>
      <c r="J13" s="45"/>
      <c r="K13" s="45"/>
      <c r="L13" s="176"/>
      <c r="M13" s="177"/>
      <c r="N13" s="45"/>
      <c r="O13" s="45"/>
      <c r="P13" s="176"/>
      <c r="Q13" s="177"/>
      <c r="R13" s="45"/>
      <c r="S13" s="176"/>
      <c r="T13" s="178"/>
      <c r="U13" s="5"/>
      <c r="V13" s="5"/>
      <c r="W13" s="5"/>
      <c r="X13" s="4"/>
      <c r="Y13" s="14"/>
      <c r="Z13" s="28"/>
      <c r="AA13" s="28"/>
      <c r="AB13" s="28"/>
      <c r="AC13" s="17"/>
      <c r="AJ13" s="16"/>
      <c r="AK13" s="16"/>
      <c r="AL13" s="16"/>
      <c r="AM13" s="16"/>
      <c r="AN13" s="16"/>
      <c r="AO13" s="16"/>
      <c r="AP13" s="16"/>
      <c r="AQ13" s="16"/>
      <c r="AR13" s="16"/>
      <c r="AS13" s="16"/>
      <c r="AT13" s="16"/>
      <c r="AU13" s="16"/>
      <c r="AV13" s="16"/>
      <c r="AW13" s="16"/>
      <c r="AX13" s="16"/>
    </row>
    <row r="14" spans="1:50" s="1" customFormat="1" ht="21" customHeight="1">
      <c r="A14" s="174"/>
      <c r="B14" s="175"/>
      <c r="C14" s="175"/>
      <c r="D14" s="176"/>
      <c r="E14" s="177"/>
      <c r="F14" s="45"/>
      <c r="G14" s="45"/>
      <c r="H14" s="176"/>
      <c r="I14" s="177"/>
      <c r="J14" s="45"/>
      <c r="K14" s="45"/>
      <c r="L14" s="176"/>
      <c r="M14" s="177"/>
      <c r="N14" s="45"/>
      <c r="O14" s="45"/>
      <c r="P14" s="176"/>
      <c r="Q14" s="177"/>
      <c r="R14" s="45"/>
      <c r="S14" s="176"/>
      <c r="T14" s="178"/>
      <c r="U14" s="5"/>
      <c r="V14" s="5"/>
      <c r="W14" s="5"/>
      <c r="X14" s="4"/>
      <c r="Y14" s="14"/>
      <c r="Z14" s="28"/>
      <c r="AA14" s="28"/>
      <c r="AB14" s="28"/>
      <c r="AC14" s="17"/>
      <c r="AJ14" s="16"/>
      <c r="AK14" s="16"/>
      <c r="AL14" s="16"/>
      <c r="AM14" s="16"/>
      <c r="AN14" s="16"/>
      <c r="AO14" s="16"/>
      <c r="AP14" s="16"/>
      <c r="AQ14" s="16"/>
      <c r="AR14" s="16"/>
      <c r="AS14" s="16"/>
      <c r="AT14" s="16"/>
      <c r="AU14" s="16"/>
      <c r="AV14" s="16"/>
      <c r="AW14" s="16"/>
      <c r="AX14" s="16"/>
    </row>
    <row r="15" spans="1:50" s="1" customFormat="1" ht="21" customHeight="1">
      <c r="A15" s="174"/>
      <c r="B15" s="175"/>
      <c r="C15" s="175"/>
      <c r="D15" s="176"/>
      <c r="E15" s="177"/>
      <c r="F15" s="45"/>
      <c r="G15" s="45"/>
      <c r="H15" s="176"/>
      <c r="I15" s="177"/>
      <c r="J15" s="45"/>
      <c r="K15" s="45"/>
      <c r="L15" s="176"/>
      <c r="M15" s="177"/>
      <c r="N15" s="45"/>
      <c r="O15" s="45"/>
      <c r="P15" s="176"/>
      <c r="Q15" s="177"/>
      <c r="R15" s="45"/>
      <c r="S15" s="176"/>
      <c r="T15" s="178"/>
      <c r="U15" s="5"/>
      <c r="V15" s="5"/>
      <c r="W15" s="5"/>
      <c r="X15" s="4"/>
      <c r="Y15" s="14"/>
      <c r="Z15" s="28"/>
      <c r="AA15" s="28"/>
      <c r="AB15" s="28"/>
      <c r="AC15" s="17"/>
      <c r="AJ15" s="16"/>
      <c r="AK15" s="16"/>
      <c r="AL15" s="16"/>
      <c r="AM15" s="16"/>
      <c r="AN15" s="16"/>
      <c r="AO15" s="16"/>
      <c r="AP15" s="16"/>
      <c r="AQ15" s="16"/>
      <c r="AR15" s="16"/>
      <c r="AS15" s="16"/>
      <c r="AT15" s="16"/>
      <c r="AU15" s="16"/>
      <c r="AV15" s="16"/>
      <c r="AW15" s="16"/>
      <c r="AX15" s="16"/>
    </row>
    <row r="16" spans="1:50" s="1" customFormat="1" ht="21" customHeight="1">
      <c r="A16" s="174"/>
      <c r="B16" s="175"/>
      <c r="C16" s="175"/>
      <c r="D16" s="176"/>
      <c r="E16" s="177"/>
      <c r="F16" s="45"/>
      <c r="G16" s="45"/>
      <c r="H16" s="176"/>
      <c r="I16" s="177"/>
      <c r="J16" s="45"/>
      <c r="K16" s="45"/>
      <c r="L16" s="176"/>
      <c r="M16" s="177"/>
      <c r="N16" s="45"/>
      <c r="O16" s="45"/>
      <c r="P16" s="176"/>
      <c r="Q16" s="177"/>
      <c r="R16" s="45"/>
      <c r="S16" s="176"/>
      <c r="T16" s="178"/>
      <c r="U16" s="5"/>
      <c r="V16" s="5"/>
      <c r="W16" s="5"/>
      <c r="X16" s="4"/>
      <c r="Y16" s="14"/>
      <c r="Z16" s="28"/>
      <c r="AA16" s="28"/>
      <c r="AB16" s="28"/>
      <c r="AC16" s="17"/>
      <c r="AJ16" s="16"/>
      <c r="AK16" s="16"/>
      <c r="AL16" s="16"/>
      <c r="AM16" s="16"/>
      <c r="AN16" s="16"/>
      <c r="AO16" s="16"/>
      <c r="AP16" s="16"/>
      <c r="AQ16" s="16"/>
      <c r="AR16" s="16"/>
      <c r="AS16" s="16"/>
      <c r="AT16" s="16"/>
      <c r="AU16" s="16"/>
      <c r="AV16" s="16"/>
      <c r="AW16" s="16"/>
      <c r="AX16" s="16"/>
    </row>
    <row r="17" spans="1:50" s="1" customFormat="1" ht="21" customHeight="1">
      <c r="A17" s="174"/>
      <c r="B17" s="175"/>
      <c r="C17" s="175"/>
      <c r="D17" s="176"/>
      <c r="E17" s="177"/>
      <c r="F17" s="45"/>
      <c r="G17" s="45"/>
      <c r="H17" s="176"/>
      <c r="I17" s="177"/>
      <c r="J17" s="45"/>
      <c r="K17" s="45"/>
      <c r="L17" s="176"/>
      <c r="M17" s="177"/>
      <c r="N17" s="45"/>
      <c r="O17" s="45"/>
      <c r="P17" s="176"/>
      <c r="Q17" s="177"/>
      <c r="R17" s="45"/>
      <c r="S17" s="176"/>
      <c r="T17" s="178"/>
      <c r="U17" s="5"/>
      <c r="V17" s="5"/>
      <c r="W17" s="5"/>
      <c r="X17" s="4"/>
      <c r="Y17" s="14"/>
      <c r="Z17" s="28"/>
      <c r="AA17" s="28"/>
      <c r="AB17" s="28"/>
      <c r="AC17" s="17"/>
      <c r="AJ17" s="16"/>
      <c r="AK17" s="16"/>
      <c r="AL17" s="16"/>
      <c r="AM17" s="16"/>
      <c r="AN17" s="16"/>
      <c r="AO17" s="16"/>
      <c r="AP17" s="16"/>
      <c r="AQ17" s="16"/>
      <c r="AR17" s="16"/>
      <c r="AS17" s="16"/>
      <c r="AT17" s="16"/>
      <c r="AU17" s="16"/>
      <c r="AV17" s="16"/>
      <c r="AW17" s="16"/>
      <c r="AX17" s="16"/>
    </row>
    <row r="18" spans="1:50" s="1" customFormat="1" ht="21" customHeight="1">
      <c r="A18" s="174"/>
      <c r="B18" s="175"/>
      <c r="C18" s="175"/>
      <c r="D18" s="176"/>
      <c r="E18" s="177"/>
      <c r="F18" s="45"/>
      <c r="G18" s="45"/>
      <c r="H18" s="176"/>
      <c r="I18" s="177"/>
      <c r="J18" s="45"/>
      <c r="K18" s="45"/>
      <c r="L18" s="176"/>
      <c r="M18" s="177"/>
      <c r="N18" s="45"/>
      <c r="O18" s="45"/>
      <c r="P18" s="176"/>
      <c r="Q18" s="177"/>
      <c r="R18" s="45"/>
      <c r="S18" s="176"/>
      <c r="T18" s="178"/>
      <c r="U18" s="5"/>
      <c r="V18" s="5"/>
      <c r="W18" s="5"/>
      <c r="X18" s="4"/>
      <c r="Y18" s="14"/>
      <c r="Z18" s="28"/>
      <c r="AA18" s="28"/>
      <c r="AB18" s="28"/>
      <c r="AC18" s="17"/>
      <c r="AJ18" s="16"/>
      <c r="AK18" s="16"/>
      <c r="AL18" s="16"/>
      <c r="AM18" s="16"/>
      <c r="AN18" s="16"/>
      <c r="AO18" s="16"/>
      <c r="AP18" s="16"/>
      <c r="AQ18" s="16"/>
      <c r="AR18" s="16"/>
      <c r="AS18" s="16"/>
      <c r="AT18" s="16"/>
      <c r="AU18" s="16"/>
      <c r="AV18" s="16"/>
      <c r="AW18" s="16"/>
      <c r="AX18" s="16"/>
    </row>
    <row r="19" spans="1:50" s="1" customFormat="1" ht="21" customHeight="1">
      <c r="A19" s="174"/>
      <c r="B19" s="175"/>
      <c r="C19" s="175"/>
      <c r="D19" s="176"/>
      <c r="E19" s="177"/>
      <c r="F19" s="45"/>
      <c r="G19" s="45"/>
      <c r="H19" s="176"/>
      <c r="I19" s="177"/>
      <c r="J19" s="45"/>
      <c r="K19" s="45"/>
      <c r="L19" s="176"/>
      <c r="M19" s="177"/>
      <c r="N19" s="45"/>
      <c r="O19" s="45"/>
      <c r="P19" s="176"/>
      <c r="Q19" s="177"/>
      <c r="R19" s="45"/>
      <c r="S19" s="176"/>
      <c r="T19" s="178"/>
      <c r="U19" s="5"/>
      <c r="V19" s="5"/>
      <c r="W19" s="5"/>
      <c r="X19" s="4"/>
      <c r="Y19" s="14"/>
      <c r="Z19" s="28"/>
      <c r="AA19" s="28"/>
      <c r="AB19" s="28"/>
      <c r="AC19" s="17"/>
      <c r="AJ19" s="16"/>
      <c r="AK19" s="16"/>
      <c r="AL19" s="16"/>
      <c r="AM19" s="16"/>
      <c r="AN19" s="16"/>
      <c r="AO19" s="16"/>
      <c r="AP19" s="16"/>
      <c r="AQ19" s="16"/>
      <c r="AR19" s="16"/>
      <c r="AS19" s="16"/>
      <c r="AT19" s="16"/>
      <c r="AU19" s="16"/>
      <c r="AV19" s="16"/>
      <c r="AW19" s="16"/>
      <c r="AX19" s="16"/>
    </row>
    <row r="20" spans="1:50" s="1" customFormat="1" ht="21" customHeight="1">
      <c r="A20" s="174"/>
      <c r="B20" s="175"/>
      <c r="C20" s="175"/>
      <c r="D20" s="176"/>
      <c r="E20" s="177"/>
      <c r="F20" s="45"/>
      <c r="G20" s="45"/>
      <c r="H20" s="176"/>
      <c r="I20" s="177"/>
      <c r="J20" s="45"/>
      <c r="K20" s="45"/>
      <c r="L20" s="176"/>
      <c r="M20" s="177"/>
      <c r="N20" s="45"/>
      <c r="O20" s="45"/>
      <c r="P20" s="176"/>
      <c r="Q20" s="177"/>
      <c r="R20" s="45"/>
      <c r="S20" s="176"/>
      <c r="T20" s="178"/>
      <c r="U20" s="5"/>
      <c r="V20" s="5"/>
      <c r="W20" s="5"/>
      <c r="X20" s="4"/>
      <c r="Y20" s="14"/>
      <c r="Z20" s="28"/>
      <c r="AA20" s="28"/>
      <c r="AB20" s="28"/>
      <c r="AC20" s="17"/>
      <c r="AJ20" s="16"/>
      <c r="AK20" s="16"/>
      <c r="AL20" s="16"/>
      <c r="AM20" s="16"/>
      <c r="AN20" s="16"/>
      <c r="AO20" s="16"/>
      <c r="AP20" s="16"/>
      <c r="AQ20" s="16"/>
      <c r="AR20" s="16"/>
      <c r="AS20" s="16"/>
      <c r="AT20" s="16"/>
      <c r="AU20" s="16"/>
      <c r="AV20" s="16"/>
      <c r="AW20" s="16"/>
      <c r="AX20" s="16"/>
    </row>
    <row r="21" spans="1:50" s="1" customFormat="1" ht="21" customHeight="1">
      <c r="A21" s="174"/>
      <c r="B21" s="175"/>
      <c r="C21" s="175"/>
      <c r="D21" s="176"/>
      <c r="E21" s="177"/>
      <c r="F21" s="45"/>
      <c r="G21" s="45"/>
      <c r="H21" s="176"/>
      <c r="I21" s="177"/>
      <c r="J21" s="45"/>
      <c r="K21" s="45"/>
      <c r="L21" s="176"/>
      <c r="M21" s="177"/>
      <c r="N21" s="45"/>
      <c r="O21" s="45"/>
      <c r="P21" s="176"/>
      <c r="Q21" s="177"/>
      <c r="R21" s="45"/>
      <c r="S21" s="176"/>
      <c r="T21" s="178"/>
      <c r="U21" s="5"/>
      <c r="V21" s="5"/>
      <c r="W21" s="5"/>
      <c r="X21" s="4"/>
      <c r="Y21" s="14"/>
      <c r="Z21" s="28"/>
      <c r="AA21" s="28"/>
      <c r="AB21" s="28"/>
      <c r="AC21" s="17"/>
      <c r="AJ21" s="16"/>
      <c r="AK21" s="16"/>
      <c r="AL21" s="16"/>
      <c r="AM21" s="16"/>
      <c r="AN21" s="16"/>
      <c r="AO21" s="16"/>
      <c r="AP21" s="16"/>
      <c r="AQ21" s="16"/>
      <c r="AR21" s="16"/>
      <c r="AS21" s="16"/>
      <c r="AT21" s="16"/>
      <c r="AU21" s="16"/>
      <c r="AV21" s="16"/>
      <c r="AW21" s="16"/>
      <c r="AX21" s="16"/>
    </row>
    <row r="22" spans="1:50" s="1" customFormat="1" ht="21" customHeight="1">
      <c r="A22" s="174"/>
      <c r="B22" s="175"/>
      <c r="C22" s="175"/>
      <c r="D22" s="176"/>
      <c r="E22" s="177"/>
      <c r="F22" s="45"/>
      <c r="G22" s="45"/>
      <c r="H22" s="176"/>
      <c r="I22" s="177"/>
      <c r="J22" s="45"/>
      <c r="K22" s="45"/>
      <c r="L22" s="176"/>
      <c r="M22" s="177"/>
      <c r="N22" s="45"/>
      <c r="O22" s="45"/>
      <c r="P22" s="176"/>
      <c r="Q22" s="177"/>
      <c r="R22" s="45"/>
      <c r="S22" s="176"/>
      <c r="T22" s="178"/>
      <c r="U22" s="5"/>
      <c r="V22" s="5"/>
      <c r="W22" s="5"/>
      <c r="X22" s="4"/>
      <c r="Y22" s="14"/>
      <c r="Z22" s="28"/>
      <c r="AA22" s="28"/>
      <c r="AB22" s="28"/>
      <c r="AC22" s="17"/>
      <c r="AJ22" s="16"/>
      <c r="AK22" s="16"/>
      <c r="AL22" s="16"/>
      <c r="AM22" s="16"/>
      <c r="AN22" s="16"/>
      <c r="AO22" s="16"/>
      <c r="AP22" s="16"/>
      <c r="AQ22" s="16"/>
      <c r="AR22" s="16"/>
      <c r="AS22" s="16"/>
      <c r="AT22" s="16"/>
      <c r="AU22" s="16"/>
      <c r="AV22" s="16"/>
      <c r="AW22" s="16"/>
      <c r="AX22" s="16"/>
    </row>
    <row r="23" spans="1:50" s="1" customFormat="1" ht="21" customHeight="1">
      <c r="A23" s="174"/>
      <c r="B23" s="175"/>
      <c r="C23" s="175"/>
      <c r="D23" s="176"/>
      <c r="E23" s="177"/>
      <c r="F23" s="45"/>
      <c r="G23" s="45"/>
      <c r="H23" s="176"/>
      <c r="I23" s="177"/>
      <c r="J23" s="45"/>
      <c r="K23" s="45"/>
      <c r="L23" s="176"/>
      <c r="M23" s="177"/>
      <c r="N23" s="45"/>
      <c r="O23" s="45"/>
      <c r="P23" s="176"/>
      <c r="Q23" s="177"/>
      <c r="R23" s="45"/>
      <c r="S23" s="176"/>
      <c r="T23" s="178"/>
      <c r="U23" s="5"/>
      <c r="V23" s="5"/>
      <c r="W23" s="5"/>
      <c r="X23" s="4"/>
      <c r="Y23" s="14"/>
      <c r="Z23" s="28"/>
      <c r="AA23" s="28"/>
      <c r="AB23" s="28"/>
      <c r="AC23" s="17"/>
      <c r="AJ23" s="16"/>
      <c r="AK23" s="16"/>
      <c r="AL23" s="16"/>
      <c r="AM23" s="16"/>
      <c r="AN23" s="16"/>
      <c r="AO23" s="16"/>
      <c r="AP23" s="16"/>
      <c r="AQ23" s="16"/>
      <c r="AR23" s="16"/>
      <c r="AS23" s="16"/>
      <c r="AT23" s="16"/>
      <c r="AU23" s="16"/>
      <c r="AV23" s="16"/>
      <c r="AW23" s="16"/>
      <c r="AX23" s="16"/>
    </row>
    <row r="24" spans="1:50" s="1" customFormat="1" ht="21" customHeight="1">
      <c r="A24" s="174"/>
      <c r="B24" s="175"/>
      <c r="C24" s="175"/>
      <c r="D24" s="176"/>
      <c r="E24" s="177"/>
      <c r="F24" s="45"/>
      <c r="G24" s="45"/>
      <c r="H24" s="176"/>
      <c r="I24" s="177"/>
      <c r="J24" s="45"/>
      <c r="K24" s="45"/>
      <c r="L24" s="176"/>
      <c r="M24" s="177"/>
      <c r="N24" s="45"/>
      <c r="O24" s="45"/>
      <c r="P24" s="176"/>
      <c r="Q24" s="177"/>
      <c r="R24" s="45"/>
      <c r="S24" s="176"/>
      <c r="T24" s="178"/>
      <c r="U24" s="5"/>
      <c r="V24" s="5"/>
      <c r="W24" s="5"/>
      <c r="X24" s="4"/>
      <c r="Y24" s="14"/>
      <c r="Z24" s="28"/>
      <c r="AA24" s="28"/>
      <c r="AB24" s="28"/>
      <c r="AC24" s="17"/>
      <c r="AJ24" s="16"/>
      <c r="AK24" s="16"/>
      <c r="AL24" s="16"/>
      <c r="AM24" s="16"/>
      <c r="AN24" s="16"/>
      <c r="AO24" s="16"/>
      <c r="AP24" s="16"/>
      <c r="AQ24" s="16"/>
      <c r="AR24" s="16"/>
      <c r="AS24" s="16"/>
      <c r="AT24" s="16"/>
      <c r="AU24" s="16"/>
      <c r="AV24" s="16"/>
      <c r="AW24" s="16"/>
      <c r="AX24" s="16"/>
    </row>
    <row r="25" spans="1:50" s="1" customFormat="1" ht="21" customHeight="1">
      <c r="A25" s="174"/>
      <c r="B25" s="175"/>
      <c r="C25" s="175"/>
      <c r="D25" s="176"/>
      <c r="E25" s="177"/>
      <c r="F25" s="45"/>
      <c r="G25" s="45"/>
      <c r="H25" s="176"/>
      <c r="I25" s="177"/>
      <c r="J25" s="45"/>
      <c r="K25" s="45"/>
      <c r="L25" s="176"/>
      <c r="M25" s="177"/>
      <c r="N25" s="45"/>
      <c r="O25" s="45"/>
      <c r="P25" s="176"/>
      <c r="Q25" s="177"/>
      <c r="R25" s="45"/>
      <c r="S25" s="176"/>
      <c r="T25" s="178"/>
      <c r="U25" s="5"/>
      <c r="V25" s="5"/>
      <c r="W25" s="5"/>
      <c r="X25" s="4"/>
      <c r="Y25" s="14"/>
      <c r="Z25" s="28"/>
      <c r="AA25" s="28"/>
      <c r="AB25" s="28"/>
      <c r="AC25" s="17"/>
      <c r="AJ25" s="16"/>
      <c r="AK25" s="16"/>
      <c r="AL25" s="16"/>
      <c r="AM25" s="16"/>
      <c r="AN25" s="16"/>
      <c r="AO25" s="16"/>
      <c r="AP25" s="16"/>
      <c r="AQ25" s="16"/>
      <c r="AR25" s="16"/>
      <c r="AS25" s="16"/>
      <c r="AT25" s="16"/>
      <c r="AU25" s="16"/>
      <c r="AV25" s="16"/>
      <c r="AW25" s="16"/>
      <c r="AX25" s="16"/>
    </row>
    <row r="26" spans="1:50" s="1" customFormat="1" ht="21" customHeight="1">
      <c r="A26" s="174"/>
      <c r="B26" s="175"/>
      <c r="C26" s="175"/>
      <c r="D26" s="176"/>
      <c r="E26" s="177"/>
      <c r="F26" s="45"/>
      <c r="G26" s="45"/>
      <c r="H26" s="176"/>
      <c r="I26" s="177"/>
      <c r="J26" s="45"/>
      <c r="K26" s="45"/>
      <c r="L26" s="176"/>
      <c r="M26" s="177"/>
      <c r="N26" s="45"/>
      <c r="O26" s="45"/>
      <c r="P26" s="176"/>
      <c r="Q26" s="177"/>
      <c r="R26" s="45"/>
      <c r="S26" s="176"/>
      <c r="T26" s="178"/>
      <c r="U26" s="5"/>
      <c r="V26" s="5"/>
      <c r="W26" s="5"/>
      <c r="X26" s="4"/>
      <c r="Y26" s="14"/>
      <c r="Z26" s="28"/>
      <c r="AA26" s="28"/>
      <c r="AB26" s="28"/>
      <c r="AC26" s="17"/>
      <c r="AJ26" s="16"/>
      <c r="AK26" s="16"/>
      <c r="AL26" s="16"/>
      <c r="AM26" s="16"/>
      <c r="AN26" s="16"/>
      <c r="AO26" s="16"/>
      <c r="AP26" s="16"/>
      <c r="AQ26" s="16"/>
      <c r="AR26" s="16"/>
      <c r="AS26" s="16"/>
      <c r="AT26" s="16"/>
      <c r="AU26" s="16"/>
      <c r="AV26" s="16"/>
      <c r="AW26" s="16"/>
      <c r="AX26" s="16"/>
    </row>
    <row r="27" spans="1:50" s="1" customFormat="1" ht="21" customHeight="1">
      <c r="A27" s="174"/>
      <c r="B27" s="175"/>
      <c r="C27" s="175"/>
      <c r="D27" s="176"/>
      <c r="E27" s="177"/>
      <c r="F27" s="45"/>
      <c r="G27" s="45"/>
      <c r="H27" s="176"/>
      <c r="I27" s="177"/>
      <c r="J27" s="45"/>
      <c r="K27" s="45"/>
      <c r="L27" s="176"/>
      <c r="M27" s="177"/>
      <c r="N27" s="45"/>
      <c r="O27" s="45"/>
      <c r="P27" s="176"/>
      <c r="Q27" s="177"/>
      <c r="R27" s="45"/>
      <c r="S27" s="176"/>
      <c r="T27" s="178"/>
      <c r="U27" s="5"/>
      <c r="V27" s="5"/>
      <c r="W27" s="5"/>
      <c r="X27" s="4"/>
      <c r="Y27" s="14"/>
      <c r="Z27" s="28"/>
      <c r="AA27" s="28"/>
      <c r="AB27" s="28"/>
      <c r="AC27" s="17"/>
      <c r="AJ27" s="16"/>
      <c r="AK27" s="16"/>
      <c r="AL27" s="16"/>
      <c r="AM27" s="16"/>
      <c r="AN27" s="16"/>
      <c r="AO27" s="16"/>
      <c r="AP27" s="16"/>
      <c r="AQ27" s="16"/>
      <c r="AR27" s="16"/>
      <c r="AS27" s="16"/>
      <c r="AT27" s="16"/>
      <c r="AU27" s="16"/>
      <c r="AV27" s="16"/>
      <c r="AW27" s="16"/>
      <c r="AX27" s="16"/>
    </row>
    <row r="28" spans="1:50" s="1" customFormat="1" ht="21" customHeight="1">
      <c r="A28" s="18"/>
      <c r="B28" s="5"/>
      <c r="C28" s="5"/>
      <c r="D28" s="5"/>
      <c r="E28" s="5"/>
      <c r="F28" s="5"/>
      <c r="G28" s="5"/>
      <c r="H28" s="5"/>
      <c r="I28" s="5"/>
      <c r="J28" s="5"/>
      <c r="K28" s="5"/>
      <c r="L28" s="5"/>
      <c r="M28" s="5"/>
      <c r="N28" s="5"/>
      <c r="O28" s="5"/>
      <c r="P28" s="5"/>
      <c r="Q28" s="5"/>
      <c r="R28" s="5"/>
      <c r="S28" s="5"/>
      <c r="T28" s="5"/>
      <c r="U28" s="5"/>
      <c r="V28" s="5"/>
      <c r="W28" s="5"/>
      <c r="X28" s="4"/>
      <c r="Y28" s="14"/>
      <c r="Z28" s="28"/>
      <c r="AA28" s="28"/>
      <c r="AB28" s="28"/>
      <c r="AC28" s="17"/>
      <c r="AJ28" s="16"/>
      <c r="AK28" s="16"/>
      <c r="AL28" s="16"/>
      <c r="AM28" s="16"/>
      <c r="AN28" s="16"/>
      <c r="AO28" s="16"/>
      <c r="AP28" s="16"/>
      <c r="AQ28" s="16"/>
      <c r="AR28" s="16"/>
      <c r="AS28" s="16"/>
      <c r="AT28" s="16"/>
      <c r="AU28" s="16"/>
      <c r="AV28" s="16"/>
      <c r="AW28" s="16"/>
      <c r="AX28" s="16"/>
    </row>
    <row r="29" spans="1:50" s="1" customFormat="1" ht="21" customHeight="1">
      <c r="A29" s="5"/>
      <c r="B29" s="5"/>
      <c r="C29" s="5"/>
      <c r="D29" s="5"/>
      <c r="E29" s="5"/>
      <c r="F29" s="5"/>
      <c r="G29" s="5"/>
      <c r="H29" s="5"/>
      <c r="I29" s="5"/>
      <c r="J29" s="5"/>
      <c r="K29" s="5"/>
      <c r="L29" s="5"/>
      <c r="M29" s="5"/>
      <c r="N29" s="5"/>
      <c r="O29" s="5"/>
      <c r="P29" s="5"/>
      <c r="Q29" s="5"/>
      <c r="R29" s="5"/>
      <c r="S29" s="5"/>
      <c r="T29" s="5"/>
      <c r="U29" s="5"/>
      <c r="V29" s="5"/>
      <c r="W29" s="5"/>
      <c r="X29" s="4"/>
      <c r="Y29" s="14"/>
      <c r="Z29" s="28"/>
      <c r="AA29" s="28"/>
      <c r="AB29" s="28"/>
      <c r="AC29" s="17"/>
      <c r="AJ29" s="16"/>
      <c r="AK29" s="16"/>
      <c r="AL29" s="16"/>
      <c r="AM29" s="16"/>
      <c r="AN29" s="16"/>
      <c r="AO29" s="16"/>
      <c r="AP29" s="16"/>
      <c r="AQ29" s="16"/>
      <c r="AR29" s="16"/>
      <c r="AS29" s="16"/>
      <c r="AT29" s="16"/>
      <c r="AU29" s="16"/>
      <c r="AV29" s="16"/>
      <c r="AW29" s="16"/>
      <c r="AX29" s="16"/>
    </row>
    <row r="30" spans="1:50" s="1" customFormat="1" ht="21" customHeight="1">
      <c r="A30" s="5"/>
      <c r="B30" s="5"/>
      <c r="C30" s="5"/>
      <c r="D30" s="5"/>
      <c r="E30" s="5"/>
      <c r="F30" s="5"/>
      <c r="G30" s="5"/>
      <c r="H30" s="5"/>
      <c r="I30" s="5"/>
      <c r="J30" s="5"/>
      <c r="K30" s="5"/>
      <c r="L30" s="5"/>
      <c r="M30" s="5"/>
      <c r="N30" s="5"/>
      <c r="O30" s="5"/>
      <c r="P30" s="5"/>
      <c r="Q30" s="5"/>
      <c r="R30" s="5"/>
      <c r="S30" s="5"/>
      <c r="T30" s="5"/>
      <c r="U30" s="5"/>
      <c r="V30" s="5"/>
      <c r="W30" s="5"/>
      <c r="X30" s="4"/>
      <c r="Y30" s="14"/>
      <c r="Z30" s="28"/>
      <c r="AA30" s="28"/>
      <c r="AB30" s="28"/>
      <c r="AC30" s="17"/>
      <c r="AJ30" s="16"/>
      <c r="AK30" s="16"/>
      <c r="AL30" s="16"/>
      <c r="AM30" s="16"/>
      <c r="AN30" s="16"/>
      <c r="AO30" s="16"/>
      <c r="AP30" s="16"/>
      <c r="AQ30" s="16"/>
      <c r="AR30" s="16"/>
      <c r="AS30" s="16"/>
      <c r="AT30" s="16"/>
      <c r="AU30" s="16"/>
      <c r="AV30" s="16"/>
      <c r="AW30" s="16"/>
      <c r="AX30" s="16"/>
    </row>
    <row r="31" spans="1:50" s="1" customFormat="1" ht="21" customHeight="1">
      <c r="A31" s="5"/>
      <c r="B31" s="5"/>
      <c r="C31" s="5"/>
      <c r="D31" s="5"/>
      <c r="E31" s="5"/>
      <c r="F31" s="5"/>
      <c r="G31" s="5"/>
      <c r="H31" s="5"/>
      <c r="I31" s="5"/>
      <c r="J31" s="5"/>
      <c r="K31" s="5"/>
      <c r="L31" s="5"/>
      <c r="M31" s="5"/>
      <c r="N31" s="5"/>
      <c r="O31" s="5"/>
      <c r="P31" s="5"/>
      <c r="Q31" s="5"/>
      <c r="R31" s="5"/>
      <c r="S31" s="5"/>
      <c r="T31" s="5"/>
      <c r="U31" s="5"/>
      <c r="V31" s="5"/>
      <c r="W31" s="5"/>
      <c r="X31" s="4"/>
      <c r="AJ31" s="16"/>
      <c r="AK31" s="16"/>
      <c r="AL31" s="16"/>
      <c r="AM31" s="16"/>
      <c r="AN31" s="16"/>
      <c r="AO31" s="16"/>
      <c r="AP31" s="16"/>
      <c r="AQ31" s="16"/>
      <c r="AR31" s="16"/>
      <c r="AS31" s="16"/>
      <c r="AT31" s="16"/>
      <c r="AU31" s="16"/>
      <c r="AV31" s="16"/>
      <c r="AW31" s="16"/>
      <c r="AX31" s="16"/>
    </row>
    <row r="32" spans="1:50" s="1" customFormat="1" ht="21" customHeight="1">
      <c r="A32" s="5"/>
      <c r="B32" s="5"/>
      <c r="C32" s="5"/>
      <c r="D32" s="5"/>
      <c r="E32" s="5"/>
      <c r="F32" s="5"/>
      <c r="G32" s="5"/>
      <c r="H32" s="5"/>
      <c r="I32" s="5"/>
      <c r="J32" s="5"/>
      <c r="K32" s="5"/>
      <c r="L32" s="5"/>
      <c r="M32" s="5"/>
      <c r="N32" s="5"/>
      <c r="O32" s="5"/>
      <c r="P32" s="5"/>
      <c r="Q32" s="5"/>
      <c r="R32" s="5"/>
      <c r="S32" s="5"/>
      <c r="T32" s="5"/>
      <c r="U32" s="5"/>
      <c r="V32" s="5"/>
      <c r="W32" s="5"/>
      <c r="X32" s="4"/>
      <c r="AJ32" s="16"/>
      <c r="AK32" s="16"/>
      <c r="AL32" s="16"/>
      <c r="AM32" s="16"/>
      <c r="AN32" s="16"/>
      <c r="AO32" s="16"/>
      <c r="AP32" s="16"/>
      <c r="AQ32" s="16"/>
      <c r="AR32" s="16"/>
      <c r="AS32" s="16"/>
      <c r="AT32" s="16"/>
      <c r="AU32" s="16"/>
      <c r="AV32" s="16"/>
      <c r="AW32" s="16"/>
      <c r="AX32" s="16"/>
    </row>
    <row r="33" spans="1:38" s="1" customFormat="1" ht="21" customHeight="1">
      <c r="V33" s="5"/>
      <c r="W33" s="5"/>
      <c r="X33" s="4"/>
    </row>
    <row r="34" spans="1:38" s="1" customFormat="1" ht="21" customHeight="1">
      <c r="V34" s="5"/>
      <c r="W34" s="5"/>
      <c r="X34" s="4"/>
    </row>
    <row r="35" spans="1:38" s="1" customFormat="1" ht="21" customHeight="1">
      <c r="V35" s="5"/>
      <c r="W35" s="5"/>
      <c r="X35" s="4"/>
    </row>
    <row r="36" spans="1:38" s="1" customFormat="1" ht="21" customHeight="1">
      <c r="V36" s="5"/>
      <c r="W36" s="5"/>
      <c r="X36" s="4"/>
    </row>
    <row r="37" spans="1:38" s="1" customFormat="1" ht="21" customHeight="1">
      <c r="V37" s="5"/>
      <c r="W37" s="5"/>
      <c r="X37" s="5"/>
      <c r="Y37" s="4"/>
    </row>
    <row r="38" spans="1:38" s="1" customFormat="1" ht="21" customHeight="1">
      <c r="V38" s="5"/>
      <c r="W38" s="5"/>
      <c r="X38" s="5"/>
      <c r="Y38" s="4"/>
    </row>
    <row r="39" spans="1:38" s="1" customFormat="1" ht="21" customHeight="1">
      <c r="V39" s="5"/>
      <c r="W39" s="5"/>
      <c r="X39" s="5"/>
      <c r="Y39" s="4"/>
    </row>
    <row r="40" spans="1:38" s="1" customFormat="1" ht="21" customHeight="1">
      <c r="A40" s="138"/>
      <c r="B40" s="5"/>
      <c r="C40" s="5"/>
      <c r="D40" s="5"/>
      <c r="E40" s="5"/>
      <c r="F40" s="5"/>
      <c r="G40" s="5"/>
      <c r="H40" s="5"/>
      <c r="I40" s="5"/>
      <c r="J40" s="5"/>
      <c r="K40" s="5"/>
      <c r="L40" s="5"/>
      <c r="M40" s="5"/>
      <c r="N40" s="5"/>
      <c r="O40" s="5"/>
      <c r="P40" s="5"/>
      <c r="Q40" s="5"/>
      <c r="R40" s="5"/>
      <c r="S40" s="5"/>
      <c r="T40" s="5"/>
      <c r="U40" s="5"/>
      <c r="Y40" s="4"/>
    </row>
    <row r="41" spans="1:38" s="1" customFormat="1" ht="21" customHeight="1">
      <c r="B41" s="27"/>
      <c r="C41" s="27"/>
      <c r="D41" s="5"/>
      <c r="E41" s="5"/>
      <c r="F41" s="5"/>
      <c r="G41" s="5"/>
      <c r="H41" s="5"/>
      <c r="I41" s="5"/>
      <c r="J41" s="5"/>
      <c r="K41" s="5"/>
      <c r="L41" s="5"/>
      <c r="M41" s="5"/>
      <c r="N41" s="5"/>
      <c r="O41" s="5"/>
      <c r="P41" s="5"/>
      <c r="Q41" s="5"/>
      <c r="R41" s="5"/>
      <c r="S41" s="5"/>
      <c r="T41" s="5"/>
      <c r="U41" s="5"/>
      <c r="Y41" s="4"/>
    </row>
    <row r="42" spans="1:38" s="1" customFormat="1" ht="21" customHeight="1">
      <c r="B42" s="27"/>
      <c r="C42" s="27"/>
      <c r="D42" s="5"/>
      <c r="E42" s="5"/>
      <c r="F42" s="5"/>
      <c r="G42" s="5"/>
      <c r="H42" s="5"/>
      <c r="I42" s="5"/>
      <c r="J42" s="5"/>
      <c r="K42" s="5"/>
      <c r="L42" s="5"/>
      <c r="M42" s="5"/>
      <c r="N42" s="5"/>
      <c r="O42" s="5"/>
      <c r="P42" s="5"/>
      <c r="Q42" s="5"/>
      <c r="R42" s="5"/>
      <c r="S42" s="5"/>
      <c r="T42" s="5"/>
      <c r="U42" s="5"/>
      <c r="Y42" s="4"/>
    </row>
    <row r="43" spans="1:38" s="1" customFormat="1" ht="20.5" customHeight="1">
      <c r="B43" s="5"/>
      <c r="C43" s="5"/>
      <c r="D43" s="5"/>
      <c r="E43" s="5"/>
      <c r="F43" s="5"/>
      <c r="G43" s="5"/>
      <c r="H43" s="5"/>
      <c r="I43" s="5"/>
      <c r="J43" s="5"/>
      <c r="K43" s="5"/>
      <c r="L43" s="5"/>
      <c r="M43" s="5"/>
      <c r="N43" s="5"/>
      <c r="O43" s="5"/>
      <c r="P43" s="5"/>
      <c r="Q43" s="5"/>
      <c r="R43" s="5"/>
      <c r="S43" s="5"/>
      <c r="T43" s="5"/>
      <c r="U43" s="5"/>
      <c r="Y43" s="4"/>
    </row>
    <row r="44" spans="1:38" s="1" customFormat="1" ht="20.5" customHeight="1">
      <c r="A44" s="44" t="s">
        <v>59</v>
      </c>
      <c r="U44" s="5"/>
      <c r="Y44" s="4"/>
    </row>
    <row r="45" spans="1:38" ht="20.5" customHeight="1">
      <c r="A45" s="92" t="s">
        <v>50</v>
      </c>
      <c r="U45" s="1"/>
      <c r="AB45" s="1"/>
      <c r="AC45" s="1"/>
      <c r="AD45" s="1"/>
      <c r="AE45" s="1"/>
      <c r="AF45" s="1"/>
      <c r="AG45" s="1"/>
      <c r="AH45" s="1"/>
      <c r="AI45" s="1"/>
      <c r="AJ45" s="1"/>
      <c r="AK45" s="1"/>
      <c r="AL45" s="1"/>
    </row>
    <row r="46" spans="1:38" ht="20.5" customHeight="1">
      <c r="A46" s="138"/>
      <c r="U46" s="1"/>
      <c r="AB46" s="1"/>
      <c r="AC46" s="1"/>
      <c r="AD46" s="1"/>
      <c r="AE46" s="1"/>
      <c r="AF46" s="1"/>
      <c r="AG46" s="1"/>
      <c r="AH46" s="1"/>
      <c r="AI46" s="1"/>
      <c r="AJ46" s="1"/>
      <c r="AK46" s="1"/>
      <c r="AL46" s="1"/>
    </row>
    <row r="47" spans="1:38" s="1" customFormat="1" ht="17.5">
      <c r="X47" s="4"/>
    </row>
    <row r="48" spans="1:38" s="1" customFormat="1" ht="17.5">
      <c r="U48" s="5"/>
      <c r="Y48" s="4"/>
    </row>
    <row r="49" spans="1:38" s="1" customFormat="1" ht="17.5">
      <c r="U49" s="5"/>
      <c r="Y49" s="4"/>
    </row>
    <row r="50" spans="1:38" ht="17.5">
      <c r="U50" s="1"/>
      <c r="AB50" s="1"/>
      <c r="AC50" s="1"/>
      <c r="AD50" s="1"/>
      <c r="AE50" s="1"/>
      <c r="AF50" s="1"/>
      <c r="AG50" s="1"/>
      <c r="AH50" s="1"/>
      <c r="AI50" s="1"/>
      <c r="AJ50" s="1"/>
      <c r="AK50" s="1"/>
      <c r="AL50" s="1"/>
    </row>
    <row r="51" spans="1:38" ht="17.5">
      <c r="U51" s="1"/>
      <c r="AB51" s="1"/>
      <c r="AC51" s="1"/>
      <c r="AD51" s="1"/>
      <c r="AE51" s="1"/>
      <c r="AF51" s="1"/>
      <c r="AG51" s="1"/>
      <c r="AH51" s="1"/>
      <c r="AI51" s="1"/>
      <c r="AJ51" s="1"/>
      <c r="AK51" s="1"/>
      <c r="AL51" s="1"/>
    </row>
    <row r="52" spans="1:38" ht="17.5">
      <c r="U52" s="1"/>
      <c r="AB52" s="1"/>
      <c r="AC52" s="1"/>
      <c r="AD52" s="1"/>
      <c r="AE52" s="1"/>
      <c r="AF52" s="1"/>
      <c r="AG52" s="1"/>
      <c r="AH52" s="1"/>
      <c r="AI52" s="1"/>
      <c r="AJ52" s="1"/>
      <c r="AK52" s="1"/>
      <c r="AL52" s="1"/>
    </row>
    <row r="53" spans="1:38" ht="17.5">
      <c r="U53" s="1"/>
      <c r="AB53" s="1"/>
      <c r="AC53" s="1"/>
      <c r="AD53" s="1"/>
      <c r="AE53" s="1"/>
      <c r="AF53" s="1"/>
      <c r="AG53" s="1"/>
      <c r="AH53" s="1"/>
      <c r="AI53" s="1"/>
      <c r="AJ53" s="1"/>
      <c r="AK53" s="1"/>
      <c r="AL53" s="1"/>
    </row>
    <row r="54" spans="1:38" ht="21" customHeight="1">
      <c r="A54" s="1"/>
      <c r="B54" s="1"/>
      <c r="C54" s="1"/>
      <c r="D54" s="1"/>
      <c r="E54" s="1"/>
      <c r="F54" s="1"/>
      <c r="G54" s="1"/>
      <c r="H54" s="1"/>
      <c r="I54" s="1"/>
      <c r="J54" s="1"/>
      <c r="K54" s="1"/>
      <c r="L54" s="1"/>
      <c r="M54" s="1"/>
      <c r="N54" s="1"/>
      <c r="O54" s="1"/>
      <c r="P54" s="1"/>
      <c r="Q54" s="1"/>
      <c r="R54" s="1"/>
      <c r="S54" s="1"/>
      <c r="T54" s="1"/>
      <c r="U54" s="1"/>
      <c r="AB54" s="1"/>
      <c r="AC54" s="1"/>
      <c r="AD54" s="1"/>
      <c r="AE54" s="1"/>
      <c r="AF54" s="1"/>
      <c r="AG54" s="1"/>
      <c r="AH54" s="1"/>
      <c r="AI54" s="1"/>
      <c r="AJ54" s="1"/>
      <c r="AK54" s="1"/>
      <c r="AL54" s="1"/>
    </row>
    <row r="55" spans="1:38" ht="21" customHeight="1">
      <c r="AB55" s="1"/>
      <c r="AC55" s="1"/>
      <c r="AD55" s="1"/>
      <c r="AE55" s="1"/>
      <c r="AF55" s="1"/>
      <c r="AG55" s="1"/>
      <c r="AH55" s="1"/>
      <c r="AI55" s="1"/>
      <c r="AJ55" s="1"/>
      <c r="AK55" s="1"/>
      <c r="AL55" s="1"/>
    </row>
    <row r="56" spans="1:38" ht="21" customHeight="1">
      <c r="B56" s="4" t="s">
        <v>95</v>
      </c>
      <c r="AB56" s="1"/>
      <c r="AC56" s="1"/>
      <c r="AD56" s="1"/>
      <c r="AE56" s="1"/>
      <c r="AF56" s="1"/>
      <c r="AG56" s="1"/>
      <c r="AH56" s="1"/>
      <c r="AI56" s="1"/>
      <c r="AJ56" s="1"/>
      <c r="AK56" s="1"/>
      <c r="AL56" s="1"/>
    </row>
    <row r="57" spans="1:38" ht="21" customHeight="1">
      <c r="AB57" s="1"/>
      <c r="AC57" s="1"/>
      <c r="AD57" s="1"/>
      <c r="AE57" s="1"/>
      <c r="AF57" s="1"/>
      <c r="AG57" s="1"/>
      <c r="AH57" s="1"/>
      <c r="AI57" s="1"/>
      <c r="AJ57" s="1"/>
      <c r="AK57" s="1"/>
      <c r="AL57" s="1"/>
    </row>
    <row r="58" spans="1:38" ht="21" customHeight="1">
      <c r="AB58" s="1"/>
      <c r="AC58" s="1"/>
      <c r="AD58" s="1"/>
      <c r="AE58" s="1"/>
      <c r="AF58" s="1"/>
      <c r="AG58" s="1"/>
      <c r="AH58" s="1"/>
      <c r="AI58" s="1"/>
      <c r="AJ58" s="1"/>
      <c r="AK58" s="1"/>
      <c r="AL58" s="1"/>
    </row>
    <row r="59" spans="1:38" ht="21" customHeight="1">
      <c r="AB59" s="1"/>
      <c r="AC59" s="1"/>
      <c r="AD59" s="1"/>
      <c r="AE59" s="1"/>
      <c r="AF59" s="1"/>
      <c r="AG59" s="1"/>
      <c r="AH59" s="1"/>
      <c r="AI59" s="1"/>
      <c r="AJ59" s="1"/>
      <c r="AK59" s="1"/>
      <c r="AL59" s="1"/>
    </row>
    <row r="60" spans="1:38" ht="21" customHeight="1">
      <c r="AB60" s="1"/>
      <c r="AC60" s="1"/>
      <c r="AD60" s="1"/>
      <c r="AE60" s="1"/>
      <c r="AF60" s="1"/>
      <c r="AG60" s="1"/>
      <c r="AH60" s="1"/>
      <c r="AI60" s="1"/>
      <c r="AJ60" s="1"/>
      <c r="AK60" s="1"/>
      <c r="AL60" s="1"/>
    </row>
    <row r="61" spans="1:38" ht="21" customHeight="1">
      <c r="AB61" s="1"/>
      <c r="AC61" s="1"/>
      <c r="AD61" s="1"/>
      <c r="AE61" s="1"/>
      <c r="AF61" s="1"/>
      <c r="AG61" s="1"/>
      <c r="AH61" s="1"/>
      <c r="AI61" s="1"/>
      <c r="AJ61" s="1"/>
      <c r="AK61" s="1"/>
      <c r="AL61" s="1"/>
    </row>
    <row r="62" spans="1:38" ht="21" customHeight="1">
      <c r="AB62" s="1"/>
      <c r="AC62" s="1"/>
      <c r="AD62" s="1"/>
      <c r="AE62" s="1"/>
      <c r="AF62" s="1"/>
      <c r="AG62" s="1"/>
      <c r="AH62" s="1"/>
      <c r="AI62" s="1"/>
      <c r="AJ62" s="1"/>
      <c r="AK62" s="1"/>
      <c r="AL62" s="1"/>
    </row>
    <row r="63" spans="1:38" ht="21" customHeight="1">
      <c r="AB63" s="1"/>
      <c r="AC63" s="1"/>
      <c r="AD63" s="1"/>
      <c r="AE63" s="1"/>
      <c r="AF63" s="1"/>
      <c r="AG63" s="1"/>
      <c r="AH63" s="1"/>
      <c r="AI63" s="1"/>
      <c r="AJ63" s="1"/>
      <c r="AK63" s="1"/>
      <c r="AL63" s="1"/>
    </row>
    <row r="64" spans="1:38" ht="21" customHeight="1">
      <c r="AB64" s="1"/>
      <c r="AC64" s="1"/>
      <c r="AD64" s="1"/>
      <c r="AE64" s="1"/>
      <c r="AF64" s="1"/>
      <c r="AG64" s="1"/>
      <c r="AH64" s="1"/>
      <c r="AI64" s="1"/>
      <c r="AJ64" s="1"/>
      <c r="AK64" s="1"/>
      <c r="AL64" s="1"/>
    </row>
    <row r="65" spans="28:38" ht="21" customHeight="1">
      <c r="AB65" s="1"/>
      <c r="AC65" s="1"/>
      <c r="AD65" s="1"/>
      <c r="AE65" s="1"/>
      <c r="AF65" s="1"/>
      <c r="AG65" s="1"/>
      <c r="AH65" s="1"/>
      <c r="AI65" s="1"/>
      <c r="AJ65" s="1"/>
      <c r="AK65" s="1"/>
      <c r="AL65" s="1"/>
    </row>
    <row r="66" spans="28:38" ht="21" customHeight="1">
      <c r="AB66" s="1"/>
      <c r="AC66" s="1"/>
      <c r="AD66" s="1"/>
      <c r="AE66" s="1"/>
      <c r="AF66" s="1"/>
      <c r="AG66" s="1"/>
      <c r="AH66" s="1"/>
      <c r="AI66" s="1"/>
      <c r="AJ66" s="1"/>
      <c r="AK66" s="1"/>
      <c r="AL66" s="1"/>
    </row>
    <row r="67" spans="28:38" ht="21" customHeight="1">
      <c r="AB67" s="1"/>
      <c r="AC67" s="1"/>
      <c r="AD67" s="1"/>
      <c r="AE67" s="1"/>
      <c r="AF67" s="1"/>
      <c r="AG67" s="1"/>
      <c r="AH67" s="1"/>
      <c r="AI67" s="1"/>
      <c r="AJ67" s="1"/>
      <c r="AK67" s="1"/>
      <c r="AL67" s="1"/>
    </row>
    <row r="68" spans="28:38" ht="21" customHeight="1">
      <c r="AB68" s="1"/>
      <c r="AC68" s="1"/>
      <c r="AD68" s="1"/>
      <c r="AE68" s="1"/>
      <c r="AF68" s="1"/>
      <c r="AG68" s="1"/>
      <c r="AH68" s="1"/>
      <c r="AI68" s="1"/>
      <c r="AJ68" s="1"/>
      <c r="AK68" s="1"/>
      <c r="AL68" s="1"/>
    </row>
    <row r="69" spans="28:38" ht="21" customHeight="1">
      <c r="AB69" s="1"/>
      <c r="AC69" s="1"/>
      <c r="AD69" s="1"/>
      <c r="AE69" s="1"/>
      <c r="AF69" s="1"/>
      <c r="AG69" s="1"/>
      <c r="AH69" s="1"/>
      <c r="AI69" s="1"/>
      <c r="AJ69" s="1"/>
      <c r="AK69" s="1"/>
      <c r="AL69" s="1"/>
    </row>
  </sheetData>
  <phoneticPr fontId="43" type="noConversion"/>
  <hyperlinks>
    <hyperlink ref="A44" location="'Table of contents'!A1" display="Back to Table of contents" xr:uid="{D1B27BD5-1873-41EA-94A4-28262E7407B0}"/>
    <hyperlink ref="A45" r:id="rId1" display="Back to Road Casualties in Greater London 2024 Factsheet" xr:uid="{A911C772-36F0-4659-B18A-808B9B53E17D}"/>
  </hyperlinks>
  <pageMargins left="0.19" right="0.18" top="1" bottom="1" header="0.5" footer="0.5"/>
  <pageSetup paperSize="9" scale="25" orientation="landscape" horizontalDpi="300" verticalDpi="300" r:id="rId2"/>
  <headerFooter alignWithMargins="0">
    <oddHeader>&amp;R&amp;"Arial,Bold Italic"&amp;11ITEM 8.1</oddHeader>
  </headerFooter>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D7A98-6499-459D-84C1-605DFA28E1FA}">
  <sheetPr>
    <tabColor rgb="FF92D050"/>
    <pageSetUpPr fitToPage="1"/>
  </sheetPr>
  <dimension ref="A1:X45"/>
  <sheetViews>
    <sheetView showGridLines="0" zoomScaleNormal="100" workbookViewId="0"/>
  </sheetViews>
  <sheetFormatPr defaultColWidth="8.765625" defaultRowHeight="21" customHeight="1"/>
  <cols>
    <col min="1" max="1" width="23.69140625" style="4" customWidth="1"/>
    <col min="2" max="16" width="8.4609375" style="4" customWidth="1"/>
    <col min="17" max="17" width="8.3046875" style="4" customWidth="1"/>
    <col min="18" max="18" width="14.69140625" style="4" customWidth="1"/>
    <col min="19" max="19" width="20.3046875" style="4" customWidth="1"/>
    <col min="20" max="20" width="14.69140625" style="4" customWidth="1"/>
    <col min="21" max="21" width="20.4609375" style="4" customWidth="1"/>
    <col min="22" max="26" width="11.23046875" style="4" bestFit="1" customWidth="1"/>
    <col min="27" max="16384" width="8.765625" style="4"/>
  </cols>
  <sheetData>
    <row r="1" spans="1:21" s="2" customFormat="1" ht="45" customHeight="1">
      <c r="A1" s="84" t="s">
        <v>38</v>
      </c>
      <c r="M1" s="6"/>
    </row>
    <row r="2" spans="1:21" s="181" customFormat="1" ht="40.5" customHeight="1">
      <c r="A2" s="168" t="s">
        <v>60</v>
      </c>
      <c r="B2" s="169" t="s">
        <v>61</v>
      </c>
      <c r="C2" s="169" t="s">
        <v>62</v>
      </c>
      <c r="D2" s="169" t="s">
        <v>63</v>
      </c>
      <c r="E2" s="169" t="s">
        <v>64</v>
      </c>
      <c r="F2" s="169" t="s">
        <v>65</v>
      </c>
      <c r="G2" s="152" t="s">
        <v>66</v>
      </c>
      <c r="H2" s="169" t="s">
        <v>67</v>
      </c>
      <c r="I2" s="169" t="s">
        <v>68</v>
      </c>
      <c r="J2" s="169" t="s">
        <v>69</v>
      </c>
      <c r="K2" s="169" t="s">
        <v>70</v>
      </c>
      <c r="L2" s="169" t="s">
        <v>71</v>
      </c>
      <c r="M2" s="169" t="s">
        <v>72</v>
      </c>
      <c r="N2" s="169" t="s">
        <v>73</v>
      </c>
      <c r="O2" s="169" t="s">
        <v>74</v>
      </c>
      <c r="P2" s="169" t="s">
        <v>75</v>
      </c>
      <c r="Q2" s="169" t="s">
        <v>76</v>
      </c>
      <c r="R2" s="152" t="s">
        <v>77</v>
      </c>
      <c r="S2" s="152" t="s">
        <v>78</v>
      </c>
      <c r="T2" s="152" t="s">
        <v>79</v>
      </c>
      <c r="U2" s="152" t="s">
        <v>80</v>
      </c>
    </row>
    <row r="3" spans="1:21" s="1" customFormat="1" ht="20.25" customHeight="1">
      <c r="A3" s="160" t="s">
        <v>81</v>
      </c>
      <c r="B3" s="300">
        <v>5871</v>
      </c>
      <c r="C3" s="300">
        <v>5934</v>
      </c>
      <c r="D3" s="300">
        <v>5737</v>
      </c>
      <c r="E3" s="300">
        <v>5649</v>
      </c>
      <c r="F3" s="300">
        <v>6123</v>
      </c>
      <c r="G3" s="302">
        <v>5862.8</v>
      </c>
      <c r="H3" s="300">
        <v>5874.944262636096</v>
      </c>
      <c r="I3" s="300">
        <v>6055.9023250409227</v>
      </c>
      <c r="J3" s="300">
        <v>6652</v>
      </c>
      <c r="K3" s="300">
        <v>5762</v>
      </c>
      <c r="L3" s="300">
        <v>5662</v>
      </c>
      <c r="M3" s="300">
        <v>3677</v>
      </c>
      <c r="N3" s="300">
        <v>3837</v>
      </c>
      <c r="O3" s="300">
        <v>4555</v>
      </c>
      <c r="P3" s="300">
        <v>4555</v>
      </c>
      <c r="Q3" s="300">
        <v>4449</v>
      </c>
      <c r="R3" s="131">
        <v>-2.327113062568606E-2</v>
      </c>
      <c r="S3" s="162" t="s">
        <v>82</v>
      </c>
      <c r="T3" s="134">
        <v>-0.24114757453776356</v>
      </c>
      <c r="U3" s="162" t="s">
        <v>58</v>
      </c>
    </row>
    <row r="4" spans="1:21" s="1" customFormat="1" ht="20.25" customHeight="1">
      <c r="A4" s="160" t="s">
        <v>83</v>
      </c>
      <c r="B4" s="300">
        <v>4359</v>
      </c>
      <c r="C4" s="300">
        <v>4893</v>
      </c>
      <c r="D4" s="300">
        <v>5018</v>
      </c>
      <c r="E4" s="300">
        <v>5036</v>
      </c>
      <c r="F4" s="300">
        <v>5610</v>
      </c>
      <c r="G4" s="302">
        <v>4983.2</v>
      </c>
      <c r="H4" s="300">
        <v>4879.4158738594015</v>
      </c>
      <c r="I4" s="300">
        <v>4822.3233183836182</v>
      </c>
      <c r="J4" s="300">
        <v>4521</v>
      </c>
      <c r="K4" s="300">
        <v>4755</v>
      </c>
      <c r="L4" s="300">
        <v>4634</v>
      </c>
      <c r="M4" s="300">
        <v>4789</v>
      </c>
      <c r="N4" s="300">
        <v>5277</v>
      </c>
      <c r="O4" s="300">
        <v>5091</v>
      </c>
      <c r="P4" s="300">
        <v>4802</v>
      </c>
      <c r="Q4" s="300">
        <v>4878</v>
      </c>
      <c r="R4" s="131">
        <v>1.6034985422740525E-2</v>
      </c>
      <c r="S4" s="162" t="s">
        <v>82</v>
      </c>
      <c r="T4" s="134">
        <v>-2.0910258468453971E-2</v>
      </c>
      <c r="U4" s="162" t="s">
        <v>82</v>
      </c>
    </row>
    <row r="5" spans="1:21" s="1" customFormat="1" ht="20.25" customHeight="1">
      <c r="A5" s="160" t="s">
        <v>84</v>
      </c>
      <c r="B5" s="300">
        <v>4726</v>
      </c>
      <c r="C5" s="300">
        <v>5096</v>
      </c>
      <c r="D5" s="300">
        <v>5068</v>
      </c>
      <c r="E5" s="300">
        <v>4910</v>
      </c>
      <c r="F5" s="300">
        <v>5711</v>
      </c>
      <c r="G5" s="302">
        <v>5102.2</v>
      </c>
      <c r="H5" s="300">
        <v>5944.7326623765875</v>
      </c>
      <c r="I5" s="300">
        <v>5737.584015278946</v>
      </c>
      <c r="J5" s="300">
        <v>5577</v>
      </c>
      <c r="K5" s="300">
        <v>5122</v>
      </c>
      <c r="L5" s="300">
        <v>5391</v>
      </c>
      <c r="M5" s="300">
        <v>5012</v>
      </c>
      <c r="N5" s="300">
        <v>6006</v>
      </c>
      <c r="O5" s="300">
        <v>6151</v>
      </c>
      <c r="P5" s="300">
        <v>6406</v>
      </c>
      <c r="Q5" s="300">
        <v>5162</v>
      </c>
      <c r="R5" s="131">
        <v>-0.1941929441148923</v>
      </c>
      <c r="S5" s="162" t="s">
        <v>58</v>
      </c>
      <c r="T5" s="134">
        <v>1.1720434322449175E-2</v>
      </c>
      <c r="U5" s="162" t="s">
        <v>82</v>
      </c>
    </row>
    <row r="6" spans="1:21" s="1" customFormat="1" ht="20.25" customHeight="1">
      <c r="A6" s="160" t="s">
        <v>85</v>
      </c>
      <c r="B6" s="300">
        <v>13718</v>
      </c>
      <c r="C6" s="300">
        <v>12867</v>
      </c>
      <c r="D6" s="300">
        <v>12730</v>
      </c>
      <c r="E6" s="300">
        <v>11122</v>
      </c>
      <c r="F6" s="300">
        <v>12898</v>
      </c>
      <c r="G6" s="302">
        <v>12667</v>
      </c>
      <c r="H6" s="300">
        <v>12902.959276077498</v>
      </c>
      <c r="I6" s="300">
        <v>12998.970915271519</v>
      </c>
      <c r="J6" s="300">
        <v>12375</v>
      </c>
      <c r="K6" s="300">
        <v>11804</v>
      </c>
      <c r="L6" s="300">
        <v>11457</v>
      </c>
      <c r="M6" s="300">
        <v>8852</v>
      </c>
      <c r="N6" s="300">
        <v>9100</v>
      </c>
      <c r="O6" s="300">
        <v>9002</v>
      </c>
      <c r="P6" s="300">
        <v>8028</v>
      </c>
      <c r="Q6" s="300">
        <v>7373</v>
      </c>
      <c r="R6" s="131">
        <v>-8.1589436970602891E-2</v>
      </c>
      <c r="S6" s="162" t="s">
        <v>58</v>
      </c>
      <c r="T6" s="134">
        <v>-0.41793637009552381</v>
      </c>
      <c r="U6" s="162" t="s">
        <v>58</v>
      </c>
    </row>
    <row r="7" spans="1:21" s="1" customFormat="1" ht="20.25" customHeight="1">
      <c r="A7" s="160" t="s">
        <v>86</v>
      </c>
      <c r="B7" s="300">
        <v>1526</v>
      </c>
      <c r="C7" s="300">
        <v>1602</v>
      </c>
      <c r="D7" s="300">
        <v>1445</v>
      </c>
      <c r="E7" s="300">
        <v>1604</v>
      </c>
      <c r="F7" s="300">
        <v>1723</v>
      </c>
      <c r="G7" s="302">
        <v>1580</v>
      </c>
      <c r="H7" s="300">
        <v>1740.8020182918301</v>
      </c>
      <c r="I7" s="300">
        <v>1739.7492683871253</v>
      </c>
      <c r="J7" s="300">
        <v>1752</v>
      </c>
      <c r="K7" s="300">
        <v>1451</v>
      </c>
      <c r="L7" s="300">
        <v>1174</v>
      </c>
      <c r="M7" s="300">
        <v>645</v>
      </c>
      <c r="N7" s="300">
        <v>866</v>
      </c>
      <c r="O7" s="300">
        <v>1015</v>
      </c>
      <c r="P7" s="300">
        <v>1049</v>
      </c>
      <c r="Q7" s="300">
        <v>1023</v>
      </c>
      <c r="R7" s="131">
        <v>-2.4785510009532889E-2</v>
      </c>
      <c r="S7" s="162" t="s">
        <v>82</v>
      </c>
      <c r="T7" s="134">
        <v>-0.35253164556962024</v>
      </c>
      <c r="U7" s="162" t="s">
        <v>58</v>
      </c>
    </row>
    <row r="8" spans="1:21" s="1" customFormat="1" ht="20.25" customHeight="1">
      <c r="A8" s="160" t="s">
        <v>87</v>
      </c>
      <c r="B8" s="300">
        <v>140</v>
      </c>
      <c r="C8" s="300">
        <v>181</v>
      </c>
      <c r="D8" s="300">
        <v>132</v>
      </c>
      <c r="E8" s="300">
        <v>133</v>
      </c>
      <c r="F8" s="300">
        <v>129</v>
      </c>
      <c r="G8" s="302">
        <v>143</v>
      </c>
      <c r="H8" s="300">
        <v>68.465103263653674</v>
      </c>
      <c r="I8" s="300">
        <v>146.52331832798768</v>
      </c>
      <c r="J8" s="300">
        <v>175</v>
      </c>
      <c r="K8" s="300">
        <v>106</v>
      </c>
      <c r="L8" s="300">
        <v>149</v>
      </c>
      <c r="M8" s="300">
        <v>308</v>
      </c>
      <c r="N8" s="300">
        <v>491</v>
      </c>
      <c r="O8" s="300">
        <v>381</v>
      </c>
      <c r="P8" s="300">
        <v>337</v>
      </c>
      <c r="Q8" s="300">
        <v>307</v>
      </c>
      <c r="R8" s="131">
        <v>-9.1988130563798218E-2</v>
      </c>
      <c r="S8" s="162" t="s">
        <v>82</v>
      </c>
      <c r="T8" s="134">
        <v>1.1398601398601398</v>
      </c>
      <c r="U8" s="162" t="s">
        <v>58</v>
      </c>
    </row>
    <row r="9" spans="1:21" s="1" customFormat="1" ht="20.25" customHeight="1">
      <c r="A9" s="160" t="s">
        <v>88</v>
      </c>
      <c r="B9" s="300">
        <v>652</v>
      </c>
      <c r="C9" s="300">
        <v>703</v>
      </c>
      <c r="D9" s="300">
        <v>634</v>
      </c>
      <c r="E9" s="300">
        <v>623</v>
      </c>
      <c r="F9" s="300">
        <v>712</v>
      </c>
      <c r="G9" s="302">
        <v>664.8</v>
      </c>
      <c r="H9" s="300">
        <v>592.97378568946999</v>
      </c>
      <c r="I9" s="300">
        <v>625.25552343967615</v>
      </c>
      <c r="J9" s="300">
        <v>611</v>
      </c>
      <c r="K9" s="300">
        <v>634</v>
      </c>
      <c r="L9" s="300">
        <v>594</v>
      </c>
      <c r="M9" s="300">
        <v>485</v>
      </c>
      <c r="N9" s="300">
        <v>495</v>
      </c>
      <c r="O9" s="300">
        <v>435</v>
      </c>
      <c r="P9" s="300">
        <v>462</v>
      </c>
      <c r="Q9" s="300">
        <v>431</v>
      </c>
      <c r="R9" s="131">
        <v>-6.7099567099567103E-2</v>
      </c>
      <c r="S9" s="162" t="s">
        <v>82</v>
      </c>
      <c r="T9" s="134">
        <v>-0.3516847172081829</v>
      </c>
      <c r="U9" s="162" t="s">
        <v>58</v>
      </c>
    </row>
    <row r="10" spans="1:21" s="1" customFormat="1" ht="20.25" customHeight="1">
      <c r="A10" s="160" t="s">
        <v>102</v>
      </c>
      <c r="B10" s="303" t="s">
        <v>56</v>
      </c>
      <c r="C10" s="303" t="s">
        <v>56</v>
      </c>
      <c r="D10" s="303" t="s">
        <v>56</v>
      </c>
      <c r="E10" s="303" t="s">
        <v>56</v>
      </c>
      <c r="F10" s="303" t="s">
        <v>56</v>
      </c>
      <c r="G10" s="342">
        <v>0</v>
      </c>
      <c r="H10" s="303" t="s">
        <v>56</v>
      </c>
      <c r="I10" s="303" t="s">
        <v>56</v>
      </c>
      <c r="J10" s="300">
        <v>684</v>
      </c>
      <c r="K10" s="300">
        <v>529</v>
      </c>
      <c r="L10" s="300">
        <v>425</v>
      </c>
      <c r="M10" s="300">
        <v>231</v>
      </c>
      <c r="N10" s="300">
        <v>257</v>
      </c>
      <c r="O10" s="300">
        <v>258</v>
      </c>
      <c r="P10" s="300">
        <v>205</v>
      </c>
      <c r="Q10" s="300">
        <v>180</v>
      </c>
      <c r="R10" s="131">
        <v>-0.12195121951219512</v>
      </c>
      <c r="S10" s="162" t="s">
        <v>82</v>
      </c>
      <c r="T10" s="134" t="s">
        <v>56</v>
      </c>
      <c r="U10" s="162" t="s">
        <v>56</v>
      </c>
    </row>
    <row r="11" spans="1:21" s="1" customFormat="1" ht="20.25" customHeight="1">
      <c r="A11" s="160" t="s">
        <v>90</v>
      </c>
      <c r="B11" s="300">
        <v>494</v>
      </c>
      <c r="C11" s="300">
        <v>615</v>
      </c>
      <c r="D11" s="300">
        <v>604</v>
      </c>
      <c r="E11" s="300">
        <v>593</v>
      </c>
      <c r="F11" s="300">
        <v>700</v>
      </c>
      <c r="G11" s="302">
        <v>601.20000000000005</v>
      </c>
      <c r="H11" s="300">
        <v>902.63698086333113</v>
      </c>
      <c r="I11" s="300">
        <v>860.51359260875256</v>
      </c>
      <c r="J11" s="300">
        <v>220</v>
      </c>
      <c r="K11" s="300">
        <v>428</v>
      </c>
      <c r="L11" s="300">
        <v>521</v>
      </c>
      <c r="M11" s="300">
        <v>346</v>
      </c>
      <c r="N11" s="300">
        <v>342</v>
      </c>
      <c r="O11" s="300">
        <v>319</v>
      </c>
      <c r="P11" s="300">
        <v>332</v>
      </c>
      <c r="Q11" s="300">
        <v>216</v>
      </c>
      <c r="R11" s="131">
        <v>-0.3493975903614458</v>
      </c>
      <c r="S11" s="162" t="s">
        <v>58</v>
      </c>
      <c r="T11" s="134">
        <v>-0.64071856287425155</v>
      </c>
      <c r="U11" s="162" t="s">
        <v>58</v>
      </c>
    </row>
    <row r="12" spans="1:21" s="304" customFormat="1" ht="20.25" customHeight="1">
      <c r="A12" s="160" t="s">
        <v>91</v>
      </c>
      <c r="B12" s="301">
        <v>31486</v>
      </c>
      <c r="C12" s="301">
        <v>31891</v>
      </c>
      <c r="D12" s="301">
        <v>31368</v>
      </c>
      <c r="E12" s="301">
        <v>29670</v>
      </c>
      <c r="F12" s="301">
        <v>33606</v>
      </c>
      <c r="G12" s="343">
        <v>31604.2</v>
      </c>
      <c r="H12" s="301">
        <v>32906.929963057868</v>
      </c>
      <c r="I12" s="301">
        <v>32986.822276738545</v>
      </c>
      <c r="J12" s="301">
        <v>32567</v>
      </c>
      <c r="K12" s="301">
        <v>30591</v>
      </c>
      <c r="L12" s="301">
        <v>30007</v>
      </c>
      <c r="M12" s="301">
        <v>24345</v>
      </c>
      <c r="N12" s="301">
        <v>26671</v>
      </c>
      <c r="O12" s="301">
        <v>27207</v>
      </c>
      <c r="P12" s="301">
        <v>26176</v>
      </c>
      <c r="Q12" s="301">
        <v>24019</v>
      </c>
      <c r="R12" s="299">
        <v>-8.2403728606356974E-2</v>
      </c>
      <c r="S12" s="338" t="s">
        <v>58</v>
      </c>
      <c r="T12" s="295">
        <v>-0.24000607514191152</v>
      </c>
      <c r="U12" s="338" t="s">
        <v>58</v>
      </c>
    </row>
    <row r="13" spans="1:21" s="1" customFormat="1" ht="20.25" customHeight="1">
      <c r="A13" s="163" t="s">
        <v>66</v>
      </c>
      <c r="B13" s="302">
        <v>31604.2</v>
      </c>
      <c r="C13" s="302">
        <v>31604.2</v>
      </c>
      <c r="D13" s="302">
        <v>31604.2</v>
      </c>
      <c r="E13" s="302">
        <v>31604.2</v>
      </c>
      <c r="F13" s="302">
        <v>31604.2</v>
      </c>
      <c r="G13" s="302">
        <f>SUM(Table18[[#This Row],[2010]:[2014]])/5</f>
        <v>31604.2</v>
      </c>
      <c r="H13" s="302">
        <v>31604.2</v>
      </c>
      <c r="I13" s="302">
        <v>31604.2</v>
      </c>
      <c r="J13" s="302">
        <v>31604.2</v>
      </c>
      <c r="K13" s="302">
        <v>31604.2</v>
      </c>
      <c r="L13" s="302">
        <v>31604.2</v>
      </c>
      <c r="M13" s="302">
        <v>31604.2</v>
      </c>
      <c r="N13" s="302">
        <v>31604.2</v>
      </c>
      <c r="O13" s="302">
        <v>31604.2</v>
      </c>
      <c r="P13" s="302">
        <v>31604.2</v>
      </c>
      <c r="Q13" s="302">
        <v>31604.2</v>
      </c>
      <c r="R13" s="170" t="s">
        <v>56</v>
      </c>
      <c r="S13" s="185" t="s">
        <v>56</v>
      </c>
      <c r="T13" s="170" t="s">
        <v>56</v>
      </c>
      <c r="U13" s="185" t="s">
        <v>56</v>
      </c>
    </row>
    <row r="14" spans="1:21" s="1" customFormat="1" ht="20.25" customHeight="1">
      <c r="A14" s="125" t="s">
        <v>92</v>
      </c>
      <c r="B14" s="161"/>
      <c r="C14" s="161"/>
      <c r="D14" s="161"/>
      <c r="E14" s="161"/>
      <c r="F14" s="161"/>
      <c r="G14" s="161"/>
      <c r="H14" s="161"/>
      <c r="I14" s="161"/>
      <c r="J14" s="161"/>
      <c r="K14" s="161"/>
      <c r="L14" s="161"/>
      <c r="M14" s="161"/>
      <c r="N14" s="161"/>
      <c r="O14" s="161"/>
      <c r="P14" s="161"/>
      <c r="Q14" s="131"/>
      <c r="R14" s="161"/>
      <c r="S14" s="134"/>
      <c r="T14" s="161"/>
    </row>
    <row r="15" spans="1:21" s="1" customFormat="1" ht="20.25" customHeight="1"/>
    <row r="16" spans="1:21" s="1" customFormat="1" ht="20.25" customHeight="1"/>
    <row r="17" spans="1:24" s="1" customFormat="1" ht="20.25" customHeight="1"/>
    <row r="18" spans="1:24" s="1" customFormat="1" ht="20.25" customHeight="1"/>
    <row r="19" spans="1:24" s="1" customFormat="1" ht="20.25" customHeight="1"/>
    <row r="20" spans="1:24" s="1" customFormat="1" ht="20.25" customHeight="1"/>
    <row r="21" spans="1:24" s="1" customFormat="1" ht="20.25" customHeight="1"/>
    <row r="22" spans="1:24" s="1" customFormat="1" ht="20.25" customHeight="1"/>
    <row r="23" spans="1:24" s="1" customFormat="1" ht="15.5">
      <c r="M23" s="14"/>
    </row>
    <row r="24" spans="1:24" s="1" customFormat="1" ht="15.5"/>
    <row r="25" spans="1:24" s="1" customFormat="1" ht="15.5">
      <c r="M25" s="15"/>
      <c r="T25" s="31"/>
      <c r="U25" s="31"/>
      <c r="V25" s="31"/>
      <c r="W25" s="31"/>
      <c r="X25" s="31"/>
    </row>
    <row r="26" spans="1:24" s="1" customFormat="1" ht="15.5">
      <c r="M26" s="15"/>
      <c r="T26" s="31"/>
      <c r="U26" s="31"/>
      <c r="V26" s="31"/>
      <c r="W26" s="31"/>
      <c r="X26" s="31"/>
    </row>
    <row r="27" spans="1:24" s="1" customFormat="1" ht="15.5">
      <c r="M27" s="15"/>
    </row>
    <row r="28" spans="1:24" s="1" customFormat="1" ht="15.5">
      <c r="F28" s="1" t="s">
        <v>95</v>
      </c>
      <c r="M28" s="15"/>
    </row>
    <row r="29" spans="1:24" s="1" customFormat="1" ht="15.75" customHeight="1">
      <c r="A29" s="173"/>
      <c r="M29" s="15"/>
    </row>
    <row r="30" spans="1:24" ht="17.5"/>
    <row r="31" spans="1:24" ht="17.5">
      <c r="O31"/>
    </row>
    <row r="32" spans="1:24" ht="17.5">
      <c r="O32"/>
    </row>
    <row r="33" spans="1:15" ht="17.5">
      <c r="O33"/>
    </row>
    <row r="34" spans="1:15" ht="17.5">
      <c r="O34"/>
    </row>
    <row r="35" spans="1:15" ht="17.5">
      <c r="O35"/>
    </row>
    <row r="36" spans="1:15" ht="17.5">
      <c r="O36"/>
    </row>
    <row r="43" spans="1:15" ht="21" customHeight="1">
      <c r="A43" s="179"/>
    </row>
    <row r="44" spans="1:15" ht="21" customHeight="1">
      <c r="A44" s="180" t="s">
        <v>59</v>
      </c>
    </row>
    <row r="45" spans="1:15" ht="21" customHeight="1">
      <c r="A45" s="92" t="s">
        <v>50</v>
      </c>
    </row>
  </sheetData>
  <phoneticPr fontId="43" type="noConversion"/>
  <hyperlinks>
    <hyperlink ref="A44" location="'Table of contents'!A1" display="Back to Table of contents" xr:uid="{1C9AE318-440D-4CD8-B4B8-3E6C1DCC4FEC}"/>
    <hyperlink ref="A45" r:id="rId1" display="Back to Road Casualties in Greater London 2024 Factsheet" xr:uid="{438B349D-E2D0-4BD5-BF64-9C809890C4F7}"/>
  </hyperlinks>
  <pageMargins left="0.19" right="0.18" top="1" bottom="1" header="0.5" footer="0.5"/>
  <pageSetup paperSize="9" scale="35" orientation="landscape" horizontalDpi="300" verticalDpi="300" r:id="rId2"/>
  <headerFooter alignWithMargins="0">
    <oddHeader>&amp;R&amp;"Arial,Bold Italic"&amp;11ITEM 8.1</oddHeader>
  </headerFooter>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F23B2-F704-4502-953E-97ECC9F16472}">
  <sheetPr>
    <tabColor rgb="FF92D050"/>
  </sheetPr>
  <dimension ref="A1:Z46"/>
  <sheetViews>
    <sheetView zoomScaleNormal="100" workbookViewId="0">
      <selection activeCell="S18" sqref="S18"/>
    </sheetView>
  </sheetViews>
  <sheetFormatPr defaultRowHeight="21" customHeight="1"/>
  <cols>
    <col min="1" max="1" width="23.84375" style="4" customWidth="1"/>
    <col min="2" max="4" width="7.3046875" style="4" customWidth="1"/>
    <col min="5" max="5" width="7.3046875" style="11" customWidth="1"/>
    <col min="6" max="6" width="7.3046875" style="4" customWidth="1"/>
    <col min="7" max="7" width="8.4609375" style="4" customWidth="1"/>
    <col min="8" max="16" width="7.3046875" style="4" customWidth="1"/>
    <col min="17" max="17" width="7.23046875" style="4" customWidth="1"/>
    <col min="18" max="18" width="14.69140625" style="4" customWidth="1"/>
    <col min="19" max="19" width="20.53515625" style="4" customWidth="1"/>
    <col min="20" max="20" width="14.3046875" style="4" customWidth="1"/>
    <col min="21" max="21" width="20.3046875" style="4" customWidth="1"/>
    <col min="22" max="249" width="9.23046875" style="4"/>
    <col min="250" max="250" width="22.23046875" style="4" bestFit="1" customWidth="1"/>
    <col min="251" max="251" width="8.23046875" style="4" customWidth="1"/>
    <col min="252" max="253" width="9.23046875" style="4"/>
    <col min="254" max="254" width="10" style="4" customWidth="1"/>
    <col min="255" max="256" width="9.23046875" style="4"/>
    <col min="257" max="257" width="8.23046875" style="4" customWidth="1"/>
    <col min="258" max="259" width="9.23046875" style="4"/>
    <col min="260" max="260" width="7.765625" style="4" customWidth="1"/>
    <col min="261" max="263" width="9.23046875" style="4"/>
    <col min="264" max="264" width="7.765625" style="4" customWidth="1"/>
    <col min="265" max="505" width="9.23046875" style="4"/>
    <col min="506" max="506" width="22.23046875" style="4" bestFit="1" customWidth="1"/>
    <col min="507" max="507" width="8.23046875" style="4" customWidth="1"/>
    <col min="508" max="509" width="9.23046875" style="4"/>
    <col min="510" max="510" width="10" style="4" customWidth="1"/>
    <col min="511" max="512" width="9.23046875" style="4"/>
    <col min="513" max="513" width="8.23046875" style="4" customWidth="1"/>
    <col min="514" max="515" width="9.23046875" style="4"/>
    <col min="516" max="516" width="7.765625" style="4" customWidth="1"/>
    <col min="517" max="519" width="9.23046875" style="4"/>
    <col min="520" max="520" width="7.765625" style="4" customWidth="1"/>
    <col min="521" max="761" width="9.23046875" style="4"/>
    <col min="762" max="762" width="22.23046875" style="4" bestFit="1" customWidth="1"/>
    <col min="763" max="763" width="8.23046875" style="4" customWidth="1"/>
    <col min="764" max="765" width="9.23046875" style="4"/>
    <col min="766" max="766" width="10" style="4" customWidth="1"/>
    <col min="767" max="768" width="9.23046875" style="4"/>
    <col min="769" max="769" width="8.23046875" style="4" customWidth="1"/>
    <col min="770" max="771" width="9.23046875" style="4"/>
    <col min="772" max="772" width="7.765625" style="4" customWidth="1"/>
    <col min="773" max="775" width="9.23046875" style="4"/>
    <col min="776" max="776" width="7.765625" style="4" customWidth="1"/>
    <col min="777" max="1017" width="9.23046875" style="4"/>
    <col min="1018" max="1018" width="22.23046875" style="4" bestFit="1" customWidth="1"/>
    <col min="1019" max="1019" width="8.23046875" style="4" customWidth="1"/>
    <col min="1020" max="1021" width="9.23046875" style="4"/>
    <col min="1022" max="1022" width="10" style="4" customWidth="1"/>
    <col min="1023" max="1024" width="9.23046875" style="4"/>
    <col min="1025" max="1025" width="8.23046875" style="4" customWidth="1"/>
    <col min="1026" max="1027" width="9.23046875" style="4"/>
    <col min="1028" max="1028" width="7.765625" style="4" customWidth="1"/>
    <col min="1029" max="1031" width="9.23046875" style="4"/>
    <col min="1032" max="1032" width="7.765625" style="4" customWidth="1"/>
    <col min="1033" max="1273" width="9.23046875" style="4"/>
    <col min="1274" max="1274" width="22.23046875" style="4" bestFit="1" customWidth="1"/>
    <col min="1275" max="1275" width="8.23046875" style="4" customWidth="1"/>
    <col min="1276" max="1277" width="9.23046875" style="4"/>
    <col min="1278" max="1278" width="10" style="4" customWidth="1"/>
    <col min="1279" max="1280" width="9.23046875" style="4"/>
    <col min="1281" max="1281" width="8.23046875" style="4" customWidth="1"/>
    <col min="1282" max="1283" width="9.23046875" style="4"/>
    <col min="1284" max="1284" width="7.765625" style="4" customWidth="1"/>
    <col min="1285" max="1287" width="9.23046875" style="4"/>
    <col min="1288" max="1288" width="7.765625" style="4" customWidth="1"/>
    <col min="1289" max="1529" width="9.23046875" style="4"/>
    <col min="1530" max="1530" width="22.23046875" style="4" bestFit="1" customWidth="1"/>
    <col min="1531" max="1531" width="8.23046875" style="4" customWidth="1"/>
    <col min="1532" max="1533" width="9.23046875" style="4"/>
    <col min="1534" max="1534" width="10" style="4" customWidth="1"/>
    <col min="1535" max="1536" width="9.23046875" style="4"/>
    <col min="1537" max="1537" width="8.23046875" style="4" customWidth="1"/>
    <col min="1538" max="1539" width="9.23046875" style="4"/>
    <col min="1540" max="1540" width="7.765625" style="4" customWidth="1"/>
    <col min="1541" max="1543" width="9.23046875" style="4"/>
    <col min="1544" max="1544" width="7.765625" style="4" customWidth="1"/>
    <col min="1545" max="1785" width="9.23046875" style="4"/>
    <col min="1786" max="1786" width="22.23046875" style="4" bestFit="1" customWidth="1"/>
    <col min="1787" max="1787" width="8.23046875" style="4" customWidth="1"/>
    <col min="1788" max="1789" width="9.23046875" style="4"/>
    <col min="1790" max="1790" width="10" style="4" customWidth="1"/>
    <col min="1791" max="1792" width="9.23046875" style="4"/>
    <col min="1793" max="1793" width="8.23046875" style="4" customWidth="1"/>
    <col min="1794" max="1795" width="9.23046875" style="4"/>
    <col min="1796" max="1796" width="7.765625" style="4" customWidth="1"/>
    <col min="1797" max="1799" width="9.23046875" style="4"/>
    <col min="1800" max="1800" width="7.765625" style="4" customWidth="1"/>
    <col min="1801" max="2041" width="9.23046875" style="4"/>
    <col min="2042" max="2042" width="22.23046875" style="4" bestFit="1" customWidth="1"/>
    <col min="2043" max="2043" width="8.23046875" style="4" customWidth="1"/>
    <col min="2044" max="2045" width="9.23046875" style="4"/>
    <col min="2046" max="2046" width="10" style="4" customWidth="1"/>
    <col min="2047" max="2048" width="9.23046875" style="4"/>
    <col min="2049" max="2049" width="8.23046875" style="4" customWidth="1"/>
    <col min="2050" max="2051" width="9.23046875" style="4"/>
    <col min="2052" max="2052" width="7.765625" style="4" customWidth="1"/>
    <col min="2053" max="2055" width="9.23046875" style="4"/>
    <col min="2056" max="2056" width="7.765625" style="4" customWidth="1"/>
    <col min="2057" max="2297" width="9.23046875" style="4"/>
    <col min="2298" max="2298" width="22.23046875" style="4" bestFit="1" customWidth="1"/>
    <col min="2299" max="2299" width="8.23046875" style="4" customWidth="1"/>
    <col min="2300" max="2301" width="9.23046875" style="4"/>
    <col min="2302" max="2302" width="10" style="4" customWidth="1"/>
    <col min="2303" max="2304" width="9.23046875" style="4"/>
    <col min="2305" max="2305" width="8.23046875" style="4" customWidth="1"/>
    <col min="2306" max="2307" width="9.23046875" style="4"/>
    <col min="2308" max="2308" width="7.765625" style="4" customWidth="1"/>
    <col min="2309" max="2311" width="9.23046875" style="4"/>
    <col min="2312" max="2312" width="7.765625" style="4" customWidth="1"/>
    <col min="2313" max="2553" width="9.23046875" style="4"/>
    <col min="2554" max="2554" width="22.23046875" style="4" bestFit="1" customWidth="1"/>
    <col min="2555" max="2555" width="8.23046875" style="4" customWidth="1"/>
    <col min="2556" max="2557" width="9.23046875" style="4"/>
    <col min="2558" max="2558" width="10" style="4" customWidth="1"/>
    <col min="2559" max="2560" width="9.23046875" style="4"/>
    <col min="2561" max="2561" width="8.23046875" style="4" customWidth="1"/>
    <col min="2562" max="2563" width="9.23046875" style="4"/>
    <col min="2564" max="2564" width="7.765625" style="4" customWidth="1"/>
    <col min="2565" max="2567" width="9.23046875" style="4"/>
    <col min="2568" max="2568" width="7.765625" style="4" customWidth="1"/>
    <col min="2569" max="2809" width="9.23046875" style="4"/>
    <col min="2810" max="2810" width="22.23046875" style="4" bestFit="1" customWidth="1"/>
    <col min="2811" max="2811" width="8.23046875" style="4" customWidth="1"/>
    <col min="2812" max="2813" width="9.23046875" style="4"/>
    <col min="2814" max="2814" width="10" style="4" customWidth="1"/>
    <col min="2815" max="2816" width="9.23046875" style="4"/>
    <col min="2817" max="2817" width="8.23046875" style="4" customWidth="1"/>
    <col min="2818" max="2819" width="9.23046875" style="4"/>
    <col min="2820" max="2820" width="7.765625" style="4" customWidth="1"/>
    <col min="2821" max="2823" width="9.23046875" style="4"/>
    <col min="2824" max="2824" width="7.765625" style="4" customWidth="1"/>
    <col min="2825" max="3065" width="9.23046875" style="4"/>
    <col min="3066" max="3066" width="22.23046875" style="4" bestFit="1" customWidth="1"/>
    <col min="3067" max="3067" width="8.23046875" style="4" customWidth="1"/>
    <col min="3068" max="3069" width="9.23046875" style="4"/>
    <col min="3070" max="3070" width="10" style="4" customWidth="1"/>
    <col min="3071" max="3072" width="9.23046875" style="4"/>
    <col min="3073" max="3073" width="8.23046875" style="4" customWidth="1"/>
    <col min="3074" max="3075" width="9.23046875" style="4"/>
    <col min="3076" max="3076" width="7.765625" style="4" customWidth="1"/>
    <col min="3077" max="3079" width="9.23046875" style="4"/>
    <col min="3080" max="3080" width="7.765625" style="4" customWidth="1"/>
    <col min="3081" max="3321" width="9.23046875" style="4"/>
    <col min="3322" max="3322" width="22.23046875" style="4" bestFit="1" customWidth="1"/>
    <col min="3323" max="3323" width="8.23046875" style="4" customWidth="1"/>
    <col min="3324" max="3325" width="9.23046875" style="4"/>
    <col min="3326" max="3326" width="10" style="4" customWidth="1"/>
    <col min="3327" max="3328" width="9.23046875" style="4"/>
    <col min="3329" max="3329" width="8.23046875" style="4" customWidth="1"/>
    <col min="3330" max="3331" width="9.23046875" style="4"/>
    <col min="3332" max="3332" width="7.765625" style="4" customWidth="1"/>
    <col min="3333" max="3335" width="9.23046875" style="4"/>
    <col min="3336" max="3336" width="7.765625" style="4" customWidth="1"/>
    <col min="3337" max="3577" width="9.23046875" style="4"/>
    <col min="3578" max="3578" width="22.23046875" style="4" bestFit="1" customWidth="1"/>
    <col min="3579" max="3579" width="8.23046875" style="4" customWidth="1"/>
    <col min="3580" max="3581" width="9.23046875" style="4"/>
    <col min="3582" max="3582" width="10" style="4" customWidth="1"/>
    <col min="3583" max="3584" width="9.23046875" style="4"/>
    <col min="3585" max="3585" width="8.23046875" style="4" customWidth="1"/>
    <col min="3586" max="3587" width="9.23046875" style="4"/>
    <col min="3588" max="3588" width="7.765625" style="4" customWidth="1"/>
    <col min="3589" max="3591" width="9.23046875" style="4"/>
    <col min="3592" max="3592" width="7.765625" style="4" customWidth="1"/>
    <col min="3593" max="3833" width="9.23046875" style="4"/>
    <col min="3834" max="3834" width="22.23046875" style="4" bestFit="1" customWidth="1"/>
    <col min="3835" max="3835" width="8.23046875" style="4" customWidth="1"/>
    <col min="3836" max="3837" width="9.23046875" style="4"/>
    <col min="3838" max="3838" width="10" style="4" customWidth="1"/>
    <col min="3839" max="3840" width="9.23046875" style="4"/>
    <col min="3841" max="3841" width="8.23046875" style="4" customWidth="1"/>
    <col min="3842" max="3843" width="9.23046875" style="4"/>
    <col min="3844" max="3844" width="7.765625" style="4" customWidth="1"/>
    <col min="3845" max="3847" width="9.23046875" style="4"/>
    <col min="3848" max="3848" width="7.765625" style="4" customWidth="1"/>
    <col min="3849" max="4089" width="9.23046875" style="4"/>
    <col min="4090" max="4090" width="22.23046875" style="4" bestFit="1" customWidth="1"/>
    <col min="4091" max="4091" width="8.23046875" style="4" customWidth="1"/>
    <col min="4092" max="4093" width="9.23046875" style="4"/>
    <col min="4094" max="4094" width="10" style="4" customWidth="1"/>
    <col min="4095" max="4096" width="9.23046875" style="4"/>
    <col min="4097" max="4097" width="8.23046875" style="4" customWidth="1"/>
    <col min="4098" max="4099" width="9.23046875" style="4"/>
    <col min="4100" max="4100" width="7.765625" style="4" customWidth="1"/>
    <col min="4101" max="4103" width="9.23046875" style="4"/>
    <col min="4104" max="4104" width="7.765625" style="4" customWidth="1"/>
    <col min="4105" max="4345" width="9.23046875" style="4"/>
    <col min="4346" max="4346" width="22.23046875" style="4" bestFit="1" customWidth="1"/>
    <col min="4347" max="4347" width="8.23046875" style="4" customWidth="1"/>
    <col min="4348" max="4349" width="9.23046875" style="4"/>
    <col min="4350" max="4350" width="10" style="4" customWidth="1"/>
    <col min="4351" max="4352" width="9.23046875" style="4"/>
    <col min="4353" max="4353" width="8.23046875" style="4" customWidth="1"/>
    <col min="4354" max="4355" width="9.23046875" style="4"/>
    <col min="4356" max="4356" width="7.765625" style="4" customWidth="1"/>
    <col min="4357" max="4359" width="9.23046875" style="4"/>
    <col min="4360" max="4360" width="7.765625" style="4" customWidth="1"/>
    <col min="4361" max="4601" width="9.23046875" style="4"/>
    <col min="4602" max="4602" width="22.23046875" style="4" bestFit="1" customWidth="1"/>
    <col min="4603" max="4603" width="8.23046875" style="4" customWidth="1"/>
    <col min="4604" max="4605" width="9.23046875" style="4"/>
    <col min="4606" max="4606" width="10" style="4" customWidth="1"/>
    <col min="4607" max="4608" width="9.23046875" style="4"/>
    <col min="4609" max="4609" width="8.23046875" style="4" customWidth="1"/>
    <col min="4610" max="4611" width="9.23046875" style="4"/>
    <col min="4612" max="4612" width="7.765625" style="4" customWidth="1"/>
    <col min="4613" max="4615" width="9.23046875" style="4"/>
    <col min="4616" max="4616" width="7.765625" style="4" customWidth="1"/>
    <col min="4617" max="4857" width="9.23046875" style="4"/>
    <col min="4858" max="4858" width="22.23046875" style="4" bestFit="1" customWidth="1"/>
    <col min="4859" max="4859" width="8.23046875" style="4" customWidth="1"/>
    <col min="4860" max="4861" width="9.23046875" style="4"/>
    <col min="4862" max="4862" width="10" style="4" customWidth="1"/>
    <col min="4863" max="4864" width="9.23046875" style="4"/>
    <col min="4865" max="4865" width="8.23046875" style="4" customWidth="1"/>
    <col min="4866" max="4867" width="9.23046875" style="4"/>
    <col min="4868" max="4868" width="7.765625" style="4" customWidth="1"/>
    <col min="4869" max="4871" width="9.23046875" style="4"/>
    <col min="4872" max="4872" width="7.765625" style="4" customWidth="1"/>
    <col min="4873" max="5113" width="9.23046875" style="4"/>
    <col min="5114" max="5114" width="22.23046875" style="4" bestFit="1" customWidth="1"/>
    <col min="5115" max="5115" width="8.23046875" style="4" customWidth="1"/>
    <col min="5116" max="5117" width="9.23046875" style="4"/>
    <col min="5118" max="5118" width="10" style="4" customWidth="1"/>
    <col min="5119" max="5120" width="9.23046875" style="4"/>
    <col min="5121" max="5121" width="8.23046875" style="4" customWidth="1"/>
    <col min="5122" max="5123" width="9.23046875" style="4"/>
    <col min="5124" max="5124" width="7.765625" style="4" customWidth="1"/>
    <col min="5125" max="5127" width="9.23046875" style="4"/>
    <col min="5128" max="5128" width="7.765625" style="4" customWidth="1"/>
    <col min="5129" max="5369" width="9.23046875" style="4"/>
    <col min="5370" max="5370" width="22.23046875" style="4" bestFit="1" customWidth="1"/>
    <col min="5371" max="5371" width="8.23046875" style="4" customWidth="1"/>
    <col min="5372" max="5373" width="9.23046875" style="4"/>
    <col min="5374" max="5374" width="10" style="4" customWidth="1"/>
    <col min="5375" max="5376" width="9.23046875" style="4"/>
    <col min="5377" max="5377" width="8.23046875" style="4" customWidth="1"/>
    <col min="5378" max="5379" width="9.23046875" style="4"/>
    <col min="5380" max="5380" width="7.765625" style="4" customWidth="1"/>
    <col min="5381" max="5383" width="9.23046875" style="4"/>
    <col min="5384" max="5384" width="7.765625" style="4" customWidth="1"/>
    <col min="5385" max="5625" width="9.23046875" style="4"/>
    <col min="5626" max="5626" width="22.23046875" style="4" bestFit="1" customWidth="1"/>
    <col min="5627" max="5627" width="8.23046875" style="4" customWidth="1"/>
    <col min="5628" max="5629" width="9.23046875" style="4"/>
    <col min="5630" max="5630" width="10" style="4" customWidth="1"/>
    <col min="5631" max="5632" width="9.23046875" style="4"/>
    <col min="5633" max="5633" width="8.23046875" style="4" customWidth="1"/>
    <col min="5634" max="5635" width="9.23046875" style="4"/>
    <col min="5636" max="5636" width="7.765625" style="4" customWidth="1"/>
    <col min="5637" max="5639" width="9.23046875" style="4"/>
    <col min="5640" max="5640" width="7.765625" style="4" customWidth="1"/>
    <col min="5641" max="5881" width="9.23046875" style="4"/>
    <col min="5882" max="5882" width="22.23046875" style="4" bestFit="1" customWidth="1"/>
    <col min="5883" max="5883" width="8.23046875" style="4" customWidth="1"/>
    <col min="5884" max="5885" width="9.23046875" style="4"/>
    <col min="5886" max="5886" width="10" style="4" customWidth="1"/>
    <col min="5887" max="5888" width="9.23046875" style="4"/>
    <col min="5889" max="5889" width="8.23046875" style="4" customWidth="1"/>
    <col min="5890" max="5891" width="9.23046875" style="4"/>
    <col min="5892" max="5892" width="7.765625" style="4" customWidth="1"/>
    <col min="5893" max="5895" width="9.23046875" style="4"/>
    <col min="5896" max="5896" width="7.765625" style="4" customWidth="1"/>
    <col min="5897" max="6137" width="9.23046875" style="4"/>
    <col min="6138" max="6138" width="22.23046875" style="4" bestFit="1" customWidth="1"/>
    <col min="6139" max="6139" width="8.23046875" style="4" customWidth="1"/>
    <col min="6140" max="6141" width="9.23046875" style="4"/>
    <col min="6142" max="6142" width="10" style="4" customWidth="1"/>
    <col min="6143" max="6144" width="9.23046875" style="4"/>
    <col min="6145" max="6145" width="8.23046875" style="4" customWidth="1"/>
    <col min="6146" max="6147" width="9.23046875" style="4"/>
    <col min="6148" max="6148" width="7.765625" style="4" customWidth="1"/>
    <col min="6149" max="6151" width="9.23046875" style="4"/>
    <col min="6152" max="6152" width="7.765625" style="4" customWidth="1"/>
    <col min="6153" max="6393" width="9.23046875" style="4"/>
    <col min="6394" max="6394" width="22.23046875" style="4" bestFit="1" customWidth="1"/>
    <col min="6395" max="6395" width="8.23046875" style="4" customWidth="1"/>
    <col min="6396" max="6397" width="9.23046875" style="4"/>
    <col min="6398" max="6398" width="10" style="4" customWidth="1"/>
    <col min="6399" max="6400" width="9.23046875" style="4"/>
    <col min="6401" max="6401" width="8.23046875" style="4" customWidth="1"/>
    <col min="6402" max="6403" width="9.23046875" style="4"/>
    <col min="6404" max="6404" width="7.765625" style="4" customWidth="1"/>
    <col min="6405" max="6407" width="9.23046875" style="4"/>
    <col min="6408" max="6408" width="7.765625" style="4" customWidth="1"/>
    <col min="6409" max="6649" width="9.23046875" style="4"/>
    <col min="6650" max="6650" width="22.23046875" style="4" bestFit="1" customWidth="1"/>
    <col min="6651" max="6651" width="8.23046875" style="4" customWidth="1"/>
    <col min="6652" max="6653" width="9.23046875" style="4"/>
    <col min="6654" max="6654" width="10" style="4" customWidth="1"/>
    <col min="6655" max="6656" width="9.23046875" style="4"/>
    <col min="6657" max="6657" width="8.23046875" style="4" customWidth="1"/>
    <col min="6658" max="6659" width="9.23046875" style="4"/>
    <col min="6660" max="6660" width="7.765625" style="4" customWidth="1"/>
    <col min="6661" max="6663" width="9.23046875" style="4"/>
    <col min="6664" max="6664" width="7.765625" style="4" customWidth="1"/>
    <col min="6665" max="6905" width="9.23046875" style="4"/>
    <col min="6906" max="6906" width="22.23046875" style="4" bestFit="1" customWidth="1"/>
    <col min="6907" max="6907" width="8.23046875" style="4" customWidth="1"/>
    <col min="6908" max="6909" width="9.23046875" style="4"/>
    <col min="6910" max="6910" width="10" style="4" customWidth="1"/>
    <col min="6911" max="6912" width="9.23046875" style="4"/>
    <col min="6913" max="6913" width="8.23046875" style="4" customWidth="1"/>
    <col min="6914" max="6915" width="9.23046875" style="4"/>
    <col min="6916" max="6916" width="7.765625" style="4" customWidth="1"/>
    <col min="6917" max="6919" width="9.23046875" style="4"/>
    <col min="6920" max="6920" width="7.765625" style="4" customWidth="1"/>
    <col min="6921" max="7161" width="9.23046875" style="4"/>
    <col min="7162" max="7162" width="22.23046875" style="4" bestFit="1" customWidth="1"/>
    <col min="7163" max="7163" width="8.23046875" style="4" customWidth="1"/>
    <col min="7164" max="7165" width="9.23046875" style="4"/>
    <col min="7166" max="7166" width="10" style="4" customWidth="1"/>
    <col min="7167" max="7168" width="9.23046875" style="4"/>
    <col min="7169" max="7169" width="8.23046875" style="4" customWidth="1"/>
    <col min="7170" max="7171" width="9.23046875" style="4"/>
    <col min="7172" max="7172" width="7.765625" style="4" customWidth="1"/>
    <col min="7173" max="7175" width="9.23046875" style="4"/>
    <col min="7176" max="7176" width="7.765625" style="4" customWidth="1"/>
    <col min="7177" max="7417" width="9.23046875" style="4"/>
    <col min="7418" max="7418" width="22.23046875" style="4" bestFit="1" customWidth="1"/>
    <col min="7419" max="7419" width="8.23046875" style="4" customWidth="1"/>
    <col min="7420" max="7421" width="9.23046875" style="4"/>
    <col min="7422" max="7422" width="10" style="4" customWidth="1"/>
    <col min="7423" max="7424" width="9.23046875" style="4"/>
    <col min="7425" max="7425" width="8.23046875" style="4" customWidth="1"/>
    <col min="7426" max="7427" width="9.23046875" style="4"/>
    <col min="7428" max="7428" width="7.765625" style="4" customWidth="1"/>
    <col min="7429" max="7431" width="9.23046875" style="4"/>
    <col min="7432" max="7432" width="7.765625" style="4" customWidth="1"/>
    <col min="7433" max="7673" width="9.23046875" style="4"/>
    <col min="7674" max="7674" width="22.23046875" style="4" bestFit="1" customWidth="1"/>
    <col min="7675" max="7675" width="8.23046875" style="4" customWidth="1"/>
    <col min="7676" max="7677" width="9.23046875" style="4"/>
    <col min="7678" max="7678" width="10" style="4" customWidth="1"/>
    <col min="7679" max="7680" width="9.23046875" style="4"/>
    <col min="7681" max="7681" width="8.23046875" style="4" customWidth="1"/>
    <col min="7682" max="7683" width="9.23046875" style="4"/>
    <col min="7684" max="7684" width="7.765625" style="4" customWidth="1"/>
    <col min="7685" max="7687" width="9.23046875" style="4"/>
    <col min="7688" max="7688" width="7.765625" style="4" customWidth="1"/>
    <col min="7689" max="7929" width="9.23046875" style="4"/>
    <col min="7930" max="7930" width="22.23046875" style="4" bestFit="1" customWidth="1"/>
    <col min="7931" max="7931" width="8.23046875" style="4" customWidth="1"/>
    <col min="7932" max="7933" width="9.23046875" style="4"/>
    <col min="7934" max="7934" width="10" style="4" customWidth="1"/>
    <col min="7935" max="7936" width="9.23046875" style="4"/>
    <col min="7937" max="7937" width="8.23046875" style="4" customWidth="1"/>
    <col min="7938" max="7939" width="9.23046875" style="4"/>
    <col min="7940" max="7940" width="7.765625" style="4" customWidth="1"/>
    <col min="7941" max="7943" width="9.23046875" style="4"/>
    <col min="7944" max="7944" width="7.765625" style="4" customWidth="1"/>
    <col min="7945" max="8185" width="9.23046875" style="4"/>
    <col min="8186" max="8186" width="22.23046875" style="4" bestFit="1" customWidth="1"/>
    <col min="8187" max="8187" width="8.23046875" style="4" customWidth="1"/>
    <col min="8188" max="8189" width="9.23046875" style="4"/>
    <col min="8190" max="8190" width="10" style="4" customWidth="1"/>
    <col min="8191" max="8192" width="9.23046875" style="4"/>
    <col min="8193" max="8193" width="8.23046875" style="4" customWidth="1"/>
    <col min="8194" max="8195" width="9.23046875" style="4"/>
    <col min="8196" max="8196" width="7.765625" style="4" customWidth="1"/>
    <col min="8197" max="8199" width="9.23046875" style="4"/>
    <col min="8200" max="8200" width="7.765625" style="4" customWidth="1"/>
    <col min="8201" max="8441" width="9.23046875" style="4"/>
    <col min="8442" max="8442" width="22.23046875" style="4" bestFit="1" customWidth="1"/>
    <col min="8443" max="8443" width="8.23046875" style="4" customWidth="1"/>
    <col min="8444" max="8445" width="9.23046875" style="4"/>
    <col min="8446" max="8446" width="10" style="4" customWidth="1"/>
    <col min="8447" max="8448" width="9.23046875" style="4"/>
    <col min="8449" max="8449" width="8.23046875" style="4" customWidth="1"/>
    <col min="8450" max="8451" width="9.23046875" style="4"/>
    <col min="8452" max="8452" width="7.765625" style="4" customWidth="1"/>
    <col min="8453" max="8455" width="9.23046875" style="4"/>
    <col min="8456" max="8456" width="7.765625" style="4" customWidth="1"/>
    <col min="8457" max="8697" width="9.23046875" style="4"/>
    <col min="8698" max="8698" width="22.23046875" style="4" bestFit="1" customWidth="1"/>
    <col min="8699" max="8699" width="8.23046875" style="4" customWidth="1"/>
    <col min="8700" max="8701" width="9.23046875" style="4"/>
    <col min="8702" max="8702" width="10" style="4" customWidth="1"/>
    <col min="8703" max="8704" width="9.23046875" style="4"/>
    <col min="8705" max="8705" width="8.23046875" style="4" customWidth="1"/>
    <col min="8706" max="8707" width="9.23046875" style="4"/>
    <col min="8708" max="8708" width="7.765625" style="4" customWidth="1"/>
    <col min="8709" max="8711" width="9.23046875" style="4"/>
    <col min="8712" max="8712" width="7.765625" style="4" customWidth="1"/>
    <col min="8713" max="8953" width="9.23046875" style="4"/>
    <col min="8954" max="8954" width="22.23046875" style="4" bestFit="1" customWidth="1"/>
    <col min="8955" max="8955" width="8.23046875" style="4" customWidth="1"/>
    <col min="8956" max="8957" width="9.23046875" style="4"/>
    <col min="8958" max="8958" width="10" style="4" customWidth="1"/>
    <col min="8959" max="8960" width="9.23046875" style="4"/>
    <col min="8961" max="8961" width="8.23046875" style="4" customWidth="1"/>
    <col min="8962" max="8963" width="9.23046875" style="4"/>
    <col min="8964" max="8964" width="7.765625" style="4" customWidth="1"/>
    <col min="8965" max="8967" width="9.23046875" style="4"/>
    <col min="8968" max="8968" width="7.765625" style="4" customWidth="1"/>
    <col min="8969" max="9209" width="9.23046875" style="4"/>
    <col min="9210" max="9210" width="22.23046875" style="4" bestFit="1" customWidth="1"/>
    <col min="9211" max="9211" width="8.23046875" style="4" customWidth="1"/>
    <col min="9212" max="9213" width="9.23046875" style="4"/>
    <col min="9214" max="9214" width="10" style="4" customWidth="1"/>
    <col min="9215" max="9216" width="9.23046875" style="4"/>
    <col min="9217" max="9217" width="8.23046875" style="4" customWidth="1"/>
    <col min="9218" max="9219" width="9.23046875" style="4"/>
    <col min="9220" max="9220" width="7.765625" style="4" customWidth="1"/>
    <col min="9221" max="9223" width="9.23046875" style="4"/>
    <col min="9224" max="9224" width="7.765625" style="4" customWidth="1"/>
    <col min="9225" max="9465" width="9.23046875" style="4"/>
    <col min="9466" max="9466" width="22.23046875" style="4" bestFit="1" customWidth="1"/>
    <col min="9467" max="9467" width="8.23046875" style="4" customWidth="1"/>
    <col min="9468" max="9469" width="9.23046875" style="4"/>
    <col min="9470" max="9470" width="10" style="4" customWidth="1"/>
    <col min="9471" max="9472" width="9.23046875" style="4"/>
    <col min="9473" max="9473" width="8.23046875" style="4" customWidth="1"/>
    <col min="9474" max="9475" width="9.23046875" style="4"/>
    <col min="9476" max="9476" width="7.765625" style="4" customWidth="1"/>
    <col min="9477" max="9479" width="9.23046875" style="4"/>
    <col min="9480" max="9480" width="7.765625" style="4" customWidth="1"/>
    <col min="9481" max="9721" width="9.23046875" style="4"/>
    <col min="9722" max="9722" width="22.23046875" style="4" bestFit="1" customWidth="1"/>
    <col min="9723" max="9723" width="8.23046875" style="4" customWidth="1"/>
    <col min="9724" max="9725" width="9.23046875" style="4"/>
    <col min="9726" max="9726" width="10" style="4" customWidth="1"/>
    <col min="9727" max="9728" width="9.23046875" style="4"/>
    <col min="9729" max="9729" width="8.23046875" style="4" customWidth="1"/>
    <col min="9730" max="9731" width="9.23046875" style="4"/>
    <col min="9732" max="9732" width="7.765625" style="4" customWidth="1"/>
    <col min="9733" max="9735" width="9.23046875" style="4"/>
    <col min="9736" max="9736" width="7.765625" style="4" customWidth="1"/>
    <col min="9737" max="9977" width="9.23046875" style="4"/>
    <col min="9978" max="9978" width="22.23046875" style="4" bestFit="1" customWidth="1"/>
    <col min="9979" max="9979" width="8.23046875" style="4" customWidth="1"/>
    <col min="9980" max="9981" width="9.23046875" style="4"/>
    <col min="9982" max="9982" width="10" style="4" customWidth="1"/>
    <col min="9983" max="9984" width="9.23046875" style="4"/>
    <col min="9985" max="9985" width="8.23046875" style="4" customWidth="1"/>
    <col min="9986" max="9987" width="9.23046875" style="4"/>
    <col min="9988" max="9988" width="7.765625" style="4" customWidth="1"/>
    <col min="9989" max="9991" width="9.23046875" style="4"/>
    <col min="9992" max="9992" width="7.765625" style="4" customWidth="1"/>
    <col min="9993" max="10233" width="9.23046875" style="4"/>
    <col min="10234" max="10234" width="22.23046875" style="4" bestFit="1" customWidth="1"/>
    <col min="10235" max="10235" width="8.23046875" style="4" customWidth="1"/>
    <col min="10236" max="10237" width="9.23046875" style="4"/>
    <col min="10238" max="10238" width="10" style="4" customWidth="1"/>
    <col min="10239" max="10240" width="9.23046875" style="4"/>
    <col min="10241" max="10241" width="8.23046875" style="4" customWidth="1"/>
    <col min="10242" max="10243" width="9.23046875" style="4"/>
    <col min="10244" max="10244" width="7.765625" style="4" customWidth="1"/>
    <col min="10245" max="10247" width="9.23046875" style="4"/>
    <col min="10248" max="10248" width="7.765625" style="4" customWidth="1"/>
    <col min="10249" max="10489" width="9.23046875" style="4"/>
    <col min="10490" max="10490" width="22.23046875" style="4" bestFit="1" customWidth="1"/>
    <col min="10491" max="10491" width="8.23046875" style="4" customWidth="1"/>
    <col min="10492" max="10493" width="9.23046875" style="4"/>
    <col min="10494" max="10494" width="10" style="4" customWidth="1"/>
    <col min="10495" max="10496" width="9.23046875" style="4"/>
    <col min="10497" max="10497" width="8.23046875" style="4" customWidth="1"/>
    <col min="10498" max="10499" width="9.23046875" style="4"/>
    <col min="10500" max="10500" width="7.765625" style="4" customWidth="1"/>
    <col min="10501" max="10503" width="9.23046875" style="4"/>
    <col min="10504" max="10504" width="7.765625" style="4" customWidth="1"/>
    <col min="10505" max="10745" width="9.23046875" style="4"/>
    <col min="10746" max="10746" width="22.23046875" style="4" bestFit="1" customWidth="1"/>
    <col min="10747" max="10747" width="8.23046875" style="4" customWidth="1"/>
    <col min="10748" max="10749" width="9.23046875" style="4"/>
    <col min="10750" max="10750" width="10" style="4" customWidth="1"/>
    <col min="10751" max="10752" width="9.23046875" style="4"/>
    <col min="10753" max="10753" width="8.23046875" style="4" customWidth="1"/>
    <col min="10754" max="10755" width="9.23046875" style="4"/>
    <col min="10756" max="10756" width="7.765625" style="4" customWidth="1"/>
    <col min="10757" max="10759" width="9.23046875" style="4"/>
    <col min="10760" max="10760" width="7.765625" style="4" customWidth="1"/>
    <col min="10761" max="11001" width="9.23046875" style="4"/>
    <col min="11002" max="11002" width="22.23046875" style="4" bestFit="1" customWidth="1"/>
    <col min="11003" max="11003" width="8.23046875" style="4" customWidth="1"/>
    <col min="11004" max="11005" width="9.23046875" style="4"/>
    <col min="11006" max="11006" width="10" style="4" customWidth="1"/>
    <col min="11007" max="11008" width="9.23046875" style="4"/>
    <col min="11009" max="11009" width="8.23046875" style="4" customWidth="1"/>
    <col min="11010" max="11011" width="9.23046875" style="4"/>
    <col min="11012" max="11012" width="7.765625" style="4" customWidth="1"/>
    <col min="11013" max="11015" width="9.23046875" style="4"/>
    <col min="11016" max="11016" width="7.765625" style="4" customWidth="1"/>
    <col min="11017" max="11257" width="9.23046875" style="4"/>
    <col min="11258" max="11258" width="22.23046875" style="4" bestFit="1" customWidth="1"/>
    <col min="11259" max="11259" width="8.23046875" style="4" customWidth="1"/>
    <col min="11260" max="11261" width="9.23046875" style="4"/>
    <col min="11262" max="11262" width="10" style="4" customWidth="1"/>
    <col min="11263" max="11264" width="9.23046875" style="4"/>
    <col min="11265" max="11265" width="8.23046875" style="4" customWidth="1"/>
    <col min="11266" max="11267" width="9.23046875" style="4"/>
    <col min="11268" max="11268" width="7.765625" style="4" customWidth="1"/>
    <col min="11269" max="11271" width="9.23046875" style="4"/>
    <col min="11272" max="11272" width="7.765625" style="4" customWidth="1"/>
    <col min="11273" max="11513" width="9.23046875" style="4"/>
    <col min="11514" max="11514" width="22.23046875" style="4" bestFit="1" customWidth="1"/>
    <col min="11515" max="11515" width="8.23046875" style="4" customWidth="1"/>
    <col min="11516" max="11517" width="9.23046875" style="4"/>
    <col min="11518" max="11518" width="10" style="4" customWidth="1"/>
    <col min="11519" max="11520" width="9.23046875" style="4"/>
    <col min="11521" max="11521" width="8.23046875" style="4" customWidth="1"/>
    <col min="11522" max="11523" width="9.23046875" style="4"/>
    <col min="11524" max="11524" width="7.765625" style="4" customWidth="1"/>
    <col min="11525" max="11527" width="9.23046875" style="4"/>
    <col min="11528" max="11528" width="7.765625" style="4" customWidth="1"/>
    <col min="11529" max="11769" width="9.23046875" style="4"/>
    <col min="11770" max="11770" width="22.23046875" style="4" bestFit="1" customWidth="1"/>
    <col min="11771" max="11771" width="8.23046875" style="4" customWidth="1"/>
    <col min="11772" max="11773" width="9.23046875" style="4"/>
    <col min="11774" max="11774" width="10" style="4" customWidth="1"/>
    <col min="11775" max="11776" width="9.23046875" style="4"/>
    <col min="11777" max="11777" width="8.23046875" style="4" customWidth="1"/>
    <col min="11778" max="11779" width="9.23046875" style="4"/>
    <col min="11780" max="11780" width="7.765625" style="4" customWidth="1"/>
    <col min="11781" max="11783" width="9.23046875" style="4"/>
    <col min="11784" max="11784" width="7.765625" style="4" customWidth="1"/>
    <col min="11785" max="12025" width="9.23046875" style="4"/>
    <col min="12026" max="12026" width="22.23046875" style="4" bestFit="1" customWidth="1"/>
    <col min="12027" max="12027" width="8.23046875" style="4" customWidth="1"/>
    <col min="12028" max="12029" width="9.23046875" style="4"/>
    <col min="12030" max="12030" width="10" style="4" customWidth="1"/>
    <col min="12031" max="12032" width="9.23046875" style="4"/>
    <col min="12033" max="12033" width="8.23046875" style="4" customWidth="1"/>
    <col min="12034" max="12035" width="9.23046875" style="4"/>
    <col min="12036" max="12036" width="7.765625" style="4" customWidth="1"/>
    <col min="12037" max="12039" width="9.23046875" style="4"/>
    <col min="12040" max="12040" width="7.765625" style="4" customWidth="1"/>
    <col min="12041" max="12281" width="9.23046875" style="4"/>
    <col min="12282" max="12282" width="22.23046875" style="4" bestFit="1" customWidth="1"/>
    <col min="12283" max="12283" width="8.23046875" style="4" customWidth="1"/>
    <col min="12284" max="12285" width="9.23046875" style="4"/>
    <col min="12286" max="12286" width="10" style="4" customWidth="1"/>
    <col min="12287" max="12288" width="9.23046875" style="4"/>
    <col min="12289" max="12289" width="8.23046875" style="4" customWidth="1"/>
    <col min="12290" max="12291" width="9.23046875" style="4"/>
    <col min="12292" max="12292" width="7.765625" style="4" customWidth="1"/>
    <col min="12293" max="12295" width="9.23046875" style="4"/>
    <col min="12296" max="12296" width="7.765625" style="4" customWidth="1"/>
    <col min="12297" max="12537" width="9.23046875" style="4"/>
    <col min="12538" max="12538" width="22.23046875" style="4" bestFit="1" customWidth="1"/>
    <col min="12539" max="12539" width="8.23046875" style="4" customWidth="1"/>
    <col min="12540" max="12541" width="9.23046875" style="4"/>
    <col min="12542" max="12542" width="10" style="4" customWidth="1"/>
    <col min="12543" max="12544" width="9.23046875" style="4"/>
    <col min="12545" max="12545" width="8.23046875" style="4" customWidth="1"/>
    <col min="12546" max="12547" width="9.23046875" style="4"/>
    <col min="12548" max="12548" width="7.765625" style="4" customWidth="1"/>
    <col min="12549" max="12551" width="9.23046875" style="4"/>
    <col min="12552" max="12552" width="7.765625" style="4" customWidth="1"/>
    <col min="12553" max="12793" width="9.23046875" style="4"/>
    <col min="12794" max="12794" width="22.23046875" style="4" bestFit="1" customWidth="1"/>
    <col min="12795" max="12795" width="8.23046875" style="4" customWidth="1"/>
    <col min="12796" max="12797" width="9.23046875" style="4"/>
    <col min="12798" max="12798" width="10" style="4" customWidth="1"/>
    <col min="12799" max="12800" width="9.23046875" style="4"/>
    <col min="12801" max="12801" width="8.23046875" style="4" customWidth="1"/>
    <col min="12802" max="12803" width="9.23046875" style="4"/>
    <col min="12804" max="12804" width="7.765625" style="4" customWidth="1"/>
    <col min="12805" max="12807" width="9.23046875" style="4"/>
    <col min="12808" max="12808" width="7.765625" style="4" customWidth="1"/>
    <col min="12809" max="13049" width="9.23046875" style="4"/>
    <col min="13050" max="13050" width="22.23046875" style="4" bestFit="1" customWidth="1"/>
    <col min="13051" max="13051" width="8.23046875" style="4" customWidth="1"/>
    <col min="13052" max="13053" width="9.23046875" style="4"/>
    <col min="13054" max="13054" width="10" style="4" customWidth="1"/>
    <col min="13055" max="13056" width="9.23046875" style="4"/>
    <col min="13057" max="13057" width="8.23046875" style="4" customWidth="1"/>
    <col min="13058" max="13059" width="9.23046875" style="4"/>
    <col min="13060" max="13060" width="7.765625" style="4" customWidth="1"/>
    <col min="13061" max="13063" width="9.23046875" style="4"/>
    <col min="13064" max="13064" width="7.765625" style="4" customWidth="1"/>
    <col min="13065" max="13305" width="9.23046875" style="4"/>
    <col min="13306" max="13306" width="22.23046875" style="4" bestFit="1" customWidth="1"/>
    <col min="13307" max="13307" width="8.23046875" style="4" customWidth="1"/>
    <col min="13308" max="13309" width="9.23046875" style="4"/>
    <col min="13310" max="13310" width="10" style="4" customWidth="1"/>
    <col min="13311" max="13312" width="9.23046875" style="4"/>
    <col min="13313" max="13313" width="8.23046875" style="4" customWidth="1"/>
    <col min="13314" max="13315" width="9.23046875" style="4"/>
    <col min="13316" max="13316" width="7.765625" style="4" customWidth="1"/>
    <col min="13317" max="13319" width="9.23046875" style="4"/>
    <col min="13320" max="13320" width="7.765625" style="4" customWidth="1"/>
    <col min="13321" max="13561" width="9.23046875" style="4"/>
    <col min="13562" max="13562" width="22.23046875" style="4" bestFit="1" customWidth="1"/>
    <col min="13563" max="13563" width="8.23046875" style="4" customWidth="1"/>
    <col min="13564" max="13565" width="9.23046875" style="4"/>
    <col min="13566" max="13566" width="10" style="4" customWidth="1"/>
    <col min="13567" max="13568" width="9.23046875" style="4"/>
    <col min="13569" max="13569" width="8.23046875" style="4" customWidth="1"/>
    <col min="13570" max="13571" width="9.23046875" style="4"/>
    <col min="13572" max="13572" width="7.765625" style="4" customWidth="1"/>
    <col min="13573" max="13575" width="9.23046875" style="4"/>
    <col min="13576" max="13576" width="7.765625" style="4" customWidth="1"/>
    <col min="13577" max="13817" width="9.23046875" style="4"/>
    <col min="13818" max="13818" width="22.23046875" style="4" bestFit="1" customWidth="1"/>
    <col min="13819" max="13819" width="8.23046875" style="4" customWidth="1"/>
    <col min="13820" max="13821" width="9.23046875" style="4"/>
    <col min="13822" max="13822" width="10" style="4" customWidth="1"/>
    <col min="13823" max="13824" width="9.23046875" style="4"/>
    <col min="13825" max="13825" width="8.23046875" style="4" customWidth="1"/>
    <col min="13826" max="13827" width="9.23046875" style="4"/>
    <col min="13828" max="13828" width="7.765625" style="4" customWidth="1"/>
    <col min="13829" max="13831" width="9.23046875" style="4"/>
    <col min="13832" max="13832" width="7.765625" style="4" customWidth="1"/>
    <col min="13833" max="14073" width="9.23046875" style="4"/>
    <col min="14074" max="14074" width="22.23046875" style="4" bestFit="1" customWidth="1"/>
    <col min="14075" max="14075" width="8.23046875" style="4" customWidth="1"/>
    <col min="14076" max="14077" width="9.23046875" style="4"/>
    <col min="14078" max="14078" width="10" style="4" customWidth="1"/>
    <col min="14079" max="14080" width="9.23046875" style="4"/>
    <col min="14081" max="14081" width="8.23046875" style="4" customWidth="1"/>
    <col min="14082" max="14083" width="9.23046875" style="4"/>
    <col min="14084" max="14084" width="7.765625" style="4" customWidth="1"/>
    <col min="14085" max="14087" width="9.23046875" style="4"/>
    <col min="14088" max="14088" width="7.765625" style="4" customWidth="1"/>
    <col min="14089" max="14329" width="9.23046875" style="4"/>
    <col min="14330" max="14330" width="22.23046875" style="4" bestFit="1" customWidth="1"/>
    <col min="14331" max="14331" width="8.23046875" style="4" customWidth="1"/>
    <col min="14332" max="14333" width="9.23046875" style="4"/>
    <col min="14334" max="14334" width="10" style="4" customWidth="1"/>
    <col min="14335" max="14336" width="9.23046875" style="4"/>
    <col min="14337" max="14337" width="8.23046875" style="4" customWidth="1"/>
    <col min="14338" max="14339" width="9.23046875" style="4"/>
    <col min="14340" max="14340" width="7.765625" style="4" customWidth="1"/>
    <col min="14341" max="14343" width="9.23046875" style="4"/>
    <col min="14344" max="14344" width="7.765625" style="4" customWidth="1"/>
    <col min="14345" max="14585" width="9.23046875" style="4"/>
    <col min="14586" max="14586" width="22.23046875" style="4" bestFit="1" customWidth="1"/>
    <col min="14587" max="14587" width="8.23046875" style="4" customWidth="1"/>
    <col min="14588" max="14589" width="9.23046875" style="4"/>
    <col min="14590" max="14590" width="10" style="4" customWidth="1"/>
    <col min="14591" max="14592" width="9.23046875" style="4"/>
    <col min="14593" max="14593" width="8.23046875" style="4" customWidth="1"/>
    <col min="14594" max="14595" width="9.23046875" style="4"/>
    <col min="14596" max="14596" width="7.765625" style="4" customWidth="1"/>
    <col min="14597" max="14599" width="9.23046875" style="4"/>
    <col min="14600" max="14600" width="7.765625" style="4" customWidth="1"/>
    <col min="14601" max="14841" width="9.23046875" style="4"/>
    <col min="14842" max="14842" width="22.23046875" style="4" bestFit="1" customWidth="1"/>
    <col min="14843" max="14843" width="8.23046875" style="4" customWidth="1"/>
    <col min="14844" max="14845" width="9.23046875" style="4"/>
    <col min="14846" max="14846" width="10" style="4" customWidth="1"/>
    <col min="14847" max="14848" width="9.23046875" style="4"/>
    <col min="14849" max="14849" width="8.23046875" style="4" customWidth="1"/>
    <col min="14850" max="14851" width="9.23046875" style="4"/>
    <col min="14852" max="14852" width="7.765625" style="4" customWidth="1"/>
    <col min="14853" max="14855" width="9.23046875" style="4"/>
    <col min="14856" max="14856" width="7.765625" style="4" customWidth="1"/>
    <col min="14857" max="15097" width="9.23046875" style="4"/>
    <col min="15098" max="15098" width="22.23046875" style="4" bestFit="1" customWidth="1"/>
    <col min="15099" max="15099" width="8.23046875" style="4" customWidth="1"/>
    <col min="15100" max="15101" width="9.23046875" style="4"/>
    <col min="15102" max="15102" width="10" style="4" customWidth="1"/>
    <col min="15103" max="15104" width="9.23046875" style="4"/>
    <col min="15105" max="15105" width="8.23046875" style="4" customWidth="1"/>
    <col min="15106" max="15107" width="9.23046875" style="4"/>
    <col min="15108" max="15108" width="7.765625" style="4" customWidth="1"/>
    <col min="15109" max="15111" width="9.23046875" style="4"/>
    <col min="15112" max="15112" width="7.765625" style="4" customWidth="1"/>
    <col min="15113" max="15353" width="9.23046875" style="4"/>
    <col min="15354" max="15354" width="22.23046875" style="4" bestFit="1" customWidth="1"/>
    <col min="15355" max="15355" width="8.23046875" style="4" customWidth="1"/>
    <col min="15356" max="15357" width="9.23046875" style="4"/>
    <col min="15358" max="15358" width="10" style="4" customWidth="1"/>
    <col min="15359" max="15360" width="9.23046875" style="4"/>
    <col min="15361" max="15361" width="8.23046875" style="4" customWidth="1"/>
    <col min="15362" max="15363" width="9.23046875" style="4"/>
    <col min="15364" max="15364" width="7.765625" style="4" customWidth="1"/>
    <col min="15365" max="15367" width="9.23046875" style="4"/>
    <col min="15368" max="15368" width="7.765625" style="4" customWidth="1"/>
    <col min="15369" max="15609" width="9.23046875" style="4"/>
    <col min="15610" max="15610" width="22.23046875" style="4" bestFit="1" customWidth="1"/>
    <col min="15611" max="15611" width="8.23046875" style="4" customWidth="1"/>
    <col min="15612" max="15613" width="9.23046875" style="4"/>
    <col min="15614" max="15614" width="10" style="4" customWidth="1"/>
    <col min="15615" max="15616" width="9.23046875" style="4"/>
    <col min="15617" max="15617" width="8.23046875" style="4" customWidth="1"/>
    <col min="15618" max="15619" width="9.23046875" style="4"/>
    <col min="15620" max="15620" width="7.765625" style="4" customWidth="1"/>
    <col min="15621" max="15623" width="9.23046875" style="4"/>
    <col min="15624" max="15624" width="7.765625" style="4" customWidth="1"/>
    <col min="15625" max="15865" width="9.23046875" style="4"/>
    <col min="15866" max="15866" width="22.23046875" style="4" bestFit="1" customWidth="1"/>
    <col min="15867" max="15867" width="8.23046875" style="4" customWidth="1"/>
    <col min="15868" max="15869" width="9.23046875" style="4"/>
    <col min="15870" max="15870" width="10" style="4" customWidth="1"/>
    <col min="15871" max="15872" width="9.23046875" style="4"/>
    <col min="15873" max="15873" width="8.23046875" style="4" customWidth="1"/>
    <col min="15874" max="15875" width="9.23046875" style="4"/>
    <col min="15876" max="15876" width="7.765625" style="4" customWidth="1"/>
    <col min="15877" max="15879" width="9.23046875" style="4"/>
    <col min="15880" max="15880" width="7.765625" style="4" customWidth="1"/>
    <col min="15881" max="16121" width="9.23046875" style="4"/>
    <col min="16122" max="16122" width="22.23046875" style="4" bestFit="1" customWidth="1"/>
    <col min="16123" max="16123" width="8.23046875" style="4" customWidth="1"/>
    <col min="16124" max="16125" width="9.23046875" style="4"/>
    <col min="16126" max="16126" width="10" style="4" customWidth="1"/>
    <col min="16127" max="16128" width="9.23046875" style="4"/>
    <col min="16129" max="16129" width="8.23046875" style="4" customWidth="1"/>
    <col min="16130" max="16131" width="9.23046875" style="4"/>
    <col min="16132" max="16132" width="7.765625" style="4" customWidth="1"/>
    <col min="16133" max="16135" width="9.23046875" style="4"/>
    <col min="16136" max="16136" width="7.765625" style="4" customWidth="1"/>
    <col min="16137" max="16382" width="9.23046875" style="4"/>
    <col min="16383" max="16384" width="8.765625" style="4" customWidth="1"/>
  </cols>
  <sheetData>
    <row r="1" spans="1:26" s="2" customFormat="1" ht="45" customHeight="1">
      <c r="A1" s="84" t="s">
        <v>39</v>
      </c>
      <c r="E1" s="9"/>
    </row>
    <row r="2" spans="1:26" s="132" customFormat="1" ht="41.25" customHeight="1">
      <c r="A2" s="168" t="s">
        <v>60</v>
      </c>
      <c r="B2" s="169" t="s">
        <v>61</v>
      </c>
      <c r="C2" s="169" t="s">
        <v>62</v>
      </c>
      <c r="D2" s="169" t="s">
        <v>63</v>
      </c>
      <c r="E2" s="158" t="s">
        <v>64</v>
      </c>
      <c r="F2" s="169" t="s">
        <v>65</v>
      </c>
      <c r="G2" s="152" t="s">
        <v>66</v>
      </c>
      <c r="H2" s="169" t="s">
        <v>67</v>
      </c>
      <c r="I2" s="169" t="s">
        <v>68</v>
      </c>
      <c r="J2" s="169" t="s">
        <v>69</v>
      </c>
      <c r="K2" s="169" t="s">
        <v>70</v>
      </c>
      <c r="L2" s="169" t="s">
        <v>71</v>
      </c>
      <c r="M2" s="169" t="s">
        <v>72</v>
      </c>
      <c r="N2" s="169" t="s">
        <v>73</v>
      </c>
      <c r="O2" s="169" t="s">
        <v>74</v>
      </c>
      <c r="P2" s="169" t="s">
        <v>75</v>
      </c>
      <c r="Q2" s="169" t="s">
        <v>76</v>
      </c>
      <c r="R2" s="152" t="s">
        <v>77</v>
      </c>
      <c r="S2" s="152" t="s">
        <v>78</v>
      </c>
      <c r="T2" s="152" t="s">
        <v>79</v>
      </c>
      <c r="U2" s="152" t="s">
        <v>80</v>
      </c>
    </row>
    <row r="3" spans="1:26" s="1" customFormat="1" ht="20.25" customHeight="1">
      <c r="A3" s="160" t="s">
        <v>81</v>
      </c>
      <c r="B3" s="182">
        <v>315.62</v>
      </c>
      <c r="C3" s="182">
        <v>294.74</v>
      </c>
      <c r="D3" s="182">
        <v>306.45999999999998</v>
      </c>
      <c r="E3" s="306">
        <v>243.35</v>
      </c>
      <c r="F3" s="182">
        <v>232.68</v>
      </c>
      <c r="G3" s="184">
        <v>278.57</v>
      </c>
      <c r="H3" s="182">
        <v>199.32</v>
      </c>
      <c r="I3" s="182">
        <v>189.18</v>
      </c>
      <c r="J3" s="182">
        <v>187</v>
      </c>
      <c r="K3" s="182">
        <v>176</v>
      </c>
      <c r="L3" s="182">
        <v>157</v>
      </c>
      <c r="M3" s="182">
        <v>112</v>
      </c>
      <c r="N3" s="182">
        <v>147</v>
      </c>
      <c r="O3" s="182">
        <v>157</v>
      </c>
      <c r="P3" s="182">
        <v>168</v>
      </c>
      <c r="Q3" s="182">
        <v>136</v>
      </c>
      <c r="R3" s="131">
        <v>-0.19047619047619047</v>
      </c>
      <c r="S3" s="162" t="s">
        <v>58</v>
      </c>
      <c r="T3" s="134">
        <v>-0.51179236816599061</v>
      </c>
      <c r="U3" s="162" t="s">
        <v>58</v>
      </c>
    </row>
    <row r="4" spans="1:26" s="1" customFormat="1" ht="20.25" customHeight="1">
      <c r="A4" s="160" t="s">
        <v>83</v>
      </c>
      <c r="B4" s="182">
        <v>41.162950923279389</v>
      </c>
      <c r="C4" s="182">
        <v>35.85</v>
      </c>
      <c r="D4" s="182">
        <v>40.07</v>
      </c>
      <c r="E4" s="306">
        <v>29.14</v>
      </c>
      <c r="F4" s="182">
        <v>24.4</v>
      </c>
      <c r="G4" s="184">
        <v>34.124590184655872</v>
      </c>
      <c r="H4" s="182">
        <v>28.77</v>
      </c>
      <c r="I4" s="182">
        <v>25.11</v>
      </c>
      <c r="J4" s="182">
        <v>20</v>
      </c>
      <c r="K4" s="182">
        <v>17</v>
      </c>
      <c r="L4" s="182">
        <v>22</v>
      </c>
      <c r="M4" s="182">
        <v>22</v>
      </c>
      <c r="N4" s="182">
        <v>24</v>
      </c>
      <c r="O4" s="182">
        <v>27</v>
      </c>
      <c r="P4" s="182">
        <v>25</v>
      </c>
      <c r="Q4" s="182">
        <v>22</v>
      </c>
      <c r="R4" s="131">
        <v>-0.12</v>
      </c>
      <c r="S4" s="162" t="s">
        <v>82</v>
      </c>
      <c r="T4" s="134">
        <v>-0.3553036129971664</v>
      </c>
      <c r="U4" s="162" t="s">
        <v>82</v>
      </c>
    </row>
    <row r="5" spans="1:26" s="1" customFormat="1" ht="20.25" customHeight="1">
      <c r="A5" s="160" t="s">
        <v>84</v>
      </c>
      <c r="B5" s="182">
        <v>3.22</v>
      </c>
      <c r="C5" s="182">
        <v>4.75</v>
      </c>
      <c r="D5" s="182">
        <v>3.68</v>
      </c>
      <c r="E5" s="306">
        <v>6.91</v>
      </c>
      <c r="F5" s="182">
        <v>3.36</v>
      </c>
      <c r="G5" s="184">
        <v>4.3840000000000003</v>
      </c>
      <c r="H5" s="182">
        <v>3.09</v>
      </c>
      <c r="I5" s="182">
        <v>5.03</v>
      </c>
      <c r="J5" s="182">
        <v>14</v>
      </c>
      <c r="K5" s="182">
        <v>18</v>
      </c>
      <c r="L5" s="182">
        <v>10</v>
      </c>
      <c r="M5" s="182">
        <v>5</v>
      </c>
      <c r="N5" s="182">
        <v>7</v>
      </c>
      <c r="O5" s="182">
        <v>11</v>
      </c>
      <c r="P5" s="182">
        <v>4</v>
      </c>
      <c r="Q5" s="182">
        <v>5</v>
      </c>
      <c r="R5" s="131">
        <v>0.25</v>
      </c>
      <c r="S5" s="162" t="s">
        <v>82</v>
      </c>
      <c r="T5" s="134">
        <v>0.1405109489051094</v>
      </c>
      <c r="U5" s="162" t="s">
        <v>82</v>
      </c>
    </row>
    <row r="6" spans="1:26" s="1" customFormat="1" ht="20.25" customHeight="1">
      <c r="A6" s="160" t="s">
        <v>85</v>
      </c>
      <c r="B6" s="182">
        <v>44.328833892797071</v>
      </c>
      <c r="C6" s="182">
        <v>37.614566145154072</v>
      </c>
      <c r="D6" s="182">
        <v>34.388315708401471</v>
      </c>
      <c r="E6" s="307">
        <v>16.672290058156019</v>
      </c>
      <c r="F6" s="182">
        <v>17.425691450054341</v>
      </c>
      <c r="G6" s="184">
        <v>30.085939450912594</v>
      </c>
      <c r="H6" s="182">
        <v>22.695390150499559</v>
      </c>
      <c r="I6" s="182">
        <v>26.630538944050588</v>
      </c>
      <c r="J6" s="182">
        <v>12</v>
      </c>
      <c r="K6" s="182">
        <v>19</v>
      </c>
      <c r="L6" s="182">
        <v>16</v>
      </c>
      <c r="M6" s="182">
        <v>13</v>
      </c>
      <c r="N6" s="182">
        <v>6</v>
      </c>
      <c r="O6" s="182">
        <v>16</v>
      </c>
      <c r="P6" s="182">
        <v>7</v>
      </c>
      <c r="Q6" s="182">
        <v>16</v>
      </c>
      <c r="R6" s="131">
        <v>1.2857142857142858</v>
      </c>
      <c r="S6" s="162" t="s">
        <v>58</v>
      </c>
      <c r="T6" s="134">
        <v>-0.46819011498360663</v>
      </c>
      <c r="U6" s="162" t="s">
        <v>58</v>
      </c>
    </row>
    <row r="7" spans="1:26" s="1" customFormat="1" ht="20.25" customHeight="1">
      <c r="A7" s="160" t="s">
        <v>86</v>
      </c>
      <c r="B7" s="182">
        <v>8.2200000000000006</v>
      </c>
      <c r="C7" s="182">
        <v>10.45</v>
      </c>
      <c r="D7" s="182">
        <v>7.34</v>
      </c>
      <c r="E7" s="306">
        <v>8.15</v>
      </c>
      <c r="F7" s="182">
        <v>9.33</v>
      </c>
      <c r="G7" s="184">
        <v>8.6980000000000004</v>
      </c>
      <c r="H7" s="182">
        <v>8.11</v>
      </c>
      <c r="I7" s="182">
        <v>6.72</v>
      </c>
      <c r="J7" s="182">
        <v>10</v>
      </c>
      <c r="K7" s="182">
        <v>9</v>
      </c>
      <c r="L7" s="182">
        <v>5</v>
      </c>
      <c r="M7" s="182">
        <v>1</v>
      </c>
      <c r="N7" s="182">
        <v>2</v>
      </c>
      <c r="O7" s="182">
        <v>8</v>
      </c>
      <c r="P7" s="182">
        <v>6</v>
      </c>
      <c r="Q7" s="182">
        <v>3</v>
      </c>
      <c r="R7" s="131">
        <v>-0.5</v>
      </c>
      <c r="S7" s="162" t="s">
        <v>82</v>
      </c>
      <c r="T7" s="134">
        <v>-0.65509312485628879</v>
      </c>
      <c r="U7" s="162" t="s">
        <v>58</v>
      </c>
    </row>
    <row r="8" spans="1:26" s="1" customFormat="1" ht="20.25" customHeight="1">
      <c r="A8" s="160" t="s">
        <v>87</v>
      </c>
      <c r="B8" s="182">
        <v>0.01</v>
      </c>
      <c r="C8" s="182">
        <v>1.24</v>
      </c>
      <c r="D8" s="182">
        <v>2.31</v>
      </c>
      <c r="E8" s="306">
        <v>0.12</v>
      </c>
      <c r="F8" s="182">
        <v>0</v>
      </c>
      <c r="G8" s="184">
        <v>0.73599999999999999</v>
      </c>
      <c r="H8" s="182">
        <v>1</v>
      </c>
      <c r="I8" s="182">
        <v>0.26</v>
      </c>
      <c r="J8" s="182">
        <v>1</v>
      </c>
      <c r="K8" s="182">
        <v>0</v>
      </c>
      <c r="L8" s="182">
        <v>1</v>
      </c>
      <c r="M8" s="182">
        <v>2</v>
      </c>
      <c r="N8" s="182">
        <v>10</v>
      </c>
      <c r="O8" s="182">
        <v>6</v>
      </c>
      <c r="P8" s="182">
        <v>6</v>
      </c>
      <c r="Q8" s="182">
        <v>4</v>
      </c>
      <c r="R8" s="131">
        <v>-0.33333333333333331</v>
      </c>
      <c r="S8" s="162" t="s">
        <v>82</v>
      </c>
      <c r="T8" s="134">
        <v>4.4347826086956523</v>
      </c>
      <c r="U8" s="162" t="s">
        <v>82</v>
      </c>
    </row>
    <row r="9" spans="1:26" s="1" customFormat="1" ht="20.25" customHeight="1">
      <c r="A9" s="160" t="s">
        <v>88</v>
      </c>
      <c r="B9" s="182">
        <v>0.15</v>
      </c>
      <c r="C9" s="182">
        <v>1.24</v>
      </c>
      <c r="D9" s="182">
        <v>0.18</v>
      </c>
      <c r="E9" s="306">
        <v>0.09</v>
      </c>
      <c r="F9" s="182">
        <v>0.16</v>
      </c>
      <c r="G9" s="184">
        <v>0.36399999999999999</v>
      </c>
      <c r="H9" s="182">
        <v>0.16</v>
      </c>
      <c r="I9" s="182">
        <v>0.18</v>
      </c>
      <c r="J9" s="182">
        <v>0</v>
      </c>
      <c r="K9" s="182">
        <v>0</v>
      </c>
      <c r="L9" s="182">
        <v>0</v>
      </c>
      <c r="M9" s="182">
        <v>1</v>
      </c>
      <c r="N9" s="182">
        <v>0</v>
      </c>
      <c r="O9" s="182">
        <v>0</v>
      </c>
      <c r="P9" s="182">
        <v>0</v>
      </c>
      <c r="Q9" s="182">
        <v>0</v>
      </c>
      <c r="R9" s="131">
        <v>0</v>
      </c>
      <c r="S9" s="162" t="s">
        <v>82</v>
      </c>
      <c r="T9" s="134">
        <v>-1</v>
      </c>
      <c r="U9" s="162" t="s">
        <v>82</v>
      </c>
    </row>
    <row r="10" spans="1:26" s="1" customFormat="1" ht="20.25" customHeight="1">
      <c r="A10" s="160" t="s">
        <v>102</v>
      </c>
      <c r="B10" s="182">
        <v>0</v>
      </c>
      <c r="C10" s="182">
        <v>0</v>
      </c>
      <c r="D10" s="182">
        <v>0</v>
      </c>
      <c r="E10" s="306">
        <v>0</v>
      </c>
      <c r="F10" s="182">
        <v>0</v>
      </c>
      <c r="G10" s="184">
        <v>0</v>
      </c>
      <c r="H10" s="182">
        <v>0</v>
      </c>
      <c r="I10" s="182">
        <v>0</v>
      </c>
      <c r="J10" s="182">
        <v>0</v>
      </c>
      <c r="K10" s="182">
        <v>1</v>
      </c>
      <c r="L10" s="182">
        <v>0</v>
      </c>
      <c r="M10" s="182">
        <v>0</v>
      </c>
      <c r="N10" s="182">
        <v>0</v>
      </c>
      <c r="O10" s="182">
        <v>0</v>
      </c>
      <c r="P10" s="182">
        <v>0</v>
      </c>
      <c r="Q10" s="182">
        <v>1</v>
      </c>
      <c r="R10" s="131">
        <v>0</v>
      </c>
      <c r="S10" s="162" t="s">
        <v>82</v>
      </c>
      <c r="T10" s="134" t="s">
        <v>56</v>
      </c>
      <c r="U10" s="162" t="s">
        <v>56</v>
      </c>
    </row>
    <row r="11" spans="1:26" s="1" customFormat="1" ht="20.25" customHeight="1">
      <c r="A11" s="160" t="s">
        <v>90</v>
      </c>
      <c r="B11" s="182">
        <v>1.1100000000000001</v>
      </c>
      <c r="C11" s="182">
        <v>0.32</v>
      </c>
      <c r="D11" s="182">
        <v>0.17</v>
      </c>
      <c r="E11" s="306">
        <v>0.11</v>
      </c>
      <c r="F11" s="182">
        <v>0.22</v>
      </c>
      <c r="G11" s="184">
        <v>0.38600000000000001</v>
      </c>
      <c r="H11" s="182">
        <v>0.48</v>
      </c>
      <c r="I11" s="182">
        <v>1.1499999999999999</v>
      </c>
      <c r="J11" s="182">
        <v>1</v>
      </c>
      <c r="K11" s="182">
        <v>1</v>
      </c>
      <c r="L11" s="182">
        <v>0</v>
      </c>
      <c r="M11" s="182">
        <v>0</v>
      </c>
      <c r="N11" s="182">
        <v>0</v>
      </c>
      <c r="O11" s="182">
        <v>0</v>
      </c>
      <c r="P11" s="182">
        <v>0</v>
      </c>
      <c r="Q11" s="182">
        <v>1</v>
      </c>
      <c r="R11" s="131">
        <v>0</v>
      </c>
      <c r="S11" s="162" t="s">
        <v>82</v>
      </c>
      <c r="T11" s="134">
        <v>1.5906735751295336</v>
      </c>
      <c r="U11" s="162" t="s">
        <v>82</v>
      </c>
    </row>
    <row r="12" spans="1:26" s="304" customFormat="1" ht="20.25" customHeight="1">
      <c r="A12" s="160" t="s">
        <v>91</v>
      </c>
      <c r="B12" s="305">
        <v>413.8217848160765</v>
      </c>
      <c r="C12" s="305">
        <v>386.2045661451541</v>
      </c>
      <c r="D12" s="305">
        <v>394.59831570840146</v>
      </c>
      <c r="E12" s="308">
        <v>304.54229005815603</v>
      </c>
      <c r="F12" s="305">
        <v>287.57569145005436</v>
      </c>
      <c r="G12" s="344">
        <v>357.34852963556853</v>
      </c>
      <c r="H12" s="305">
        <v>263.62539015049958</v>
      </c>
      <c r="I12" s="305">
        <v>254.26053894405061</v>
      </c>
      <c r="J12" s="305">
        <v>245</v>
      </c>
      <c r="K12" s="305">
        <v>241</v>
      </c>
      <c r="L12" s="305">
        <v>211</v>
      </c>
      <c r="M12" s="305">
        <v>156</v>
      </c>
      <c r="N12" s="305">
        <v>196</v>
      </c>
      <c r="O12" s="305">
        <v>225</v>
      </c>
      <c r="P12" s="305">
        <v>216</v>
      </c>
      <c r="Q12" s="305">
        <v>188</v>
      </c>
      <c r="R12" s="299">
        <v>-0.12962962962962962</v>
      </c>
      <c r="S12" s="338" t="s">
        <v>82</v>
      </c>
      <c r="T12" s="295">
        <v>-0.47390297032500367</v>
      </c>
      <c r="U12" s="338" t="s">
        <v>58</v>
      </c>
    </row>
    <row r="13" spans="1:26" s="1" customFormat="1" ht="20.25" customHeight="1">
      <c r="A13" s="163" t="s">
        <v>66</v>
      </c>
      <c r="B13" s="184">
        <v>357.34852963556853</v>
      </c>
      <c r="C13" s="184">
        <v>357.34852963556853</v>
      </c>
      <c r="D13" s="184">
        <v>357.34852963556853</v>
      </c>
      <c r="E13" s="309">
        <v>357.34852963556853</v>
      </c>
      <c r="F13" s="184">
        <v>357.34852963556853</v>
      </c>
      <c r="G13" s="184">
        <f>SUM(Table19[[#This Row],[2010]:[2014]])/5</f>
        <v>357.34852963556853</v>
      </c>
      <c r="H13" s="184">
        <v>357.34852963556853</v>
      </c>
      <c r="I13" s="184">
        <v>357.34852963556853</v>
      </c>
      <c r="J13" s="184">
        <v>357.34852963556853</v>
      </c>
      <c r="K13" s="184">
        <v>357.34852963556853</v>
      </c>
      <c r="L13" s="184">
        <v>357.34852963556853</v>
      </c>
      <c r="M13" s="184">
        <v>357.34852963556853</v>
      </c>
      <c r="N13" s="184">
        <v>357.34852963556853</v>
      </c>
      <c r="O13" s="184">
        <v>357.34852963556853</v>
      </c>
      <c r="P13" s="184">
        <v>357.34852963556853</v>
      </c>
      <c r="Q13" s="184">
        <v>356.61252963556848</v>
      </c>
      <c r="R13" s="185" t="s">
        <v>56</v>
      </c>
      <c r="S13" s="185" t="s">
        <v>56</v>
      </c>
      <c r="T13" s="185" t="s">
        <v>56</v>
      </c>
      <c r="U13" s="185" t="s">
        <v>56</v>
      </c>
    </row>
    <row r="14" spans="1:26" s="1" customFormat="1" ht="20.25" customHeight="1">
      <c r="A14" s="125" t="s">
        <v>92</v>
      </c>
      <c r="B14" s="182"/>
      <c r="C14" s="182"/>
      <c r="D14" s="182"/>
      <c r="E14" s="183"/>
      <c r="F14" s="182"/>
      <c r="G14" s="182"/>
      <c r="H14" s="182"/>
      <c r="I14" s="182"/>
      <c r="J14" s="182"/>
      <c r="K14" s="182"/>
      <c r="L14" s="182"/>
      <c r="M14" s="182"/>
      <c r="N14" s="182"/>
      <c r="O14" s="182"/>
      <c r="P14" s="182"/>
      <c r="Q14" s="161"/>
      <c r="R14" s="186"/>
      <c r="S14" s="186"/>
      <c r="T14" s="186"/>
    </row>
    <row r="15" spans="1:26" s="1" customFormat="1" ht="20.25" customHeight="1">
      <c r="E15" s="8"/>
    </row>
    <row r="16" spans="1:26" ht="21" customHeight="1">
      <c r="N16" s="1"/>
      <c r="O16" s="1"/>
      <c r="P16" s="1"/>
      <c r="Q16" s="1"/>
      <c r="R16" s="1"/>
      <c r="S16" s="1"/>
      <c r="T16" s="1"/>
      <c r="U16" s="1"/>
      <c r="V16" s="1"/>
      <c r="W16" s="1"/>
      <c r="X16" s="1"/>
      <c r="Y16" s="1"/>
      <c r="Z16" s="1"/>
    </row>
    <row r="17" spans="1:26" ht="21" customHeight="1">
      <c r="N17" s="1"/>
      <c r="O17" s="1"/>
      <c r="P17" s="1"/>
      <c r="Q17" s="1"/>
      <c r="R17" s="1"/>
      <c r="S17" s="1"/>
      <c r="T17" s="1"/>
      <c r="U17" s="1"/>
      <c r="V17" s="1"/>
      <c r="W17" s="1"/>
      <c r="X17" s="1"/>
      <c r="Y17" s="1"/>
      <c r="Z17" s="1"/>
    </row>
    <row r="23" spans="1:26" s="1" customFormat="1" ht="20.25" customHeight="1">
      <c r="A23" s="94"/>
      <c r="E23" s="8"/>
    </row>
    <row r="24" spans="1:26" s="1" customFormat="1" ht="20.25" customHeight="1">
      <c r="E24" s="8"/>
    </row>
    <row r="25" spans="1:26" s="1" customFormat="1" ht="20.25" customHeight="1">
      <c r="E25" s="8"/>
    </row>
    <row r="26" spans="1:26" s="1" customFormat="1" ht="20.25" customHeight="1"/>
    <row r="27" spans="1:26" ht="21" customHeight="1">
      <c r="W27" s="11"/>
    </row>
    <row r="28" spans="1:26" ht="21" customHeight="1">
      <c r="W28" s="11"/>
    </row>
    <row r="29" spans="1:26" ht="21" customHeight="1">
      <c r="W29" s="11"/>
    </row>
    <row r="30" spans="1:26" ht="21" customHeight="1">
      <c r="W30" s="11"/>
    </row>
    <row r="31" spans="1:26" ht="21" customHeight="1">
      <c r="W31" s="11"/>
    </row>
    <row r="32" spans="1:26" ht="21" customHeight="1">
      <c r="W32" s="11"/>
    </row>
    <row r="33" spans="1:23" ht="21" customHeight="1">
      <c r="W33" s="11"/>
    </row>
    <row r="44" spans="1:23" ht="21" customHeight="1">
      <c r="A44" s="44" t="s">
        <v>59</v>
      </c>
    </row>
    <row r="45" spans="1:23" ht="21" customHeight="1">
      <c r="A45" s="92" t="s">
        <v>50</v>
      </c>
    </row>
    <row r="46" spans="1:23" ht="21" customHeight="1">
      <c r="A46" s="94"/>
    </row>
  </sheetData>
  <phoneticPr fontId="43" type="noConversion"/>
  <hyperlinks>
    <hyperlink ref="A44" location="'Table of contents'!A1" display="Back to Table of contents" xr:uid="{CB596CD1-D94E-463D-A82D-F9CA613D09A8}"/>
    <hyperlink ref="A45" r:id="rId1" display="Back to Road Casualties in Greater London 2024 Factsheet" xr:uid="{6AE6917B-93EA-42BC-B43D-EC265A2D54A2}"/>
  </hyperlinks>
  <pageMargins left="0.7" right="0.7" top="0.75" bottom="0.75" header="0.3" footer="0.3"/>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D0EAC-631E-433F-9134-CA6F8FF63550}">
  <sheetPr codeName="Sheet12">
    <tabColor rgb="FF92D050"/>
    <pageSetUpPr fitToPage="1"/>
  </sheetPr>
  <dimension ref="A1:Y1048575"/>
  <sheetViews>
    <sheetView showGridLines="0" zoomScaleNormal="100" workbookViewId="0"/>
  </sheetViews>
  <sheetFormatPr defaultColWidth="8.765625" defaultRowHeight="21" customHeight="1"/>
  <cols>
    <col min="1" max="1" width="17.84375" style="4" customWidth="1"/>
    <col min="2" max="3" width="22.69140625" style="4" bestFit="1" customWidth="1"/>
    <col min="4" max="4" width="12.84375" style="4" bestFit="1" customWidth="1"/>
    <col min="5" max="5" width="20.84375" style="4" bestFit="1" customWidth="1"/>
    <col min="6" max="7" width="23.53515625" style="4" bestFit="1" customWidth="1"/>
    <col min="8" max="8" width="15.53515625" style="4" customWidth="1"/>
    <col min="9" max="9" width="20.84375" style="4" bestFit="1" customWidth="1"/>
    <col min="10" max="10" width="9.23046875" style="4" bestFit="1" customWidth="1"/>
    <col min="11" max="12" width="8.765625" style="4"/>
    <col min="13" max="13" width="13.765625" style="4" customWidth="1"/>
    <col min="14" max="14" width="13.4609375" style="4" customWidth="1"/>
    <col min="15" max="16" width="12.07421875" style="4" customWidth="1"/>
    <col min="17" max="16384" width="8.765625" style="4"/>
  </cols>
  <sheetData>
    <row r="1" spans="1:25" ht="45" customHeight="1">
      <c r="A1" s="84" t="s">
        <v>40</v>
      </c>
      <c r="B1" s="167"/>
      <c r="C1" s="167"/>
      <c r="F1" s="167"/>
      <c r="G1" s="167"/>
    </row>
    <row r="2" spans="1:25" s="188" customFormat="1" ht="40.5" customHeight="1">
      <c r="A2" s="110" t="s">
        <v>122</v>
      </c>
      <c r="B2" s="79" t="s">
        <v>123</v>
      </c>
      <c r="C2" s="79" t="s">
        <v>124</v>
      </c>
      <c r="D2" s="79" t="s">
        <v>125</v>
      </c>
      <c r="E2" s="79" t="s">
        <v>126</v>
      </c>
      <c r="F2" s="79" t="s">
        <v>127</v>
      </c>
      <c r="G2" s="79" t="s">
        <v>128</v>
      </c>
      <c r="H2" s="79" t="s">
        <v>129</v>
      </c>
      <c r="I2" s="79" t="s">
        <v>130</v>
      </c>
      <c r="J2" s="78" t="s">
        <v>91</v>
      </c>
      <c r="K2" s="159"/>
      <c r="L2" s="159"/>
      <c r="M2" s="159"/>
      <c r="N2" s="159"/>
      <c r="O2" s="159"/>
      <c r="P2" s="159"/>
      <c r="Q2" s="159"/>
      <c r="R2" s="157"/>
      <c r="S2" s="159"/>
      <c r="T2" s="159"/>
      <c r="U2" s="159"/>
      <c r="V2" s="159"/>
      <c r="W2" s="159"/>
      <c r="X2" s="159"/>
      <c r="Y2" s="159"/>
    </row>
    <row r="3" spans="1:25" s="1" customFormat="1" ht="21" customHeight="1">
      <c r="A3" s="111" t="s">
        <v>131</v>
      </c>
      <c r="B3" s="86">
        <v>1274</v>
      </c>
      <c r="C3" s="86">
        <v>1194</v>
      </c>
      <c r="D3" s="116">
        <v>-6.2794348508634218E-2</v>
      </c>
      <c r="E3" s="141" t="s">
        <v>82</v>
      </c>
      <c r="F3" s="43">
        <v>0</v>
      </c>
      <c r="G3" s="43">
        <v>0</v>
      </c>
      <c r="H3" s="116" t="s">
        <v>56</v>
      </c>
      <c r="I3" s="116" t="s">
        <v>56</v>
      </c>
      <c r="J3" s="86">
        <v>1194</v>
      </c>
      <c r="K3" s="5"/>
      <c r="L3" s="5"/>
      <c r="M3" s="5"/>
      <c r="N3" s="5"/>
      <c r="O3" s="5"/>
      <c r="P3" s="5"/>
      <c r="Q3" s="5"/>
      <c r="R3" s="5"/>
      <c r="S3" s="5"/>
      <c r="T3" s="5"/>
      <c r="U3" s="5"/>
      <c r="V3" s="5"/>
      <c r="W3" s="5"/>
      <c r="X3" s="5"/>
      <c r="Y3" s="5"/>
    </row>
    <row r="4" spans="1:25" s="1" customFormat="1" ht="21" customHeight="1">
      <c r="A4" s="111" t="s">
        <v>132</v>
      </c>
      <c r="B4" s="86">
        <v>941</v>
      </c>
      <c r="C4" s="86">
        <v>994</v>
      </c>
      <c r="D4" s="116">
        <v>5.6323060573857602E-2</v>
      </c>
      <c r="E4" s="141" t="s">
        <v>82</v>
      </c>
      <c r="F4" s="86">
        <v>110</v>
      </c>
      <c r="G4" s="86">
        <v>116</v>
      </c>
      <c r="H4" s="116">
        <v>5.4545454545454543E-2</v>
      </c>
      <c r="I4" s="141" t="s">
        <v>82</v>
      </c>
      <c r="J4" s="86">
        <v>1110</v>
      </c>
      <c r="K4" s="5"/>
      <c r="L4" s="5"/>
      <c r="M4" s="5"/>
      <c r="N4" s="5"/>
      <c r="O4" s="5"/>
      <c r="P4" s="5"/>
      <c r="Q4" s="5"/>
      <c r="R4" s="5"/>
      <c r="S4" s="5"/>
      <c r="T4" s="5"/>
      <c r="U4" s="5"/>
      <c r="V4" s="5"/>
      <c r="W4" s="5"/>
      <c r="X4" s="5"/>
      <c r="Y4" s="5"/>
    </row>
    <row r="5" spans="1:25" s="1" customFormat="1" ht="21" customHeight="1">
      <c r="A5" s="111" t="s">
        <v>133</v>
      </c>
      <c r="B5" s="86">
        <v>767</v>
      </c>
      <c r="C5" s="86">
        <v>806</v>
      </c>
      <c r="D5" s="116">
        <v>5.0847457627118647E-2</v>
      </c>
      <c r="E5" s="141" t="s">
        <v>82</v>
      </c>
      <c r="F5" s="86">
        <v>197</v>
      </c>
      <c r="G5" s="86">
        <v>208</v>
      </c>
      <c r="H5" s="116">
        <v>5.5837563451776651E-2</v>
      </c>
      <c r="I5" s="141" t="s">
        <v>82</v>
      </c>
      <c r="J5" s="86">
        <v>1014</v>
      </c>
      <c r="K5" s="5"/>
      <c r="L5" s="5"/>
      <c r="M5" s="5"/>
      <c r="N5" s="5"/>
      <c r="O5" s="5"/>
      <c r="P5" s="5"/>
      <c r="Q5" s="5"/>
      <c r="R5" s="19"/>
      <c r="S5" s="5"/>
      <c r="T5" s="5"/>
      <c r="U5" s="5"/>
      <c r="V5" s="5"/>
      <c r="W5" s="5"/>
      <c r="X5" s="5"/>
      <c r="Y5" s="5"/>
    </row>
    <row r="6" spans="1:25" s="1" customFormat="1" ht="21" customHeight="1">
      <c r="A6" s="111" t="s">
        <v>134</v>
      </c>
      <c r="B6" s="86">
        <v>457</v>
      </c>
      <c r="C6" s="86">
        <v>470</v>
      </c>
      <c r="D6" s="116">
        <v>2.8446389496717725E-2</v>
      </c>
      <c r="E6" s="141" t="s">
        <v>82</v>
      </c>
      <c r="F6" s="86">
        <v>1946</v>
      </c>
      <c r="G6" s="86">
        <v>1918</v>
      </c>
      <c r="H6" s="116">
        <v>-1.4388489208633094E-2</v>
      </c>
      <c r="I6" s="141" t="s">
        <v>82</v>
      </c>
      <c r="J6" s="86">
        <v>2388</v>
      </c>
    </row>
    <row r="7" spans="1:25" s="1" customFormat="1" ht="21" customHeight="1">
      <c r="A7" s="111" t="s">
        <v>135</v>
      </c>
      <c r="B7" s="86">
        <v>124</v>
      </c>
      <c r="C7" s="86">
        <v>115</v>
      </c>
      <c r="D7" s="116">
        <v>-7.2580645161290328E-2</v>
      </c>
      <c r="E7" s="141" t="s">
        <v>82</v>
      </c>
      <c r="F7" s="86">
        <v>157</v>
      </c>
      <c r="G7" s="86">
        <v>164</v>
      </c>
      <c r="H7" s="116">
        <v>4.4585987261146494E-2</v>
      </c>
      <c r="I7" s="141" t="s">
        <v>82</v>
      </c>
      <c r="J7" s="86">
        <v>279</v>
      </c>
    </row>
    <row r="8" spans="1:25" s="1" customFormat="1" ht="21" customHeight="1">
      <c r="A8" s="111" t="s">
        <v>136</v>
      </c>
      <c r="B8" s="86">
        <v>79</v>
      </c>
      <c r="C8" s="86">
        <v>70</v>
      </c>
      <c r="D8" s="116">
        <v>-0.11392405063291139</v>
      </c>
      <c r="E8" s="141" t="s">
        <v>82</v>
      </c>
      <c r="F8" s="86">
        <v>62</v>
      </c>
      <c r="G8" s="86">
        <v>67</v>
      </c>
      <c r="H8" s="116">
        <v>8.0645161290322578E-2</v>
      </c>
      <c r="I8" s="141" t="s">
        <v>82</v>
      </c>
      <c r="J8" s="86">
        <v>137</v>
      </c>
    </row>
    <row r="9" spans="1:25" s="1" customFormat="1" ht="21" customHeight="1">
      <c r="A9" s="111" t="s">
        <v>137</v>
      </c>
      <c r="B9" s="86">
        <v>30</v>
      </c>
      <c r="C9" s="86">
        <v>34</v>
      </c>
      <c r="D9" s="116">
        <v>0.13333333333333333</v>
      </c>
      <c r="E9" s="141" t="s">
        <v>82</v>
      </c>
      <c r="F9" s="86">
        <v>416</v>
      </c>
      <c r="G9" s="86">
        <v>457</v>
      </c>
      <c r="H9" s="116">
        <v>9.8557692307692304E-2</v>
      </c>
      <c r="I9" s="141" t="s">
        <v>82</v>
      </c>
      <c r="J9" s="86">
        <v>491</v>
      </c>
    </row>
    <row r="10" spans="1:25" s="1" customFormat="1" ht="21" customHeight="1">
      <c r="A10" s="111" t="s">
        <v>138</v>
      </c>
      <c r="B10" s="86">
        <v>22</v>
      </c>
      <c r="C10" s="86">
        <v>12</v>
      </c>
      <c r="D10" s="116">
        <v>-0.45454545454545453</v>
      </c>
      <c r="E10" s="141" t="s">
        <v>58</v>
      </c>
      <c r="F10" s="86">
        <v>95</v>
      </c>
      <c r="G10" s="86">
        <v>59</v>
      </c>
      <c r="H10" s="116">
        <v>-0.37894736842105264</v>
      </c>
      <c r="I10" s="141" t="s">
        <v>58</v>
      </c>
      <c r="J10" s="86">
        <v>71</v>
      </c>
    </row>
    <row r="11" spans="1:25" s="1" customFormat="1" ht="21" customHeight="1">
      <c r="A11" s="113" t="s">
        <v>139</v>
      </c>
      <c r="B11" s="187">
        <v>16</v>
      </c>
      <c r="C11" s="187">
        <v>12</v>
      </c>
      <c r="D11" s="142">
        <v>-0.25</v>
      </c>
      <c r="E11" s="315" t="s">
        <v>82</v>
      </c>
      <c r="F11" s="187">
        <v>88</v>
      </c>
      <c r="G11" s="187">
        <v>67</v>
      </c>
      <c r="H11" s="142">
        <v>-0.23863636363636365</v>
      </c>
      <c r="I11" s="315" t="s">
        <v>58</v>
      </c>
      <c r="J11" s="187">
        <v>79</v>
      </c>
    </row>
    <row r="12" spans="1:25" s="1" customFormat="1" ht="21" customHeight="1"/>
    <row r="13" spans="1:25" s="1" customFormat="1" ht="21" customHeight="1"/>
    <row r="14" spans="1:25" s="1" customFormat="1" ht="21" customHeight="1"/>
    <row r="15" spans="1:25" s="1" customFormat="1" ht="21" customHeight="1"/>
    <row r="16" spans="1:25" s="1" customFormat="1" ht="21" customHeight="1"/>
    <row r="17" spans="1:17" s="1" customFormat="1" ht="21" customHeight="1"/>
    <row r="18" spans="1:17" s="1" customFormat="1" ht="21" customHeight="1"/>
    <row r="19" spans="1:17" ht="21" customHeight="1">
      <c r="M19" s="29"/>
      <c r="N19" s="29"/>
      <c r="O19" s="29"/>
      <c r="P19" s="29"/>
      <c r="Q19" s="29"/>
    </row>
    <row r="20" spans="1:17" ht="21" customHeight="1">
      <c r="M20" s="12"/>
      <c r="N20" s="29"/>
      <c r="O20" s="29"/>
      <c r="P20" s="29"/>
      <c r="Q20" s="29"/>
    </row>
    <row r="21" spans="1:17" ht="21" customHeight="1">
      <c r="M21" s="12"/>
      <c r="N21" s="29"/>
      <c r="O21" s="29"/>
    </row>
    <row r="24" spans="1:17" ht="21" customHeight="1">
      <c r="B24" s="1"/>
      <c r="C24" s="1"/>
      <c r="D24" s="1"/>
      <c r="E24" s="1"/>
      <c r="F24" s="1"/>
      <c r="G24" s="1"/>
      <c r="H24" s="1"/>
      <c r="I24" s="1"/>
      <c r="J24" s="1"/>
      <c r="K24" s="1"/>
      <c r="L24" s="1"/>
    </row>
    <row r="25" spans="1:17" ht="21" customHeight="1">
      <c r="B25" s="1"/>
      <c r="C25" s="1"/>
      <c r="D25" s="1"/>
      <c r="E25" s="1"/>
      <c r="F25" s="1"/>
      <c r="G25" s="1"/>
      <c r="H25" s="1"/>
      <c r="I25" s="1"/>
      <c r="J25" s="1"/>
      <c r="K25" s="1"/>
      <c r="L25" s="1"/>
    </row>
    <row r="26" spans="1:17" ht="21" customHeight="1">
      <c r="B26" s="1"/>
      <c r="C26" s="1"/>
      <c r="D26" s="1"/>
      <c r="E26" s="1"/>
      <c r="F26" s="1"/>
      <c r="G26" s="1"/>
      <c r="H26" s="1"/>
      <c r="I26" s="1"/>
      <c r="J26" s="1"/>
      <c r="K26" s="1"/>
      <c r="L26" s="1"/>
    </row>
    <row r="27" spans="1:17" ht="21" customHeight="1">
      <c r="A27" s="94"/>
    </row>
    <row r="28" spans="1:17" ht="20.25" customHeight="1"/>
    <row r="43" spans="1:1" ht="21" customHeight="1">
      <c r="A43" s="1"/>
    </row>
    <row r="44" spans="1:1" ht="21" customHeight="1">
      <c r="A44" s="92" t="s">
        <v>59</v>
      </c>
    </row>
    <row r="45" spans="1:1" ht="21" customHeight="1">
      <c r="A45" s="92" t="s">
        <v>50</v>
      </c>
    </row>
    <row r="1048575" spans="5:5" ht="21" customHeight="1">
      <c r="E1048575" s="34" t="s">
        <v>140</v>
      </c>
    </row>
  </sheetData>
  <hyperlinks>
    <hyperlink ref="A44" location="'Table of contents'!A1" display="Back to Table of contents" xr:uid="{FB69DA1A-2A0D-4526-9D44-34E5990DEC9B}"/>
    <hyperlink ref="A45" r:id="rId1" display="Back to Road Casualties in Greater London 2024 Factsheet" xr:uid="{641337F0-B8DE-4468-89DD-177FF8EB64A4}"/>
  </hyperlinks>
  <pageMargins left="0.19" right="0.18" top="1" bottom="1" header="0.5" footer="0.5"/>
  <pageSetup paperSize="9" scale="10" orientation="landscape" horizontalDpi="300" verticalDpi="300" r:id="rId2"/>
  <headerFooter alignWithMargins="0">
    <oddHeader>&amp;R&amp;"Arial,Bold Italic"&amp;11ITEM 8.1</oddHeader>
  </headerFooter>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62F09-5E44-40A1-A818-EF664E0E714A}">
  <sheetPr codeName="Sheet20">
    <tabColor rgb="FFFFC000"/>
  </sheetPr>
  <dimension ref="A1:B6"/>
  <sheetViews>
    <sheetView zoomScaleNormal="100" workbookViewId="0"/>
  </sheetViews>
  <sheetFormatPr defaultColWidth="9.23046875" defaultRowHeight="15.5"/>
  <cols>
    <col min="1" max="16384" width="9.23046875" style="32"/>
  </cols>
  <sheetData>
    <row r="1" spans="1:2" ht="45" customHeight="1">
      <c r="A1" s="189" t="s">
        <v>241</v>
      </c>
    </row>
    <row r="2" spans="1:2" ht="33" customHeight="1">
      <c r="A2" s="92" t="s">
        <v>242</v>
      </c>
      <c r="B2" s="21"/>
    </row>
    <row r="3" spans="1:2" ht="33" customHeight="1">
      <c r="A3" s="92" t="s">
        <v>243</v>
      </c>
      <c r="B3" s="21"/>
    </row>
    <row r="4" spans="1:2" ht="71.150000000000006" customHeight="1">
      <c r="A4" s="62" t="s">
        <v>59</v>
      </c>
    </row>
    <row r="5" spans="1:2" ht="28" customHeight="1">
      <c r="A5" s="92" t="s">
        <v>50</v>
      </c>
    </row>
    <row r="6" spans="1:2" ht="17.5">
      <c r="A6" s="4"/>
    </row>
  </sheetData>
  <hyperlinks>
    <hyperlink ref="A2" r:id="rId1" display="Figure 7 - The risk of being killed on London's roads by mode per million journeys (2010-2022)" xr:uid="{99E0DC51-1BCB-42D9-9A53-1102703D7AB7}"/>
    <hyperlink ref="A3" r:id="rId2" display="Figure 8 - A comparison of the reduction of people killed or seriously injured in London versus the rest of Great Britain against the 2010-14 baseline" xr:uid="{D48281E6-30CF-4442-8963-13F2B2B7905E}"/>
    <hyperlink ref="A4" location="'Table of contents'!A1" display="Back to Table of contents" xr:uid="{9A03AA78-CE61-4124-AB9C-7D03A2137C94}"/>
    <hyperlink ref="A5" r:id="rId3" display="Back to Road Casualties in Greater London 2024 Factsheet" xr:uid="{54E95805-101C-41CC-AAD8-CC2B655114C9}"/>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7DE31-C5A2-4C77-A116-922AF0D9AAEC}">
  <sheetPr codeName="Sheet13">
    <tabColor rgb="FFFFFF00"/>
  </sheetPr>
  <dimension ref="A1:K9"/>
  <sheetViews>
    <sheetView zoomScaleNormal="100" workbookViewId="0"/>
  </sheetViews>
  <sheetFormatPr defaultColWidth="9.23046875" defaultRowHeight="15.5"/>
  <cols>
    <col min="1" max="1" width="128.3046875" style="32" customWidth="1"/>
    <col min="2" max="16384" width="9.23046875" style="32"/>
  </cols>
  <sheetData>
    <row r="1" spans="1:11" s="190" customFormat="1" ht="45.75" customHeight="1">
      <c r="A1" s="189" t="s">
        <v>141</v>
      </c>
    </row>
    <row r="2" spans="1:11" s="191" customFormat="1" ht="33" customHeight="1">
      <c r="A2" s="92" t="s">
        <v>41</v>
      </c>
      <c r="C2" s="94"/>
      <c r="D2" s="94"/>
      <c r="E2" s="192"/>
      <c r="F2" s="192"/>
      <c r="G2" s="192"/>
      <c r="H2" s="192"/>
      <c r="I2" s="192"/>
      <c r="J2" s="192"/>
      <c r="K2" s="192"/>
    </row>
    <row r="3" spans="1:11" s="191" customFormat="1" ht="33" customHeight="1">
      <c r="A3" s="92" t="s">
        <v>42</v>
      </c>
      <c r="C3" s="94"/>
      <c r="D3" s="94"/>
      <c r="E3" s="192"/>
      <c r="F3" s="192"/>
      <c r="G3" s="192"/>
      <c r="H3" s="192"/>
      <c r="I3" s="192"/>
      <c r="J3" s="192"/>
      <c r="K3" s="192"/>
    </row>
    <row r="4" spans="1:11" s="191" customFormat="1" ht="33" customHeight="1">
      <c r="A4" s="92" t="s">
        <v>142</v>
      </c>
      <c r="B4" s="192"/>
      <c r="C4" s="192"/>
      <c r="D4" s="192"/>
      <c r="E4" s="192"/>
      <c r="F4" s="192"/>
      <c r="G4" s="192"/>
      <c r="H4" s="192"/>
      <c r="I4" s="192"/>
      <c r="J4" s="192"/>
      <c r="K4" s="192"/>
    </row>
    <row r="5" spans="1:11" s="191" customFormat="1" ht="33" customHeight="1">
      <c r="A5" s="92" t="s">
        <v>44</v>
      </c>
    </row>
    <row r="6" spans="1:11" ht="48" customHeight="1">
      <c r="A6" s="62" t="s">
        <v>59</v>
      </c>
    </row>
    <row r="7" spans="1:11" ht="17.5">
      <c r="A7" s="92" t="s">
        <v>50</v>
      </c>
    </row>
    <row r="8" spans="1:11">
      <c r="A8" s="20"/>
    </row>
    <row r="9" spans="1:11">
      <c r="A9" s="20"/>
    </row>
  </sheetData>
  <hyperlinks>
    <hyperlink ref="A2" location="'Table 12'!A1" display="Table 12. Casualties by borough, mode and severity" xr:uid="{524EDF51-5271-42C7-AC52-AFF1F9CBDD9F}"/>
    <hyperlink ref="A4" location="'Table 14'!A1" display="Table 14. Summary of Vehicles Involved in Collisions by borough in 2022, 2023 and the percentage difference" xr:uid="{EDD326EC-3522-4F6D-B841-040DD289BE55}"/>
    <hyperlink ref="A3" location="'Table 13'!A1" display="Table 13. Summary of people killed or seriously injured by borough and year - Figure 8" xr:uid="{6914FD34-91C1-4469-A5DF-A0CF533630C0}"/>
    <hyperlink ref="A5" location="'Table 15'!A1" display="Table 15. People killed or seriously injured by Borough split by Highway Authority - not used in the report" xr:uid="{AF8F30CB-3E99-4F12-8F0E-0884101E8987}"/>
    <hyperlink ref="A6" location="'Table of contents'!A1" display="Back to Table of contents" xr:uid="{E2868F7B-844B-4569-9CC5-719592ABB9C8}"/>
    <hyperlink ref="A7" r:id="rId1" display="Back to Road Casualties in Greater London 2024 Factsheet" xr:uid="{C890D181-1748-4EF0-BB71-CD81D27BAF5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190E1-57E8-4662-9FC2-C7FE96712FFC}">
  <sheetPr codeName="Sheet15">
    <tabColor rgb="FFFFFF00"/>
  </sheetPr>
  <dimension ref="A1:N1661"/>
  <sheetViews>
    <sheetView zoomScaleNormal="100" workbookViewId="0"/>
  </sheetViews>
  <sheetFormatPr defaultColWidth="9.23046875" defaultRowHeight="15.5"/>
  <cols>
    <col min="1" max="1" width="16.3046875" style="38" customWidth="1"/>
    <col min="2" max="2" width="21.765625" style="38" bestFit="1" customWidth="1"/>
    <col min="3" max="3" width="16.3046875" style="38" bestFit="1" customWidth="1"/>
    <col min="4" max="4" width="24.4609375" style="38" bestFit="1" customWidth="1"/>
    <col min="5" max="5" width="17.23046875" style="38" customWidth="1"/>
    <col min="6" max="13" width="13" style="38" bestFit="1" customWidth="1"/>
    <col min="14" max="14" width="15.69140625" style="38" bestFit="1" customWidth="1"/>
    <col min="15" max="16384" width="9.23046875" style="38"/>
  </cols>
  <sheetData>
    <row r="1" spans="1:14" ht="45" customHeight="1">
      <c r="A1" s="84" t="s">
        <v>41</v>
      </c>
    </row>
    <row r="2" spans="1:14">
      <c r="A2" s="38" t="s">
        <v>143</v>
      </c>
    </row>
    <row r="3" spans="1:14">
      <c r="A3" s="38" t="s">
        <v>144</v>
      </c>
    </row>
    <row r="4" spans="1:14" s="235" customFormat="1" ht="40.5" customHeight="1">
      <c r="A4" s="110" t="s">
        <v>145</v>
      </c>
      <c r="B4" s="79" t="s">
        <v>146</v>
      </c>
      <c r="C4" s="79" t="s">
        <v>147</v>
      </c>
      <c r="D4" s="79" t="s">
        <v>148</v>
      </c>
      <c r="E4" s="79" t="s">
        <v>149</v>
      </c>
      <c r="F4" s="79" t="s">
        <v>150</v>
      </c>
      <c r="G4" s="79" t="s">
        <v>151</v>
      </c>
      <c r="H4" s="79" t="s">
        <v>152</v>
      </c>
      <c r="I4" s="79" t="s">
        <v>153</v>
      </c>
      <c r="J4" s="79" t="s">
        <v>154</v>
      </c>
      <c r="K4" s="79" t="s">
        <v>155</v>
      </c>
      <c r="L4" s="79" t="s">
        <v>156</v>
      </c>
      <c r="M4" s="79" t="s">
        <v>157</v>
      </c>
      <c r="N4" s="236" t="s">
        <v>158</v>
      </c>
    </row>
    <row r="5" spans="1:14">
      <c r="A5" s="198" t="s">
        <v>159</v>
      </c>
      <c r="B5" s="199" t="s">
        <v>160</v>
      </c>
      <c r="C5" s="199" t="s">
        <v>161</v>
      </c>
      <c r="D5" s="200" t="s">
        <v>162</v>
      </c>
      <c r="E5" s="213">
        <v>0</v>
      </c>
      <c r="F5" s="201">
        <v>0</v>
      </c>
      <c r="G5" s="201">
        <v>0</v>
      </c>
      <c r="H5" s="201">
        <v>0</v>
      </c>
      <c r="I5" s="201">
        <v>0</v>
      </c>
      <c r="J5" s="201">
        <v>0</v>
      </c>
      <c r="K5" s="201">
        <v>0</v>
      </c>
      <c r="L5" s="201">
        <v>0</v>
      </c>
      <c r="M5" s="261">
        <v>0</v>
      </c>
      <c r="N5" s="202">
        <v>0</v>
      </c>
    </row>
    <row r="6" spans="1:14" ht="15.75" customHeight="1">
      <c r="A6" s="198" t="s">
        <v>159</v>
      </c>
      <c r="B6" s="199" t="s">
        <v>160</v>
      </c>
      <c r="C6" s="199" t="s">
        <v>161</v>
      </c>
      <c r="D6" s="200" t="s">
        <v>163</v>
      </c>
      <c r="E6" s="213">
        <v>1.8</v>
      </c>
      <c r="F6" s="201">
        <v>4</v>
      </c>
      <c r="G6" s="201">
        <v>4</v>
      </c>
      <c r="H6" s="201">
        <v>3</v>
      </c>
      <c r="I6" s="201">
        <v>0</v>
      </c>
      <c r="J6" s="201">
        <v>1</v>
      </c>
      <c r="K6" s="201">
        <v>5</v>
      </c>
      <c r="L6" s="201">
        <v>0</v>
      </c>
      <c r="M6" s="330">
        <v>0</v>
      </c>
      <c r="N6" s="202">
        <v>-1</v>
      </c>
    </row>
    <row r="7" spans="1:14" ht="15.75" customHeight="1">
      <c r="A7" s="198" t="s">
        <v>159</v>
      </c>
      <c r="B7" s="199" t="s">
        <v>160</v>
      </c>
      <c r="C7" s="199" t="s">
        <v>161</v>
      </c>
      <c r="D7" s="200" t="s">
        <v>164</v>
      </c>
      <c r="E7" s="213">
        <v>1.8</v>
      </c>
      <c r="F7" s="201">
        <v>4</v>
      </c>
      <c r="G7" s="201">
        <v>4</v>
      </c>
      <c r="H7" s="201">
        <v>3</v>
      </c>
      <c r="I7" s="201">
        <v>0</v>
      </c>
      <c r="J7" s="201">
        <v>1</v>
      </c>
      <c r="K7" s="201">
        <v>5</v>
      </c>
      <c r="L7" s="201">
        <v>0</v>
      </c>
      <c r="M7" s="261">
        <v>0</v>
      </c>
      <c r="N7" s="202">
        <v>-1</v>
      </c>
    </row>
    <row r="8" spans="1:14" ht="15.75" customHeight="1">
      <c r="A8" s="198" t="s">
        <v>159</v>
      </c>
      <c r="B8" s="199" t="s">
        <v>160</v>
      </c>
      <c r="C8" s="199" t="s">
        <v>161</v>
      </c>
      <c r="D8" s="200" t="s">
        <v>165</v>
      </c>
      <c r="E8" s="213">
        <v>15.3</v>
      </c>
      <c r="F8" s="201">
        <v>50</v>
      </c>
      <c r="G8" s="201">
        <v>30</v>
      </c>
      <c r="H8" s="201">
        <v>42</v>
      </c>
      <c r="I8" s="201">
        <v>28</v>
      </c>
      <c r="J8" s="201">
        <v>20</v>
      </c>
      <c r="K8" s="201">
        <v>23</v>
      </c>
      <c r="L8" s="201">
        <v>15</v>
      </c>
      <c r="M8" s="330">
        <v>42</v>
      </c>
      <c r="N8" s="202">
        <v>1.7450980392156861</v>
      </c>
    </row>
    <row r="9" spans="1:14" ht="15.75" customHeight="1">
      <c r="A9" s="198" t="s">
        <v>159</v>
      </c>
      <c r="B9" s="199" t="s">
        <v>160</v>
      </c>
      <c r="C9" s="199" t="s">
        <v>161</v>
      </c>
      <c r="D9" s="203" t="s">
        <v>91</v>
      </c>
      <c r="E9" s="214">
        <v>17</v>
      </c>
      <c r="F9" s="204">
        <v>54</v>
      </c>
      <c r="G9" s="204">
        <v>34</v>
      </c>
      <c r="H9" s="204">
        <v>45</v>
      </c>
      <c r="I9" s="204">
        <v>28</v>
      </c>
      <c r="J9" s="204">
        <v>21</v>
      </c>
      <c r="K9" s="204">
        <v>28</v>
      </c>
      <c r="L9" s="204">
        <v>15</v>
      </c>
      <c r="M9" s="331">
        <v>42</v>
      </c>
      <c r="N9" s="202">
        <v>1.4705882352941178</v>
      </c>
    </row>
    <row r="10" spans="1:14">
      <c r="A10" s="198" t="s">
        <v>159</v>
      </c>
      <c r="B10" s="199" t="s">
        <v>160</v>
      </c>
      <c r="C10" s="199" t="s">
        <v>134</v>
      </c>
      <c r="D10" s="200" t="s">
        <v>162</v>
      </c>
      <c r="E10" s="213">
        <v>1.2</v>
      </c>
      <c r="F10" s="201">
        <v>0</v>
      </c>
      <c r="G10" s="201">
        <v>1</v>
      </c>
      <c r="H10" s="201">
        <v>1</v>
      </c>
      <c r="I10" s="201">
        <v>1</v>
      </c>
      <c r="J10" s="201">
        <v>0</v>
      </c>
      <c r="K10" s="201">
        <v>0</v>
      </c>
      <c r="L10" s="201">
        <v>0</v>
      </c>
      <c r="M10" s="330">
        <v>0</v>
      </c>
      <c r="N10" s="202">
        <v>-1</v>
      </c>
    </row>
    <row r="11" spans="1:14" ht="15.75" customHeight="1">
      <c r="A11" s="198" t="s">
        <v>159</v>
      </c>
      <c r="B11" s="199" t="s">
        <v>160</v>
      </c>
      <c r="C11" s="199" t="s">
        <v>134</v>
      </c>
      <c r="D11" s="200" t="s">
        <v>163</v>
      </c>
      <c r="E11" s="213">
        <v>27.3</v>
      </c>
      <c r="F11" s="201">
        <v>13</v>
      </c>
      <c r="G11" s="201">
        <v>30</v>
      </c>
      <c r="H11" s="201">
        <v>22</v>
      </c>
      <c r="I11" s="201">
        <v>16</v>
      </c>
      <c r="J11" s="201">
        <v>10</v>
      </c>
      <c r="K11" s="201">
        <v>10</v>
      </c>
      <c r="L11" s="201">
        <v>14</v>
      </c>
      <c r="M11" s="330">
        <v>6</v>
      </c>
      <c r="N11" s="202">
        <v>-0.78021978021978022</v>
      </c>
    </row>
    <row r="12" spans="1:14" ht="15.75" customHeight="1">
      <c r="A12" s="198" t="s">
        <v>159</v>
      </c>
      <c r="B12" s="199" t="s">
        <v>160</v>
      </c>
      <c r="C12" s="199" t="s">
        <v>134</v>
      </c>
      <c r="D12" s="200" t="s">
        <v>164</v>
      </c>
      <c r="E12" s="213">
        <v>26.1</v>
      </c>
      <c r="F12" s="201">
        <v>13</v>
      </c>
      <c r="G12" s="201">
        <v>29</v>
      </c>
      <c r="H12" s="201">
        <v>21</v>
      </c>
      <c r="I12" s="201">
        <v>15</v>
      </c>
      <c r="J12" s="201">
        <v>10</v>
      </c>
      <c r="K12" s="201">
        <v>10</v>
      </c>
      <c r="L12" s="201">
        <v>14</v>
      </c>
      <c r="M12" s="330">
        <v>6</v>
      </c>
      <c r="N12" s="202">
        <v>-0.77011494252873569</v>
      </c>
    </row>
    <row r="13" spans="1:14" ht="15.75" customHeight="1">
      <c r="A13" s="198" t="s">
        <v>159</v>
      </c>
      <c r="B13" s="199" t="s">
        <v>160</v>
      </c>
      <c r="C13" s="199" t="s">
        <v>134</v>
      </c>
      <c r="D13" s="200" t="s">
        <v>165</v>
      </c>
      <c r="E13" s="213">
        <v>346.1</v>
      </c>
      <c r="F13" s="201">
        <v>450</v>
      </c>
      <c r="G13" s="201">
        <v>468</v>
      </c>
      <c r="H13" s="201">
        <v>435</v>
      </c>
      <c r="I13" s="201">
        <v>327</v>
      </c>
      <c r="J13" s="201">
        <v>324</v>
      </c>
      <c r="K13" s="201">
        <v>272</v>
      </c>
      <c r="L13" s="201">
        <v>298</v>
      </c>
      <c r="M13" s="330">
        <v>294</v>
      </c>
      <c r="N13" s="202">
        <v>-0.15053452759318123</v>
      </c>
    </row>
    <row r="14" spans="1:14" ht="15.75" customHeight="1">
      <c r="A14" s="198" t="s">
        <v>159</v>
      </c>
      <c r="B14" s="199" t="s">
        <v>160</v>
      </c>
      <c r="C14" s="199" t="s">
        <v>134</v>
      </c>
      <c r="D14" s="203" t="s">
        <v>91</v>
      </c>
      <c r="E14" s="214">
        <v>373.4</v>
      </c>
      <c r="F14" s="204">
        <v>463</v>
      </c>
      <c r="G14" s="204">
        <v>498</v>
      </c>
      <c r="H14" s="204">
        <v>457</v>
      </c>
      <c r="I14" s="204">
        <v>343</v>
      </c>
      <c r="J14" s="204">
        <v>334</v>
      </c>
      <c r="K14" s="204">
        <v>282</v>
      </c>
      <c r="L14" s="204">
        <v>312</v>
      </c>
      <c r="M14" s="331">
        <v>300</v>
      </c>
      <c r="N14" s="202">
        <v>-0.19657204070701656</v>
      </c>
    </row>
    <row r="15" spans="1:14">
      <c r="A15" s="198" t="s">
        <v>159</v>
      </c>
      <c r="B15" s="199" t="s">
        <v>160</v>
      </c>
      <c r="C15" s="199" t="s">
        <v>166</v>
      </c>
      <c r="D15" s="200" t="s">
        <v>162</v>
      </c>
      <c r="E15" s="213">
        <v>0.2</v>
      </c>
      <c r="F15" s="201">
        <v>0</v>
      </c>
      <c r="G15" s="201">
        <v>0</v>
      </c>
      <c r="H15" s="201">
        <v>0</v>
      </c>
      <c r="I15" s="201">
        <v>0</v>
      </c>
      <c r="J15" s="201">
        <v>0</v>
      </c>
      <c r="K15" s="201">
        <v>0</v>
      </c>
      <c r="L15" s="201">
        <v>0</v>
      </c>
      <c r="M15" s="330">
        <v>0</v>
      </c>
      <c r="N15" s="202">
        <v>-1</v>
      </c>
    </row>
    <row r="16" spans="1:14" ht="15.75" customHeight="1">
      <c r="A16" s="198" t="s">
        <v>159</v>
      </c>
      <c r="B16" s="199" t="s">
        <v>160</v>
      </c>
      <c r="C16" s="199" t="s">
        <v>166</v>
      </c>
      <c r="D16" s="200" t="s">
        <v>163</v>
      </c>
      <c r="E16" s="213">
        <v>2.1</v>
      </c>
      <c r="F16" s="201">
        <v>0</v>
      </c>
      <c r="G16" s="201">
        <v>1</v>
      </c>
      <c r="H16" s="201">
        <v>1</v>
      </c>
      <c r="I16" s="201">
        <v>3</v>
      </c>
      <c r="J16" s="201">
        <v>1</v>
      </c>
      <c r="K16" s="201">
        <v>2</v>
      </c>
      <c r="L16" s="201">
        <v>1</v>
      </c>
      <c r="M16" s="330">
        <v>1</v>
      </c>
      <c r="N16" s="202">
        <v>-0.52380952380952384</v>
      </c>
    </row>
    <row r="17" spans="1:14" ht="15.75" customHeight="1">
      <c r="A17" s="198" t="s">
        <v>159</v>
      </c>
      <c r="B17" s="199" t="s">
        <v>160</v>
      </c>
      <c r="C17" s="199" t="s">
        <v>166</v>
      </c>
      <c r="D17" s="200" t="s">
        <v>164</v>
      </c>
      <c r="E17" s="213">
        <v>1.9</v>
      </c>
      <c r="F17" s="201">
        <v>0</v>
      </c>
      <c r="G17" s="201">
        <v>1</v>
      </c>
      <c r="H17" s="201">
        <v>1</v>
      </c>
      <c r="I17" s="201">
        <v>3</v>
      </c>
      <c r="J17" s="201">
        <v>1</v>
      </c>
      <c r="K17" s="201">
        <v>2</v>
      </c>
      <c r="L17" s="201">
        <v>1</v>
      </c>
      <c r="M17" s="330">
        <v>1</v>
      </c>
      <c r="N17" s="202">
        <v>-0.47368421052631576</v>
      </c>
    </row>
    <row r="18" spans="1:14" ht="15.75" customHeight="1">
      <c r="A18" s="198" t="s">
        <v>159</v>
      </c>
      <c r="B18" s="199" t="s">
        <v>160</v>
      </c>
      <c r="C18" s="199" t="s">
        <v>166</v>
      </c>
      <c r="D18" s="200" t="s">
        <v>165</v>
      </c>
      <c r="E18" s="213">
        <v>20.2</v>
      </c>
      <c r="F18" s="201">
        <v>27</v>
      </c>
      <c r="G18" s="201">
        <v>21</v>
      </c>
      <c r="H18" s="201">
        <v>20</v>
      </c>
      <c r="I18" s="201">
        <v>11</v>
      </c>
      <c r="J18" s="201">
        <v>21</v>
      </c>
      <c r="K18" s="201">
        <v>13</v>
      </c>
      <c r="L18" s="201">
        <v>12</v>
      </c>
      <c r="M18" s="330">
        <v>11</v>
      </c>
      <c r="N18" s="202">
        <v>-0.45544554455445541</v>
      </c>
    </row>
    <row r="19" spans="1:14" ht="15.75" customHeight="1">
      <c r="A19" s="198" t="s">
        <v>159</v>
      </c>
      <c r="B19" s="199" t="s">
        <v>160</v>
      </c>
      <c r="C19" s="199" t="s">
        <v>166</v>
      </c>
      <c r="D19" s="203" t="s">
        <v>91</v>
      </c>
      <c r="E19" s="214">
        <v>22.3</v>
      </c>
      <c r="F19" s="204">
        <v>27</v>
      </c>
      <c r="G19" s="204">
        <v>22</v>
      </c>
      <c r="H19" s="204">
        <v>21</v>
      </c>
      <c r="I19" s="204">
        <v>14</v>
      </c>
      <c r="J19" s="204">
        <v>22</v>
      </c>
      <c r="K19" s="204">
        <v>15</v>
      </c>
      <c r="L19" s="204">
        <v>13</v>
      </c>
      <c r="M19" s="331">
        <v>12</v>
      </c>
      <c r="N19" s="202">
        <v>-0.46188340807174888</v>
      </c>
    </row>
    <row r="20" spans="1:14" ht="15.75" customHeight="1">
      <c r="A20" s="198" t="s">
        <v>159</v>
      </c>
      <c r="B20" s="199" t="s">
        <v>160</v>
      </c>
      <c r="C20" s="199" t="s">
        <v>133</v>
      </c>
      <c r="D20" s="200" t="s">
        <v>162</v>
      </c>
      <c r="E20" s="213">
        <v>0.8</v>
      </c>
      <c r="F20" s="201">
        <v>1</v>
      </c>
      <c r="G20" s="201">
        <v>0</v>
      </c>
      <c r="H20" s="201">
        <v>1</v>
      </c>
      <c r="I20" s="201">
        <v>0</v>
      </c>
      <c r="J20" s="201">
        <v>2</v>
      </c>
      <c r="K20" s="201">
        <v>1</v>
      </c>
      <c r="L20" s="201">
        <v>0</v>
      </c>
      <c r="M20" s="330">
        <v>0</v>
      </c>
      <c r="N20" s="202">
        <v>-1</v>
      </c>
    </row>
    <row r="21" spans="1:14" ht="15.75" customHeight="1">
      <c r="A21" s="198" t="s">
        <v>159</v>
      </c>
      <c r="B21" s="199" t="s">
        <v>160</v>
      </c>
      <c r="C21" s="199" t="s">
        <v>133</v>
      </c>
      <c r="D21" s="200" t="s">
        <v>163</v>
      </c>
      <c r="E21" s="213">
        <v>16.7</v>
      </c>
      <c r="F21" s="201">
        <v>30</v>
      </c>
      <c r="G21" s="201">
        <v>23</v>
      </c>
      <c r="H21" s="201">
        <v>21</v>
      </c>
      <c r="I21" s="201">
        <v>16</v>
      </c>
      <c r="J21" s="201">
        <v>20</v>
      </c>
      <c r="K21" s="201">
        <v>15</v>
      </c>
      <c r="L21" s="201">
        <v>15</v>
      </c>
      <c r="M21" s="330">
        <v>8</v>
      </c>
      <c r="N21" s="202">
        <v>-0.52095808383233533</v>
      </c>
    </row>
    <row r="22" spans="1:14" ht="15.75" customHeight="1">
      <c r="A22" s="198" t="s">
        <v>159</v>
      </c>
      <c r="B22" s="199" t="s">
        <v>160</v>
      </c>
      <c r="C22" s="199" t="s">
        <v>133</v>
      </c>
      <c r="D22" s="200" t="s">
        <v>164</v>
      </c>
      <c r="E22" s="213">
        <v>15.9</v>
      </c>
      <c r="F22" s="201">
        <v>29</v>
      </c>
      <c r="G22" s="201">
        <v>23</v>
      </c>
      <c r="H22" s="201">
        <v>20</v>
      </c>
      <c r="I22" s="201">
        <v>16</v>
      </c>
      <c r="J22" s="201">
        <v>18</v>
      </c>
      <c r="K22" s="201">
        <v>14</v>
      </c>
      <c r="L22" s="201">
        <v>15</v>
      </c>
      <c r="M22" s="330">
        <v>8</v>
      </c>
      <c r="N22" s="202">
        <v>-0.49685534591194969</v>
      </c>
    </row>
    <row r="23" spans="1:14" ht="15.75" customHeight="1">
      <c r="A23" s="198" t="s">
        <v>159</v>
      </c>
      <c r="B23" s="199" t="s">
        <v>160</v>
      </c>
      <c r="C23" s="199" t="s">
        <v>133</v>
      </c>
      <c r="D23" s="200" t="s">
        <v>165</v>
      </c>
      <c r="E23" s="213">
        <v>48</v>
      </c>
      <c r="F23" s="201">
        <v>60</v>
      </c>
      <c r="G23" s="201">
        <v>41</v>
      </c>
      <c r="H23" s="201">
        <v>54</v>
      </c>
      <c r="I23" s="201">
        <v>40</v>
      </c>
      <c r="J23" s="201">
        <v>55</v>
      </c>
      <c r="K23" s="201">
        <v>67</v>
      </c>
      <c r="L23" s="201">
        <v>66</v>
      </c>
      <c r="M23" s="330">
        <v>66</v>
      </c>
      <c r="N23" s="202">
        <v>0.375</v>
      </c>
    </row>
    <row r="24" spans="1:14" ht="15.75" customHeight="1">
      <c r="A24" s="198" t="s">
        <v>159</v>
      </c>
      <c r="B24" s="199" t="s">
        <v>160</v>
      </c>
      <c r="C24" s="199" t="s">
        <v>133</v>
      </c>
      <c r="D24" s="203" t="s">
        <v>91</v>
      </c>
      <c r="E24" s="214">
        <v>64.7</v>
      </c>
      <c r="F24" s="204">
        <v>90</v>
      </c>
      <c r="G24" s="204">
        <v>64</v>
      </c>
      <c r="H24" s="204">
        <v>75</v>
      </c>
      <c r="I24" s="204">
        <v>56</v>
      </c>
      <c r="J24" s="204">
        <v>75</v>
      </c>
      <c r="K24" s="204">
        <v>82</v>
      </c>
      <c r="L24" s="204">
        <v>81</v>
      </c>
      <c r="M24" s="331">
        <v>74</v>
      </c>
      <c r="N24" s="202">
        <v>0.14374034003091185</v>
      </c>
    </row>
    <row r="25" spans="1:14" ht="15.75" customHeight="1">
      <c r="A25" s="198" t="s">
        <v>159</v>
      </c>
      <c r="B25" s="199" t="s">
        <v>160</v>
      </c>
      <c r="C25" s="199" t="s">
        <v>167</v>
      </c>
      <c r="D25" s="200" t="s">
        <v>162</v>
      </c>
      <c r="E25" s="213">
        <v>0</v>
      </c>
      <c r="F25" s="201">
        <v>0</v>
      </c>
      <c r="G25" s="201">
        <v>0</v>
      </c>
      <c r="H25" s="201">
        <v>0</v>
      </c>
      <c r="I25" s="201">
        <v>0</v>
      </c>
      <c r="J25" s="201">
        <v>0</v>
      </c>
      <c r="K25" s="201">
        <v>0</v>
      </c>
      <c r="L25" s="201">
        <v>0</v>
      </c>
      <c r="M25" s="330">
        <v>0</v>
      </c>
      <c r="N25" s="202">
        <v>0</v>
      </c>
    </row>
    <row r="26" spans="1:14" ht="15.75" customHeight="1">
      <c r="A26" s="198" t="s">
        <v>159</v>
      </c>
      <c r="B26" s="199" t="s">
        <v>160</v>
      </c>
      <c r="C26" s="199" t="s">
        <v>167</v>
      </c>
      <c r="D26" s="200" t="s">
        <v>163</v>
      </c>
      <c r="E26" s="213">
        <v>1.1000000000000001</v>
      </c>
      <c r="F26" s="201">
        <v>1</v>
      </c>
      <c r="G26" s="201">
        <v>0</v>
      </c>
      <c r="H26" s="201">
        <v>0</v>
      </c>
      <c r="I26" s="201">
        <v>0</v>
      </c>
      <c r="J26" s="201">
        <v>1</v>
      </c>
      <c r="K26" s="201">
        <v>2</v>
      </c>
      <c r="L26" s="201">
        <v>1</v>
      </c>
      <c r="M26" s="330">
        <v>0</v>
      </c>
      <c r="N26" s="202">
        <v>-1</v>
      </c>
    </row>
    <row r="27" spans="1:14" ht="15.75" customHeight="1">
      <c r="A27" s="198" t="s">
        <v>159</v>
      </c>
      <c r="B27" s="199" t="s">
        <v>160</v>
      </c>
      <c r="C27" s="199" t="s">
        <v>167</v>
      </c>
      <c r="D27" s="200" t="s">
        <v>164</v>
      </c>
      <c r="E27" s="213">
        <v>1.1000000000000001</v>
      </c>
      <c r="F27" s="201">
        <v>1</v>
      </c>
      <c r="G27" s="201">
        <v>0</v>
      </c>
      <c r="H27" s="201">
        <v>0</v>
      </c>
      <c r="I27" s="201">
        <v>0</v>
      </c>
      <c r="J27" s="201">
        <v>1</v>
      </c>
      <c r="K27" s="201">
        <v>2</v>
      </c>
      <c r="L27" s="201">
        <v>1</v>
      </c>
      <c r="M27" s="330">
        <v>0</v>
      </c>
      <c r="N27" s="202">
        <v>-1</v>
      </c>
    </row>
    <row r="28" spans="1:14" ht="15.75" customHeight="1">
      <c r="A28" s="198" t="s">
        <v>159</v>
      </c>
      <c r="B28" s="199" t="s">
        <v>160</v>
      </c>
      <c r="C28" s="199" t="s">
        <v>167</v>
      </c>
      <c r="D28" s="200" t="s">
        <v>165</v>
      </c>
      <c r="E28" s="213">
        <v>2.6</v>
      </c>
      <c r="F28" s="201">
        <v>3</v>
      </c>
      <c r="G28" s="201">
        <v>2</v>
      </c>
      <c r="H28" s="201">
        <v>6</v>
      </c>
      <c r="I28" s="201">
        <v>4</v>
      </c>
      <c r="J28" s="201">
        <v>12</v>
      </c>
      <c r="K28" s="201">
        <v>8</v>
      </c>
      <c r="L28" s="201">
        <v>6</v>
      </c>
      <c r="M28" s="330">
        <v>5</v>
      </c>
      <c r="N28" s="202">
        <v>0.92307692307692302</v>
      </c>
    </row>
    <row r="29" spans="1:14" ht="15.75" customHeight="1">
      <c r="A29" s="198" t="s">
        <v>159</v>
      </c>
      <c r="B29" s="199" t="s">
        <v>160</v>
      </c>
      <c r="C29" s="199" t="s">
        <v>167</v>
      </c>
      <c r="D29" s="203" t="s">
        <v>91</v>
      </c>
      <c r="E29" s="214">
        <v>3.7</v>
      </c>
      <c r="F29" s="204">
        <v>4</v>
      </c>
      <c r="G29" s="204">
        <v>2</v>
      </c>
      <c r="H29" s="204">
        <v>6</v>
      </c>
      <c r="I29" s="204">
        <v>4</v>
      </c>
      <c r="J29" s="204">
        <v>13</v>
      </c>
      <c r="K29" s="204">
        <v>10</v>
      </c>
      <c r="L29" s="204">
        <v>7</v>
      </c>
      <c r="M29" s="331">
        <v>5</v>
      </c>
      <c r="N29" s="202">
        <v>0.35135135135135126</v>
      </c>
    </row>
    <row r="30" spans="1:14">
      <c r="A30" s="198" t="s">
        <v>159</v>
      </c>
      <c r="B30" s="199" t="s">
        <v>160</v>
      </c>
      <c r="C30" s="199" t="s">
        <v>168</v>
      </c>
      <c r="D30" s="200" t="s">
        <v>162</v>
      </c>
      <c r="E30" s="213">
        <v>0.4</v>
      </c>
      <c r="F30" s="201">
        <v>0</v>
      </c>
      <c r="G30" s="201">
        <v>0</v>
      </c>
      <c r="H30" s="201">
        <v>0</v>
      </c>
      <c r="I30" s="201">
        <v>0</v>
      </c>
      <c r="J30" s="201">
        <v>0</v>
      </c>
      <c r="K30" s="201">
        <v>0</v>
      </c>
      <c r="L30" s="201">
        <v>0</v>
      </c>
      <c r="M30" s="330">
        <v>0</v>
      </c>
      <c r="N30" s="202">
        <v>-1</v>
      </c>
    </row>
    <row r="31" spans="1:14" ht="15.75" customHeight="1">
      <c r="A31" s="198" t="s">
        <v>159</v>
      </c>
      <c r="B31" s="199" t="s">
        <v>160</v>
      </c>
      <c r="C31" s="199" t="s">
        <v>168</v>
      </c>
      <c r="D31" s="200" t="s">
        <v>163</v>
      </c>
      <c r="E31" s="213">
        <v>8.5</v>
      </c>
      <c r="F31" s="201">
        <v>15</v>
      </c>
      <c r="G31" s="201">
        <v>12</v>
      </c>
      <c r="H31" s="201">
        <v>12</v>
      </c>
      <c r="I31" s="201">
        <v>3</v>
      </c>
      <c r="J31" s="201">
        <v>5</v>
      </c>
      <c r="K31" s="201">
        <v>8</v>
      </c>
      <c r="L31" s="201">
        <v>5</v>
      </c>
      <c r="M31" s="330">
        <v>10</v>
      </c>
      <c r="N31" s="202">
        <v>0.17647058823529413</v>
      </c>
    </row>
    <row r="32" spans="1:14" ht="15.75" customHeight="1">
      <c r="A32" s="198" t="s">
        <v>159</v>
      </c>
      <c r="B32" s="199" t="s">
        <v>160</v>
      </c>
      <c r="C32" s="199" t="s">
        <v>168</v>
      </c>
      <c r="D32" s="200" t="s">
        <v>164</v>
      </c>
      <c r="E32" s="213">
        <v>8.1</v>
      </c>
      <c r="F32" s="201">
        <v>15</v>
      </c>
      <c r="G32" s="201">
        <v>12</v>
      </c>
      <c r="H32" s="201">
        <v>12</v>
      </c>
      <c r="I32" s="201">
        <v>3</v>
      </c>
      <c r="J32" s="201">
        <v>5</v>
      </c>
      <c r="K32" s="201">
        <v>8</v>
      </c>
      <c r="L32" s="201">
        <v>5</v>
      </c>
      <c r="M32" s="330">
        <v>10</v>
      </c>
      <c r="N32" s="202">
        <v>0.23456790123456794</v>
      </c>
    </row>
    <row r="33" spans="1:14" ht="15.75" customHeight="1">
      <c r="A33" s="198" t="s">
        <v>159</v>
      </c>
      <c r="B33" s="199" t="s">
        <v>160</v>
      </c>
      <c r="C33" s="199" t="s">
        <v>168</v>
      </c>
      <c r="D33" s="200" t="s">
        <v>165</v>
      </c>
      <c r="E33" s="213">
        <v>35</v>
      </c>
      <c r="F33" s="201">
        <v>27</v>
      </c>
      <c r="G33" s="201">
        <v>29</v>
      </c>
      <c r="H33" s="201">
        <v>48</v>
      </c>
      <c r="I33" s="201">
        <v>29</v>
      </c>
      <c r="J33" s="201">
        <v>44</v>
      </c>
      <c r="K33" s="201">
        <v>34</v>
      </c>
      <c r="L33" s="201">
        <v>30</v>
      </c>
      <c r="M33" s="330">
        <v>44</v>
      </c>
      <c r="N33" s="202">
        <v>0.25714285714285712</v>
      </c>
    </row>
    <row r="34" spans="1:14" ht="15.75" customHeight="1">
      <c r="A34" s="198" t="s">
        <v>159</v>
      </c>
      <c r="B34" s="199" t="s">
        <v>160</v>
      </c>
      <c r="C34" s="199" t="s">
        <v>168</v>
      </c>
      <c r="D34" s="203" t="s">
        <v>91</v>
      </c>
      <c r="E34" s="214">
        <v>43.5</v>
      </c>
      <c r="F34" s="204">
        <v>42</v>
      </c>
      <c r="G34" s="204">
        <v>41</v>
      </c>
      <c r="H34" s="204">
        <v>60</v>
      </c>
      <c r="I34" s="204">
        <v>32</v>
      </c>
      <c r="J34" s="204">
        <v>49</v>
      </c>
      <c r="K34" s="204">
        <v>42</v>
      </c>
      <c r="L34" s="204">
        <v>35</v>
      </c>
      <c r="M34" s="331">
        <v>54</v>
      </c>
      <c r="N34" s="202">
        <v>0.2413793103448276</v>
      </c>
    </row>
    <row r="35" spans="1:14" ht="15.75" customHeight="1">
      <c r="A35" s="198" t="s">
        <v>159</v>
      </c>
      <c r="B35" s="199" t="s">
        <v>160</v>
      </c>
      <c r="C35" s="199" t="s">
        <v>131</v>
      </c>
      <c r="D35" s="200" t="s">
        <v>162</v>
      </c>
      <c r="E35" s="213">
        <v>1</v>
      </c>
      <c r="F35" s="201">
        <v>2</v>
      </c>
      <c r="G35" s="201">
        <v>0</v>
      </c>
      <c r="H35" s="201">
        <v>2</v>
      </c>
      <c r="I35" s="201">
        <v>1</v>
      </c>
      <c r="J35" s="201">
        <v>0</v>
      </c>
      <c r="K35" s="201">
        <v>0</v>
      </c>
      <c r="L35" s="201">
        <v>0</v>
      </c>
      <c r="M35" s="330">
        <v>3</v>
      </c>
      <c r="N35" s="202">
        <v>2</v>
      </c>
    </row>
    <row r="36" spans="1:14" ht="15.75" customHeight="1">
      <c r="A36" s="198" t="s">
        <v>159</v>
      </c>
      <c r="B36" s="199" t="s">
        <v>160</v>
      </c>
      <c r="C36" s="199" t="s">
        <v>131</v>
      </c>
      <c r="D36" s="200" t="s">
        <v>163</v>
      </c>
      <c r="E36" s="213">
        <v>25</v>
      </c>
      <c r="F36" s="201">
        <v>28</v>
      </c>
      <c r="G36" s="201">
        <v>29</v>
      </c>
      <c r="H36" s="201">
        <v>29</v>
      </c>
      <c r="I36" s="201">
        <v>19</v>
      </c>
      <c r="J36" s="201">
        <v>17</v>
      </c>
      <c r="K36" s="201">
        <v>20</v>
      </c>
      <c r="L36" s="201">
        <v>23</v>
      </c>
      <c r="M36" s="330">
        <v>24</v>
      </c>
      <c r="N36" s="202">
        <v>-0.04</v>
      </c>
    </row>
    <row r="37" spans="1:14" ht="15.75" customHeight="1">
      <c r="A37" s="198" t="s">
        <v>159</v>
      </c>
      <c r="B37" s="199" t="s">
        <v>160</v>
      </c>
      <c r="C37" s="199" t="s">
        <v>131</v>
      </c>
      <c r="D37" s="200" t="s">
        <v>164</v>
      </c>
      <c r="E37" s="213">
        <v>24</v>
      </c>
      <c r="F37" s="201">
        <v>26</v>
      </c>
      <c r="G37" s="201">
        <v>29</v>
      </c>
      <c r="H37" s="201">
        <v>27</v>
      </c>
      <c r="I37" s="201">
        <v>18</v>
      </c>
      <c r="J37" s="201">
        <v>17</v>
      </c>
      <c r="K37" s="201">
        <v>20</v>
      </c>
      <c r="L37" s="201">
        <v>23</v>
      </c>
      <c r="M37" s="330">
        <v>21</v>
      </c>
      <c r="N37" s="202">
        <v>-0.125</v>
      </c>
    </row>
    <row r="38" spans="1:14" ht="15.75" customHeight="1">
      <c r="A38" s="198" t="s">
        <v>159</v>
      </c>
      <c r="B38" s="199" t="s">
        <v>160</v>
      </c>
      <c r="C38" s="199" t="s">
        <v>131</v>
      </c>
      <c r="D38" s="200" t="s">
        <v>165</v>
      </c>
      <c r="E38" s="213">
        <v>73.099999999999994</v>
      </c>
      <c r="F38" s="201">
        <v>108</v>
      </c>
      <c r="G38" s="201">
        <v>76</v>
      </c>
      <c r="H38" s="201">
        <v>80</v>
      </c>
      <c r="I38" s="201">
        <v>77</v>
      </c>
      <c r="J38" s="201">
        <v>66</v>
      </c>
      <c r="K38" s="201">
        <v>86</v>
      </c>
      <c r="L38" s="201">
        <v>79</v>
      </c>
      <c r="M38" s="330">
        <v>82</v>
      </c>
      <c r="N38" s="202">
        <v>0.12175102599179215</v>
      </c>
    </row>
    <row r="39" spans="1:14" ht="15.75" customHeight="1">
      <c r="A39" s="198" t="s">
        <v>159</v>
      </c>
      <c r="B39" s="199" t="s">
        <v>160</v>
      </c>
      <c r="C39" s="199" t="s">
        <v>131</v>
      </c>
      <c r="D39" s="203" t="s">
        <v>91</v>
      </c>
      <c r="E39" s="214">
        <v>98.1</v>
      </c>
      <c r="F39" s="204">
        <v>136</v>
      </c>
      <c r="G39" s="204">
        <v>105</v>
      </c>
      <c r="H39" s="204">
        <v>109</v>
      </c>
      <c r="I39" s="204">
        <v>96</v>
      </c>
      <c r="J39" s="204">
        <v>83</v>
      </c>
      <c r="K39" s="204">
        <v>106</v>
      </c>
      <c r="L39" s="204">
        <v>102</v>
      </c>
      <c r="M39" s="331">
        <v>106</v>
      </c>
      <c r="N39" s="202">
        <v>8.0530071355759486E-2</v>
      </c>
    </row>
    <row r="40" spans="1:14" ht="15.75" customHeight="1">
      <c r="A40" s="198" t="s">
        <v>159</v>
      </c>
      <c r="B40" s="199" t="s">
        <v>160</v>
      </c>
      <c r="C40" s="199" t="s">
        <v>169</v>
      </c>
      <c r="D40" s="200" t="s">
        <v>162</v>
      </c>
      <c r="E40" s="213">
        <v>0</v>
      </c>
      <c r="F40" s="201">
        <v>0</v>
      </c>
      <c r="G40" s="201">
        <v>0</v>
      </c>
      <c r="H40" s="201">
        <v>0</v>
      </c>
      <c r="I40" s="201">
        <v>0</v>
      </c>
      <c r="J40" s="201">
        <v>0</v>
      </c>
      <c r="K40" s="201">
        <v>1</v>
      </c>
      <c r="L40" s="201">
        <v>0</v>
      </c>
      <c r="M40" s="330">
        <v>0</v>
      </c>
      <c r="N40" s="202">
        <v>0</v>
      </c>
    </row>
    <row r="41" spans="1:14" ht="15.75" customHeight="1">
      <c r="A41" s="198" t="s">
        <v>159</v>
      </c>
      <c r="B41" s="199" t="s">
        <v>160</v>
      </c>
      <c r="C41" s="199" t="s">
        <v>169</v>
      </c>
      <c r="D41" s="200" t="s">
        <v>163</v>
      </c>
      <c r="E41" s="213">
        <v>0</v>
      </c>
      <c r="F41" s="201">
        <v>0</v>
      </c>
      <c r="G41" s="201">
        <v>0</v>
      </c>
      <c r="H41" s="201">
        <v>1</v>
      </c>
      <c r="I41" s="201">
        <v>2</v>
      </c>
      <c r="J41" s="201">
        <v>0</v>
      </c>
      <c r="K41" s="201">
        <v>2</v>
      </c>
      <c r="L41" s="201">
        <v>2</v>
      </c>
      <c r="M41" s="330">
        <v>1</v>
      </c>
      <c r="N41" s="202">
        <v>0</v>
      </c>
    </row>
    <row r="42" spans="1:14" ht="15.75" customHeight="1">
      <c r="A42" s="198" t="s">
        <v>159</v>
      </c>
      <c r="B42" s="199" t="s">
        <v>160</v>
      </c>
      <c r="C42" s="199" t="s">
        <v>169</v>
      </c>
      <c r="D42" s="200" t="s">
        <v>164</v>
      </c>
      <c r="E42" s="213">
        <v>0</v>
      </c>
      <c r="F42" s="201">
        <v>0</v>
      </c>
      <c r="G42" s="201">
        <v>0</v>
      </c>
      <c r="H42" s="201">
        <v>1</v>
      </c>
      <c r="I42" s="201">
        <v>2</v>
      </c>
      <c r="J42" s="201">
        <v>0</v>
      </c>
      <c r="K42" s="201">
        <v>1</v>
      </c>
      <c r="L42" s="201">
        <v>2</v>
      </c>
      <c r="M42" s="330">
        <v>1</v>
      </c>
      <c r="N42" s="202">
        <v>0</v>
      </c>
    </row>
    <row r="43" spans="1:14" ht="15.75" customHeight="1">
      <c r="A43" s="198" t="s">
        <v>159</v>
      </c>
      <c r="B43" s="199" t="s">
        <v>160</v>
      </c>
      <c r="C43" s="199" t="s">
        <v>169</v>
      </c>
      <c r="D43" s="200" t="s">
        <v>165</v>
      </c>
      <c r="E43" s="213">
        <v>0</v>
      </c>
      <c r="F43" s="201">
        <v>21</v>
      </c>
      <c r="G43" s="201">
        <v>13</v>
      </c>
      <c r="H43" s="201">
        <v>9</v>
      </c>
      <c r="I43" s="201">
        <v>4</v>
      </c>
      <c r="J43" s="201">
        <v>11</v>
      </c>
      <c r="K43" s="201">
        <v>3</v>
      </c>
      <c r="L43" s="201">
        <v>9</v>
      </c>
      <c r="M43" s="330">
        <v>5</v>
      </c>
      <c r="N43" s="202">
        <v>0</v>
      </c>
    </row>
    <row r="44" spans="1:14" ht="15.75" customHeight="1">
      <c r="A44" s="198" t="s">
        <v>159</v>
      </c>
      <c r="B44" s="199" t="s">
        <v>160</v>
      </c>
      <c r="C44" s="199" t="s">
        <v>169</v>
      </c>
      <c r="D44" s="203" t="s">
        <v>91</v>
      </c>
      <c r="E44" s="214">
        <v>0</v>
      </c>
      <c r="F44" s="204">
        <v>21</v>
      </c>
      <c r="G44" s="204">
        <v>13</v>
      </c>
      <c r="H44" s="204">
        <v>10</v>
      </c>
      <c r="I44" s="204">
        <v>6</v>
      </c>
      <c r="J44" s="204">
        <v>11</v>
      </c>
      <c r="K44" s="204">
        <v>5</v>
      </c>
      <c r="L44" s="204">
        <v>11</v>
      </c>
      <c r="M44" s="331">
        <v>6</v>
      </c>
      <c r="N44" s="202">
        <v>0</v>
      </c>
    </row>
    <row r="45" spans="1:14" ht="15.75" customHeight="1">
      <c r="A45" s="198" t="s">
        <v>159</v>
      </c>
      <c r="B45" s="199" t="s">
        <v>160</v>
      </c>
      <c r="C45" s="199" t="s">
        <v>139</v>
      </c>
      <c r="D45" s="200" t="s">
        <v>162</v>
      </c>
      <c r="E45" s="213">
        <v>0</v>
      </c>
      <c r="F45" s="201">
        <v>0</v>
      </c>
      <c r="G45" s="201">
        <v>1</v>
      </c>
      <c r="H45" s="201">
        <v>0</v>
      </c>
      <c r="I45" s="201">
        <v>0</v>
      </c>
      <c r="J45" s="201">
        <v>0</v>
      </c>
      <c r="K45" s="201">
        <v>0</v>
      </c>
      <c r="L45" s="201">
        <v>0</v>
      </c>
      <c r="M45" s="261">
        <v>0</v>
      </c>
      <c r="N45" s="202">
        <v>0</v>
      </c>
    </row>
    <row r="46" spans="1:14" ht="15.75" customHeight="1">
      <c r="A46" s="198" t="s">
        <v>159</v>
      </c>
      <c r="B46" s="199" t="s">
        <v>160</v>
      </c>
      <c r="C46" s="199" t="s">
        <v>139</v>
      </c>
      <c r="D46" s="200" t="s">
        <v>163</v>
      </c>
      <c r="E46" s="213">
        <v>0.4</v>
      </c>
      <c r="F46" s="201">
        <v>0</v>
      </c>
      <c r="G46" s="201">
        <v>1</v>
      </c>
      <c r="H46" s="201">
        <v>0</v>
      </c>
      <c r="I46" s="201">
        <v>0</v>
      </c>
      <c r="J46" s="201">
        <v>0</v>
      </c>
      <c r="K46" s="201">
        <v>0</v>
      </c>
      <c r="L46" s="201">
        <v>0</v>
      </c>
      <c r="M46" s="330">
        <v>1</v>
      </c>
      <c r="N46" s="202">
        <v>1.4999999999999998</v>
      </c>
    </row>
    <row r="47" spans="1:14" ht="15.75" customHeight="1">
      <c r="A47" s="198" t="s">
        <v>159</v>
      </c>
      <c r="B47" s="199" t="s">
        <v>160</v>
      </c>
      <c r="C47" s="199" t="s">
        <v>139</v>
      </c>
      <c r="D47" s="200" t="s">
        <v>164</v>
      </c>
      <c r="E47" s="213">
        <v>0.4</v>
      </c>
      <c r="F47" s="201">
        <v>0</v>
      </c>
      <c r="G47" s="201">
        <v>0</v>
      </c>
      <c r="H47" s="201">
        <v>0</v>
      </c>
      <c r="I47" s="201">
        <v>0</v>
      </c>
      <c r="J47" s="201">
        <v>0</v>
      </c>
      <c r="K47" s="201">
        <v>0</v>
      </c>
      <c r="L47" s="201">
        <v>0</v>
      </c>
      <c r="M47" s="330">
        <v>1</v>
      </c>
      <c r="N47" s="202">
        <v>1.4999999999999998</v>
      </c>
    </row>
    <row r="48" spans="1:14" ht="15.75" customHeight="1">
      <c r="A48" s="198" t="s">
        <v>159</v>
      </c>
      <c r="B48" s="199" t="s">
        <v>160</v>
      </c>
      <c r="C48" s="199" t="s">
        <v>139</v>
      </c>
      <c r="D48" s="200" t="s">
        <v>165</v>
      </c>
      <c r="E48" s="213">
        <v>9.9</v>
      </c>
      <c r="F48" s="201">
        <v>0</v>
      </c>
      <c r="G48" s="201">
        <v>14</v>
      </c>
      <c r="H48" s="201">
        <v>12</v>
      </c>
      <c r="I48" s="201">
        <v>16</v>
      </c>
      <c r="J48" s="201">
        <v>7</v>
      </c>
      <c r="K48" s="201">
        <v>11</v>
      </c>
      <c r="L48" s="201">
        <v>7</v>
      </c>
      <c r="M48" s="261">
        <v>0</v>
      </c>
      <c r="N48" s="202">
        <v>-1</v>
      </c>
    </row>
    <row r="49" spans="1:14" ht="15.75" customHeight="1">
      <c r="A49" s="198" t="s">
        <v>159</v>
      </c>
      <c r="B49" s="199" t="s">
        <v>160</v>
      </c>
      <c r="C49" s="199" t="s">
        <v>139</v>
      </c>
      <c r="D49" s="203" t="s">
        <v>91</v>
      </c>
      <c r="E49" s="214">
        <v>10.3</v>
      </c>
      <c r="F49" s="204">
        <v>0</v>
      </c>
      <c r="G49" s="204">
        <v>15</v>
      </c>
      <c r="H49" s="204">
        <v>12</v>
      </c>
      <c r="I49" s="204">
        <v>16</v>
      </c>
      <c r="J49" s="204">
        <v>7</v>
      </c>
      <c r="K49" s="204">
        <v>11</v>
      </c>
      <c r="L49" s="204">
        <v>7</v>
      </c>
      <c r="M49" s="331">
        <v>1</v>
      </c>
      <c r="N49" s="202">
        <v>-0.90291262135922334</v>
      </c>
    </row>
    <row r="50" spans="1:14" ht="15.75" customHeight="1">
      <c r="A50" s="198" t="s">
        <v>159</v>
      </c>
      <c r="B50" s="199" t="s">
        <v>160</v>
      </c>
      <c r="C50" s="205" t="s">
        <v>91</v>
      </c>
      <c r="D50" s="203" t="s">
        <v>162</v>
      </c>
      <c r="E50" s="214">
        <v>3.6</v>
      </c>
      <c r="F50" s="204">
        <v>3</v>
      </c>
      <c r="G50" s="204">
        <v>2</v>
      </c>
      <c r="H50" s="204">
        <v>4</v>
      </c>
      <c r="I50" s="204">
        <v>2</v>
      </c>
      <c r="J50" s="204">
        <v>2</v>
      </c>
      <c r="K50" s="204">
        <v>2</v>
      </c>
      <c r="L50" s="204">
        <v>0</v>
      </c>
      <c r="M50" s="331">
        <v>3</v>
      </c>
      <c r="N50" s="202">
        <v>-0.16666666666666669</v>
      </c>
    </row>
    <row r="51" spans="1:14" ht="15.75" customHeight="1">
      <c r="A51" s="198" t="s">
        <v>175</v>
      </c>
      <c r="B51" s="199" t="s">
        <v>203</v>
      </c>
      <c r="C51" s="205" t="s">
        <v>91</v>
      </c>
      <c r="D51" s="203" t="s">
        <v>163</v>
      </c>
      <c r="E51" s="216">
        <v>329.5</v>
      </c>
      <c r="F51" s="204">
        <v>270</v>
      </c>
      <c r="G51" s="204">
        <v>272</v>
      </c>
      <c r="H51" s="204">
        <v>247</v>
      </c>
      <c r="I51" s="204">
        <v>160</v>
      </c>
      <c r="J51" s="204">
        <v>222</v>
      </c>
      <c r="K51" s="204">
        <v>264</v>
      </c>
      <c r="L51" s="204">
        <v>259</v>
      </c>
      <c r="M51" s="331">
        <v>234</v>
      </c>
      <c r="N51" s="202">
        <v>-0.2898330804248862</v>
      </c>
    </row>
    <row r="52" spans="1:14" ht="15.75" customHeight="1">
      <c r="A52" s="198" t="s">
        <v>159</v>
      </c>
      <c r="B52" s="199" t="s">
        <v>160</v>
      </c>
      <c r="C52" s="205" t="s">
        <v>91</v>
      </c>
      <c r="D52" s="203" t="s">
        <v>164</v>
      </c>
      <c r="E52" s="214">
        <v>79.2</v>
      </c>
      <c r="F52" s="204">
        <v>88</v>
      </c>
      <c r="G52" s="204">
        <v>98</v>
      </c>
      <c r="H52" s="204">
        <v>85</v>
      </c>
      <c r="I52" s="204">
        <v>57</v>
      </c>
      <c r="J52" s="204">
        <v>53</v>
      </c>
      <c r="K52" s="204">
        <v>62</v>
      </c>
      <c r="L52" s="204">
        <v>61</v>
      </c>
      <c r="M52" s="331">
        <v>48</v>
      </c>
      <c r="N52" s="202">
        <v>-0.39393939393939398</v>
      </c>
    </row>
    <row r="53" spans="1:14" ht="15.75" customHeight="1">
      <c r="A53" s="198" t="s">
        <v>159</v>
      </c>
      <c r="B53" s="199" t="s">
        <v>160</v>
      </c>
      <c r="C53" s="205" t="s">
        <v>91</v>
      </c>
      <c r="D53" s="203" t="s">
        <v>165</v>
      </c>
      <c r="E53" s="214">
        <v>550.20000000000005</v>
      </c>
      <c r="F53" s="204">
        <v>746</v>
      </c>
      <c r="G53" s="204">
        <v>694</v>
      </c>
      <c r="H53" s="204">
        <v>706</v>
      </c>
      <c r="I53" s="204">
        <v>536</v>
      </c>
      <c r="J53" s="204">
        <v>560</v>
      </c>
      <c r="K53" s="204">
        <v>517</v>
      </c>
      <c r="L53" s="204">
        <v>522</v>
      </c>
      <c r="M53" s="331">
        <v>549</v>
      </c>
      <c r="N53" s="202">
        <v>-2.1810250817885231E-3</v>
      </c>
    </row>
    <row r="54" spans="1:14" ht="15.75" customHeight="1">
      <c r="A54" s="198" t="s">
        <v>159</v>
      </c>
      <c r="B54" s="199" t="s">
        <v>160</v>
      </c>
      <c r="C54" s="205" t="s">
        <v>91</v>
      </c>
      <c r="D54" s="203" t="s">
        <v>91</v>
      </c>
      <c r="E54" s="214">
        <v>633</v>
      </c>
      <c r="F54" s="204">
        <v>837</v>
      </c>
      <c r="G54" s="204">
        <v>794</v>
      </c>
      <c r="H54" s="204">
        <v>795</v>
      </c>
      <c r="I54" s="204">
        <v>595</v>
      </c>
      <c r="J54" s="204">
        <v>615</v>
      </c>
      <c r="K54" s="204">
        <v>581</v>
      </c>
      <c r="L54" s="204">
        <v>583</v>
      </c>
      <c r="M54" s="331">
        <v>600</v>
      </c>
      <c r="N54" s="202">
        <v>-5.2132701421800945E-2</v>
      </c>
    </row>
    <row r="55" spans="1:14">
      <c r="A55" s="198" t="s">
        <v>159</v>
      </c>
      <c r="B55" s="199" t="s">
        <v>170</v>
      </c>
      <c r="C55" s="199" t="s">
        <v>161</v>
      </c>
      <c r="D55" s="200" t="s">
        <v>162</v>
      </c>
      <c r="E55" s="213">
        <v>0</v>
      </c>
      <c r="F55" s="201">
        <v>0</v>
      </c>
      <c r="G55" s="201">
        <v>0</v>
      </c>
      <c r="H55" s="201">
        <v>0</v>
      </c>
      <c r="I55" s="201">
        <v>0</v>
      </c>
      <c r="J55" s="201">
        <v>0</v>
      </c>
      <c r="K55" s="201">
        <v>0</v>
      </c>
      <c r="L55" s="201">
        <v>0</v>
      </c>
      <c r="M55" s="261">
        <v>0</v>
      </c>
      <c r="N55" s="202">
        <v>0</v>
      </c>
    </row>
    <row r="56" spans="1:14" ht="15.75" customHeight="1">
      <c r="A56" s="198" t="s">
        <v>159</v>
      </c>
      <c r="B56" s="199" t="s">
        <v>170</v>
      </c>
      <c r="C56" s="199" t="s">
        <v>161</v>
      </c>
      <c r="D56" s="200" t="s">
        <v>163</v>
      </c>
      <c r="E56" s="213">
        <v>8</v>
      </c>
      <c r="F56" s="201">
        <v>3</v>
      </c>
      <c r="G56" s="201">
        <v>3</v>
      </c>
      <c r="H56" s="201">
        <v>3</v>
      </c>
      <c r="I56" s="201">
        <v>2</v>
      </c>
      <c r="J56" s="201">
        <v>4</v>
      </c>
      <c r="K56" s="201">
        <v>7</v>
      </c>
      <c r="L56" s="201">
        <v>5</v>
      </c>
      <c r="M56" s="330">
        <v>2</v>
      </c>
      <c r="N56" s="202">
        <v>-0.75</v>
      </c>
    </row>
    <row r="57" spans="1:14" ht="15.75" customHeight="1">
      <c r="A57" s="198" t="s">
        <v>159</v>
      </c>
      <c r="B57" s="199" t="s">
        <v>170</v>
      </c>
      <c r="C57" s="199" t="s">
        <v>161</v>
      </c>
      <c r="D57" s="200" t="s">
        <v>164</v>
      </c>
      <c r="E57" s="213">
        <v>8</v>
      </c>
      <c r="F57" s="201">
        <v>3</v>
      </c>
      <c r="G57" s="201">
        <v>3</v>
      </c>
      <c r="H57" s="201">
        <v>3</v>
      </c>
      <c r="I57" s="201">
        <v>2</v>
      </c>
      <c r="J57" s="201">
        <v>4</v>
      </c>
      <c r="K57" s="201">
        <v>7</v>
      </c>
      <c r="L57" s="201">
        <v>5</v>
      </c>
      <c r="M57" s="330">
        <v>2</v>
      </c>
      <c r="N57" s="202">
        <v>-0.75</v>
      </c>
    </row>
    <row r="58" spans="1:14" ht="15.75" customHeight="1">
      <c r="A58" s="198" t="s">
        <v>159</v>
      </c>
      <c r="B58" s="199" t="s">
        <v>170</v>
      </c>
      <c r="C58" s="199" t="s">
        <v>161</v>
      </c>
      <c r="D58" s="200" t="s">
        <v>165</v>
      </c>
      <c r="E58" s="213">
        <v>45.8</v>
      </c>
      <c r="F58" s="201">
        <v>45</v>
      </c>
      <c r="G58" s="201">
        <v>49</v>
      </c>
      <c r="H58" s="201">
        <v>47</v>
      </c>
      <c r="I58" s="201">
        <v>18</v>
      </c>
      <c r="J58" s="201">
        <v>18</v>
      </c>
      <c r="K58" s="201">
        <v>18</v>
      </c>
      <c r="L58" s="201">
        <v>31</v>
      </c>
      <c r="M58" s="330">
        <v>13</v>
      </c>
      <c r="N58" s="202">
        <v>-0.71615720524017468</v>
      </c>
    </row>
    <row r="59" spans="1:14" ht="15.75" customHeight="1">
      <c r="A59" s="198" t="s">
        <v>159</v>
      </c>
      <c r="B59" s="199" t="s">
        <v>170</v>
      </c>
      <c r="C59" s="199" t="s">
        <v>161</v>
      </c>
      <c r="D59" s="203" t="s">
        <v>91</v>
      </c>
      <c r="E59" s="214">
        <v>53.7</v>
      </c>
      <c r="F59" s="204">
        <v>48</v>
      </c>
      <c r="G59" s="204">
        <v>52</v>
      </c>
      <c r="H59" s="204">
        <v>50</v>
      </c>
      <c r="I59" s="204">
        <v>20</v>
      </c>
      <c r="J59" s="204">
        <v>22</v>
      </c>
      <c r="K59" s="204">
        <v>25</v>
      </c>
      <c r="L59" s="204">
        <v>36</v>
      </c>
      <c r="M59" s="331">
        <v>15</v>
      </c>
      <c r="N59" s="202">
        <v>-0.72067039106145248</v>
      </c>
    </row>
    <row r="60" spans="1:14" ht="15.75" customHeight="1">
      <c r="A60" s="198" t="s">
        <v>159</v>
      </c>
      <c r="B60" s="199" t="s">
        <v>170</v>
      </c>
      <c r="C60" s="199" t="s">
        <v>134</v>
      </c>
      <c r="D60" s="200" t="s">
        <v>162</v>
      </c>
      <c r="E60" s="213">
        <v>1.2</v>
      </c>
      <c r="F60" s="201">
        <v>0</v>
      </c>
      <c r="G60" s="201">
        <v>1</v>
      </c>
      <c r="H60" s="201">
        <v>0</v>
      </c>
      <c r="I60" s="201">
        <v>0</v>
      </c>
      <c r="J60" s="201">
        <v>0</v>
      </c>
      <c r="K60" s="201">
        <v>4</v>
      </c>
      <c r="L60" s="201">
        <v>0</v>
      </c>
      <c r="M60" s="330">
        <v>2</v>
      </c>
      <c r="N60" s="202">
        <v>0.66666666666666674</v>
      </c>
    </row>
    <row r="61" spans="1:14" ht="15.75" customHeight="1">
      <c r="A61" s="198" t="s">
        <v>159</v>
      </c>
      <c r="B61" s="199" t="s">
        <v>170</v>
      </c>
      <c r="C61" s="199" t="s">
        <v>134</v>
      </c>
      <c r="D61" s="200" t="s">
        <v>163</v>
      </c>
      <c r="E61" s="213">
        <v>72</v>
      </c>
      <c r="F61" s="201">
        <v>29</v>
      </c>
      <c r="G61" s="201">
        <v>28</v>
      </c>
      <c r="H61" s="201">
        <v>34</v>
      </c>
      <c r="I61" s="201">
        <v>19</v>
      </c>
      <c r="J61" s="201">
        <v>19</v>
      </c>
      <c r="K61" s="201">
        <v>32</v>
      </c>
      <c r="L61" s="201">
        <v>25</v>
      </c>
      <c r="M61" s="330">
        <v>21</v>
      </c>
      <c r="N61" s="202">
        <v>-0.70833333333333337</v>
      </c>
    </row>
    <row r="62" spans="1:14" ht="15.75" customHeight="1">
      <c r="A62" s="198" t="s">
        <v>159</v>
      </c>
      <c r="B62" s="199" t="s">
        <v>170</v>
      </c>
      <c r="C62" s="199" t="s">
        <v>134</v>
      </c>
      <c r="D62" s="200" t="s">
        <v>164</v>
      </c>
      <c r="E62" s="213">
        <v>70.8</v>
      </c>
      <c r="F62" s="201">
        <v>29</v>
      </c>
      <c r="G62" s="201">
        <v>27</v>
      </c>
      <c r="H62" s="201">
        <v>34</v>
      </c>
      <c r="I62" s="201">
        <v>19</v>
      </c>
      <c r="J62" s="201">
        <v>19</v>
      </c>
      <c r="K62" s="201">
        <v>28</v>
      </c>
      <c r="L62" s="201">
        <v>25</v>
      </c>
      <c r="M62" s="330">
        <v>19</v>
      </c>
      <c r="N62" s="202">
        <v>-0.73163841807909602</v>
      </c>
    </row>
    <row r="63" spans="1:14" ht="15.75" customHeight="1">
      <c r="A63" s="198" t="s">
        <v>159</v>
      </c>
      <c r="B63" s="199" t="s">
        <v>170</v>
      </c>
      <c r="C63" s="199" t="s">
        <v>134</v>
      </c>
      <c r="D63" s="200" t="s">
        <v>165</v>
      </c>
      <c r="E63" s="213">
        <v>763.3</v>
      </c>
      <c r="F63" s="201">
        <v>667</v>
      </c>
      <c r="G63" s="201">
        <v>596</v>
      </c>
      <c r="H63" s="201">
        <v>555</v>
      </c>
      <c r="I63" s="201">
        <v>443</v>
      </c>
      <c r="J63" s="201">
        <v>438</v>
      </c>
      <c r="K63" s="201">
        <v>422</v>
      </c>
      <c r="L63" s="201">
        <v>341</v>
      </c>
      <c r="M63" s="330">
        <v>329</v>
      </c>
      <c r="N63" s="202">
        <v>-0.56897681121446353</v>
      </c>
    </row>
    <row r="64" spans="1:14" ht="15.75" customHeight="1">
      <c r="A64" s="198" t="s">
        <v>159</v>
      </c>
      <c r="B64" s="199" t="s">
        <v>170</v>
      </c>
      <c r="C64" s="199" t="s">
        <v>134</v>
      </c>
      <c r="D64" s="203" t="s">
        <v>91</v>
      </c>
      <c r="E64" s="214">
        <v>835.3</v>
      </c>
      <c r="F64" s="204">
        <v>696</v>
      </c>
      <c r="G64" s="204">
        <v>624</v>
      </c>
      <c r="H64" s="204">
        <v>589</v>
      </c>
      <c r="I64" s="204">
        <v>462</v>
      </c>
      <c r="J64" s="204">
        <v>457</v>
      </c>
      <c r="K64" s="204">
        <v>454</v>
      </c>
      <c r="L64" s="204">
        <v>366</v>
      </c>
      <c r="M64" s="331">
        <v>350</v>
      </c>
      <c r="N64" s="202">
        <v>-0.58098886627558954</v>
      </c>
    </row>
    <row r="65" spans="1:14">
      <c r="A65" s="198" t="s">
        <v>159</v>
      </c>
      <c r="B65" s="199" t="s">
        <v>170</v>
      </c>
      <c r="C65" s="199" t="s">
        <v>166</v>
      </c>
      <c r="D65" s="200" t="s">
        <v>162</v>
      </c>
      <c r="E65" s="213">
        <v>0</v>
      </c>
      <c r="F65" s="201">
        <v>0</v>
      </c>
      <c r="G65" s="201">
        <v>0</v>
      </c>
      <c r="H65" s="201">
        <v>0</v>
      </c>
      <c r="I65" s="201">
        <v>0</v>
      </c>
      <c r="J65" s="201">
        <v>0</v>
      </c>
      <c r="K65" s="201">
        <v>0</v>
      </c>
      <c r="L65" s="201">
        <v>0</v>
      </c>
      <c r="M65" s="261">
        <v>0</v>
      </c>
      <c r="N65" s="202">
        <v>0</v>
      </c>
    </row>
    <row r="66" spans="1:14" ht="15.75" customHeight="1">
      <c r="A66" s="198" t="s">
        <v>159</v>
      </c>
      <c r="B66" s="199" t="s">
        <v>170</v>
      </c>
      <c r="C66" s="199" t="s">
        <v>166</v>
      </c>
      <c r="D66" s="200" t="s">
        <v>163</v>
      </c>
      <c r="E66" s="213">
        <v>3.7</v>
      </c>
      <c r="F66" s="201">
        <v>0</v>
      </c>
      <c r="G66" s="201">
        <v>3</v>
      </c>
      <c r="H66" s="201">
        <v>2</v>
      </c>
      <c r="I66" s="201">
        <v>0</v>
      </c>
      <c r="J66" s="201">
        <v>5</v>
      </c>
      <c r="K66" s="201">
        <v>2</v>
      </c>
      <c r="L66" s="201">
        <v>1</v>
      </c>
      <c r="M66" s="330">
        <v>2</v>
      </c>
      <c r="N66" s="202">
        <v>-0.45945945945945948</v>
      </c>
    </row>
    <row r="67" spans="1:14" ht="15.75" customHeight="1">
      <c r="A67" s="198" t="s">
        <v>159</v>
      </c>
      <c r="B67" s="199" t="s">
        <v>170</v>
      </c>
      <c r="C67" s="199" t="s">
        <v>166</v>
      </c>
      <c r="D67" s="200" t="s">
        <v>164</v>
      </c>
      <c r="E67" s="213">
        <v>3.7</v>
      </c>
      <c r="F67" s="201">
        <v>0</v>
      </c>
      <c r="G67" s="201">
        <v>3</v>
      </c>
      <c r="H67" s="201">
        <v>2</v>
      </c>
      <c r="I67" s="201">
        <v>0</v>
      </c>
      <c r="J67" s="201">
        <v>5</v>
      </c>
      <c r="K67" s="201">
        <v>2</v>
      </c>
      <c r="L67" s="201">
        <v>1</v>
      </c>
      <c r="M67" s="330">
        <v>2</v>
      </c>
      <c r="N67" s="202">
        <v>-0.45945945945945948</v>
      </c>
    </row>
    <row r="68" spans="1:14" ht="15.75" customHeight="1">
      <c r="A68" s="198" t="s">
        <v>159</v>
      </c>
      <c r="B68" s="199" t="s">
        <v>170</v>
      </c>
      <c r="C68" s="199" t="s">
        <v>166</v>
      </c>
      <c r="D68" s="200" t="s">
        <v>165</v>
      </c>
      <c r="E68" s="213">
        <v>36</v>
      </c>
      <c r="F68" s="201">
        <v>24</v>
      </c>
      <c r="G68" s="201">
        <v>23</v>
      </c>
      <c r="H68" s="201">
        <v>26</v>
      </c>
      <c r="I68" s="201">
        <v>24</v>
      </c>
      <c r="J68" s="201">
        <v>15</v>
      </c>
      <c r="K68" s="201">
        <v>21</v>
      </c>
      <c r="L68" s="201">
        <v>16</v>
      </c>
      <c r="M68" s="330">
        <v>17</v>
      </c>
      <c r="N68" s="202">
        <v>-0.52777777777777779</v>
      </c>
    </row>
    <row r="69" spans="1:14" ht="15.75" customHeight="1">
      <c r="A69" s="198" t="s">
        <v>159</v>
      </c>
      <c r="B69" s="199" t="s">
        <v>170</v>
      </c>
      <c r="C69" s="199" t="s">
        <v>166</v>
      </c>
      <c r="D69" s="203" t="s">
        <v>91</v>
      </c>
      <c r="E69" s="214">
        <v>39.700000000000003</v>
      </c>
      <c r="F69" s="204">
        <v>24</v>
      </c>
      <c r="G69" s="204">
        <v>26</v>
      </c>
      <c r="H69" s="204">
        <v>28</v>
      </c>
      <c r="I69" s="204">
        <v>24</v>
      </c>
      <c r="J69" s="204">
        <v>20</v>
      </c>
      <c r="K69" s="204">
        <v>23</v>
      </c>
      <c r="L69" s="204">
        <v>17</v>
      </c>
      <c r="M69" s="331">
        <v>19</v>
      </c>
      <c r="N69" s="202">
        <v>-0.52141057934508817</v>
      </c>
    </row>
    <row r="70" spans="1:14" ht="15.75" customHeight="1">
      <c r="A70" s="198" t="s">
        <v>159</v>
      </c>
      <c r="B70" s="199" t="s">
        <v>170</v>
      </c>
      <c r="C70" s="199" t="s">
        <v>133</v>
      </c>
      <c r="D70" s="200" t="s">
        <v>162</v>
      </c>
      <c r="E70" s="213">
        <v>1.4</v>
      </c>
      <c r="F70" s="201">
        <v>2</v>
      </c>
      <c r="G70" s="201">
        <v>2</v>
      </c>
      <c r="H70" s="201">
        <v>1</v>
      </c>
      <c r="I70" s="201">
        <v>2</v>
      </c>
      <c r="J70" s="201">
        <v>0</v>
      </c>
      <c r="K70" s="201">
        <v>0</v>
      </c>
      <c r="L70" s="201">
        <v>0</v>
      </c>
      <c r="M70" s="330">
        <v>1</v>
      </c>
      <c r="N70" s="202">
        <v>-0.28571428571428564</v>
      </c>
    </row>
    <row r="71" spans="1:14" ht="15.75" customHeight="1">
      <c r="A71" s="198" t="s">
        <v>159</v>
      </c>
      <c r="B71" s="199" t="s">
        <v>170</v>
      </c>
      <c r="C71" s="199" t="s">
        <v>133</v>
      </c>
      <c r="D71" s="200" t="s">
        <v>163</v>
      </c>
      <c r="E71" s="213">
        <v>43.1</v>
      </c>
      <c r="F71" s="201">
        <v>38</v>
      </c>
      <c r="G71" s="201">
        <v>47</v>
      </c>
      <c r="H71" s="201">
        <v>30</v>
      </c>
      <c r="I71" s="201">
        <v>43</v>
      </c>
      <c r="J71" s="201">
        <v>32</v>
      </c>
      <c r="K71" s="201">
        <v>46</v>
      </c>
      <c r="L71" s="201">
        <v>26</v>
      </c>
      <c r="M71" s="330">
        <v>30</v>
      </c>
      <c r="N71" s="202">
        <v>-0.30394431554524365</v>
      </c>
    </row>
    <row r="72" spans="1:14" ht="15.75" customHeight="1">
      <c r="A72" s="198" t="s">
        <v>159</v>
      </c>
      <c r="B72" s="199" t="s">
        <v>170</v>
      </c>
      <c r="C72" s="199" t="s">
        <v>133</v>
      </c>
      <c r="D72" s="200" t="s">
        <v>164</v>
      </c>
      <c r="E72" s="213">
        <v>41.7</v>
      </c>
      <c r="F72" s="201">
        <v>36</v>
      </c>
      <c r="G72" s="201">
        <v>45</v>
      </c>
      <c r="H72" s="201">
        <v>29</v>
      </c>
      <c r="I72" s="201">
        <v>41</v>
      </c>
      <c r="J72" s="201">
        <v>32</v>
      </c>
      <c r="K72" s="201">
        <v>46</v>
      </c>
      <c r="L72" s="201">
        <v>26</v>
      </c>
      <c r="M72" s="330">
        <v>29</v>
      </c>
      <c r="N72" s="202">
        <v>-0.3045563549160672</v>
      </c>
    </row>
    <row r="73" spans="1:14" ht="15.75" customHeight="1">
      <c r="A73" s="198" t="s">
        <v>159</v>
      </c>
      <c r="B73" s="199" t="s">
        <v>170</v>
      </c>
      <c r="C73" s="199" t="s">
        <v>133</v>
      </c>
      <c r="D73" s="200" t="s">
        <v>165</v>
      </c>
      <c r="E73" s="213">
        <v>145.19999999999999</v>
      </c>
      <c r="F73" s="201">
        <v>181</v>
      </c>
      <c r="G73" s="201">
        <v>133</v>
      </c>
      <c r="H73" s="201">
        <v>138</v>
      </c>
      <c r="I73" s="201">
        <v>148</v>
      </c>
      <c r="J73" s="201">
        <v>211</v>
      </c>
      <c r="K73" s="201">
        <v>223</v>
      </c>
      <c r="L73" s="201">
        <v>244</v>
      </c>
      <c r="M73" s="330">
        <v>217</v>
      </c>
      <c r="N73" s="202">
        <v>0.49449035812672187</v>
      </c>
    </row>
    <row r="74" spans="1:14" ht="15.75" customHeight="1">
      <c r="A74" s="198" t="s">
        <v>159</v>
      </c>
      <c r="B74" s="199" t="s">
        <v>170</v>
      </c>
      <c r="C74" s="199" t="s">
        <v>133</v>
      </c>
      <c r="D74" s="203" t="s">
        <v>91</v>
      </c>
      <c r="E74" s="214">
        <v>188.2</v>
      </c>
      <c r="F74" s="204">
        <v>219</v>
      </c>
      <c r="G74" s="204">
        <v>180</v>
      </c>
      <c r="H74" s="204">
        <v>168</v>
      </c>
      <c r="I74" s="204">
        <v>191</v>
      </c>
      <c r="J74" s="204">
        <v>243</v>
      </c>
      <c r="K74" s="204">
        <v>269</v>
      </c>
      <c r="L74" s="204">
        <v>270</v>
      </c>
      <c r="M74" s="331">
        <v>247</v>
      </c>
      <c r="N74" s="202">
        <v>0.31243358129649318</v>
      </c>
    </row>
    <row r="75" spans="1:14" ht="15.75" customHeight="1">
      <c r="A75" s="198" t="s">
        <v>159</v>
      </c>
      <c r="B75" s="199" t="s">
        <v>170</v>
      </c>
      <c r="C75" s="199" t="s">
        <v>167</v>
      </c>
      <c r="D75" s="200" t="s">
        <v>162</v>
      </c>
      <c r="E75" s="213">
        <v>0.2</v>
      </c>
      <c r="F75" s="201">
        <v>0</v>
      </c>
      <c r="G75" s="201">
        <v>0</v>
      </c>
      <c r="H75" s="201">
        <v>0</v>
      </c>
      <c r="I75" s="201">
        <v>0</v>
      </c>
      <c r="J75" s="201">
        <v>0</v>
      </c>
      <c r="K75" s="201">
        <v>0</v>
      </c>
      <c r="L75" s="201">
        <v>0</v>
      </c>
      <c r="M75" s="330">
        <v>0</v>
      </c>
      <c r="N75" s="202">
        <v>-1</v>
      </c>
    </row>
    <row r="76" spans="1:14" ht="15.75" customHeight="1">
      <c r="A76" s="198" t="s">
        <v>159</v>
      </c>
      <c r="B76" s="199" t="s">
        <v>170</v>
      </c>
      <c r="C76" s="199" t="s">
        <v>167</v>
      </c>
      <c r="D76" s="200" t="s">
        <v>163</v>
      </c>
      <c r="E76" s="213">
        <v>1.2</v>
      </c>
      <c r="F76" s="201">
        <v>3</v>
      </c>
      <c r="G76" s="201">
        <v>0</v>
      </c>
      <c r="H76" s="201">
        <v>0</v>
      </c>
      <c r="I76" s="201">
        <v>1</v>
      </c>
      <c r="J76" s="201">
        <v>1</v>
      </c>
      <c r="K76" s="201">
        <v>0</v>
      </c>
      <c r="L76" s="201">
        <v>1</v>
      </c>
      <c r="M76" s="330">
        <v>0</v>
      </c>
      <c r="N76" s="202">
        <v>-1</v>
      </c>
    </row>
    <row r="77" spans="1:14" ht="15.75" customHeight="1">
      <c r="A77" s="198" t="s">
        <v>159</v>
      </c>
      <c r="B77" s="199" t="s">
        <v>170</v>
      </c>
      <c r="C77" s="199" t="s">
        <v>167</v>
      </c>
      <c r="D77" s="200" t="s">
        <v>164</v>
      </c>
      <c r="E77" s="213">
        <v>1</v>
      </c>
      <c r="F77" s="201">
        <v>3</v>
      </c>
      <c r="G77" s="201">
        <v>0</v>
      </c>
      <c r="H77" s="201">
        <v>0</v>
      </c>
      <c r="I77" s="201">
        <v>1</v>
      </c>
      <c r="J77" s="201">
        <v>1</v>
      </c>
      <c r="K77" s="201">
        <v>0</v>
      </c>
      <c r="L77" s="201">
        <v>1</v>
      </c>
      <c r="M77" s="330">
        <v>0</v>
      </c>
      <c r="N77" s="202">
        <v>-1</v>
      </c>
    </row>
    <row r="78" spans="1:14" ht="15.75" customHeight="1">
      <c r="A78" s="198" t="s">
        <v>159</v>
      </c>
      <c r="B78" s="199" t="s">
        <v>170</v>
      </c>
      <c r="C78" s="199" t="s">
        <v>167</v>
      </c>
      <c r="D78" s="200" t="s">
        <v>165</v>
      </c>
      <c r="E78" s="213">
        <v>5.6</v>
      </c>
      <c r="F78" s="201">
        <v>4</v>
      </c>
      <c r="G78" s="201">
        <v>2</v>
      </c>
      <c r="H78" s="201">
        <v>4</v>
      </c>
      <c r="I78" s="201">
        <v>10</v>
      </c>
      <c r="J78" s="201">
        <v>12</v>
      </c>
      <c r="K78" s="201">
        <v>3</v>
      </c>
      <c r="L78" s="201">
        <v>8</v>
      </c>
      <c r="M78" s="330">
        <v>3</v>
      </c>
      <c r="N78" s="202">
        <v>-0.46428571428571425</v>
      </c>
    </row>
    <row r="79" spans="1:14" ht="15.75" customHeight="1">
      <c r="A79" s="198" t="s">
        <v>159</v>
      </c>
      <c r="B79" s="199" t="s">
        <v>170</v>
      </c>
      <c r="C79" s="199" t="s">
        <v>167</v>
      </c>
      <c r="D79" s="203" t="s">
        <v>91</v>
      </c>
      <c r="E79" s="214">
        <v>6.8</v>
      </c>
      <c r="F79" s="204">
        <v>7</v>
      </c>
      <c r="G79" s="204">
        <v>2</v>
      </c>
      <c r="H79" s="204">
        <v>4</v>
      </c>
      <c r="I79" s="204">
        <v>11</v>
      </c>
      <c r="J79" s="204">
        <v>13</v>
      </c>
      <c r="K79" s="204">
        <v>3</v>
      </c>
      <c r="L79" s="204">
        <v>9</v>
      </c>
      <c r="M79" s="331">
        <v>3</v>
      </c>
      <c r="N79" s="202">
        <v>-0.55882352941176472</v>
      </c>
    </row>
    <row r="80" spans="1:14" ht="15.75" customHeight="1">
      <c r="A80" s="198" t="s">
        <v>159</v>
      </c>
      <c r="B80" s="199" t="s">
        <v>170</v>
      </c>
      <c r="C80" s="199" t="s">
        <v>168</v>
      </c>
      <c r="D80" s="200" t="s">
        <v>162</v>
      </c>
      <c r="E80" s="213">
        <v>0.4</v>
      </c>
      <c r="F80" s="201">
        <v>0</v>
      </c>
      <c r="G80" s="201">
        <v>0</v>
      </c>
      <c r="H80" s="201">
        <v>0</v>
      </c>
      <c r="I80" s="201">
        <v>0</v>
      </c>
      <c r="J80" s="201">
        <v>0</v>
      </c>
      <c r="K80" s="201">
        <v>0</v>
      </c>
      <c r="L80" s="201">
        <v>0</v>
      </c>
      <c r="M80" s="330">
        <v>0</v>
      </c>
      <c r="N80" s="202">
        <v>-1</v>
      </c>
    </row>
    <row r="81" spans="1:14" ht="15.75" customHeight="1">
      <c r="A81" s="198" t="s">
        <v>159</v>
      </c>
      <c r="B81" s="199" t="s">
        <v>170</v>
      </c>
      <c r="C81" s="199" t="s">
        <v>168</v>
      </c>
      <c r="D81" s="200" t="s">
        <v>163</v>
      </c>
      <c r="E81" s="213">
        <v>19.8</v>
      </c>
      <c r="F81" s="201">
        <v>11</v>
      </c>
      <c r="G81" s="201">
        <v>9</v>
      </c>
      <c r="H81" s="201">
        <v>16</v>
      </c>
      <c r="I81" s="201">
        <v>16</v>
      </c>
      <c r="J81" s="201">
        <v>17</v>
      </c>
      <c r="K81" s="201">
        <v>14</v>
      </c>
      <c r="L81" s="201">
        <v>19</v>
      </c>
      <c r="M81" s="330">
        <v>11</v>
      </c>
      <c r="N81" s="202">
        <v>-0.44444444444444448</v>
      </c>
    </row>
    <row r="82" spans="1:14" ht="15.75" customHeight="1">
      <c r="A82" s="198" t="s">
        <v>159</v>
      </c>
      <c r="B82" s="199" t="s">
        <v>170</v>
      </c>
      <c r="C82" s="199" t="s">
        <v>168</v>
      </c>
      <c r="D82" s="200" t="s">
        <v>164</v>
      </c>
      <c r="E82" s="213">
        <v>19.399999999999999</v>
      </c>
      <c r="F82" s="201">
        <v>11</v>
      </c>
      <c r="G82" s="201">
        <v>9</v>
      </c>
      <c r="H82" s="201">
        <v>16</v>
      </c>
      <c r="I82" s="201">
        <v>16</v>
      </c>
      <c r="J82" s="201">
        <v>17</v>
      </c>
      <c r="K82" s="201">
        <v>14</v>
      </c>
      <c r="L82" s="201">
        <v>19</v>
      </c>
      <c r="M82" s="330">
        <v>11</v>
      </c>
      <c r="N82" s="202">
        <v>-0.43298969072164945</v>
      </c>
    </row>
    <row r="83" spans="1:14" ht="15.75" customHeight="1">
      <c r="A83" s="198" t="s">
        <v>159</v>
      </c>
      <c r="B83" s="199" t="s">
        <v>170</v>
      </c>
      <c r="C83" s="199" t="s">
        <v>168</v>
      </c>
      <c r="D83" s="200" t="s">
        <v>165</v>
      </c>
      <c r="E83" s="213">
        <v>70.400000000000006</v>
      </c>
      <c r="F83" s="201">
        <v>49</v>
      </c>
      <c r="G83" s="201">
        <v>66</v>
      </c>
      <c r="H83" s="201">
        <v>47</v>
      </c>
      <c r="I83" s="201">
        <v>74</v>
      </c>
      <c r="J83" s="201">
        <v>82</v>
      </c>
      <c r="K83" s="201">
        <v>57</v>
      </c>
      <c r="L83" s="201">
        <v>54</v>
      </c>
      <c r="M83" s="330">
        <v>74</v>
      </c>
      <c r="N83" s="202">
        <v>5.1136363636363549E-2</v>
      </c>
    </row>
    <row r="84" spans="1:14" ht="15.75" customHeight="1">
      <c r="A84" s="198" t="s">
        <v>159</v>
      </c>
      <c r="B84" s="199" t="s">
        <v>170</v>
      </c>
      <c r="C84" s="199" t="s">
        <v>168</v>
      </c>
      <c r="D84" s="203" t="s">
        <v>91</v>
      </c>
      <c r="E84" s="214">
        <v>90.2</v>
      </c>
      <c r="F84" s="204">
        <v>60</v>
      </c>
      <c r="G84" s="204">
        <v>75</v>
      </c>
      <c r="H84" s="204">
        <v>63</v>
      </c>
      <c r="I84" s="204">
        <v>90</v>
      </c>
      <c r="J84" s="204">
        <v>99</v>
      </c>
      <c r="K84" s="204">
        <v>71</v>
      </c>
      <c r="L84" s="204">
        <v>73</v>
      </c>
      <c r="M84" s="331">
        <v>85</v>
      </c>
      <c r="N84" s="202">
        <v>-5.7649667405765E-2</v>
      </c>
    </row>
    <row r="85" spans="1:14" ht="15.75" customHeight="1">
      <c r="A85" s="198" t="s">
        <v>159</v>
      </c>
      <c r="B85" s="199" t="s">
        <v>170</v>
      </c>
      <c r="C85" s="199" t="s">
        <v>131</v>
      </c>
      <c r="D85" s="200" t="s">
        <v>162</v>
      </c>
      <c r="E85" s="213">
        <v>4.2</v>
      </c>
      <c r="F85" s="201">
        <v>6</v>
      </c>
      <c r="G85" s="201">
        <v>1</v>
      </c>
      <c r="H85" s="201">
        <v>3</v>
      </c>
      <c r="I85" s="201">
        <v>1</v>
      </c>
      <c r="J85" s="201">
        <v>2</v>
      </c>
      <c r="K85" s="201">
        <v>2</v>
      </c>
      <c r="L85" s="201">
        <v>2</v>
      </c>
      <c r="M85" s="330">
        <v>0</v>
      </c>
      <c r="N85" s="202">
        <v>-1</v>
      </c>
    </row>
    <row r="86" spans="1:14" ht="15.75" customHeight="1">
      <c r="A86" s="198" t="s">
        <v>159</v>
      </c>
      <c r="B86" s="199" t="s">
        <v>170</v>
      </c>
      <c r="C86" s="199" t="s">
        <v>131</v>
      </c>
      <c r="D86" s="200" t="s">
        <v>163</v>
      </c>
      <c r="E86" s="213">
        <v>66.400000000000006</v>
      </c>
      <c r="F86" s="201">
        <v>61</v>
      </c>
      <c r="G86" s="201">
        <v>43</v>
      </c>
      <c r="H86" s="201">
        <v>57</v>
      </c>
      <c r="I86" s="201">
        <v>33</v>
      </c>
      <c r="J86" s="201">
        <v>26</v>
      </c>
      <c r="K86" s="201">
        <v>50</v>
      </c>
      <c r="L86" s="201">
        <v>65</v>
      </c>
      <c r="M86" s="330">
        <v>46</v>
      </c>
      <c r="N86" s="202">
        <v>-0.30722891566265065</v>
      </c>
    </row>
    <row r="87" spans="1:14" ht="15.75" customHeight="1">
      <c r="A87" s="198" t="s">
        <v>159</v>
      </c>
      <c r="B87" s="199" t="s">
        <v>170</v>
      </c>
      <c r="C87" s="199" t="s">
        <v>131</v>
      </c>
      <c r="D87" s="200" t="s">
        <v>164</v>
      </c>
      <c r="E87" s="213">
        <v>62.2</v>
      </c>
      <c r="F87" s="201">
        <v>55</v>
      </c>
      <c r="G87" s="201">
        <v>42</v>
      </c>
      <c r="H87" s="201">
        <v>54</v>
      </c>
      <c r="I87" s="201">
        <v>32</v>
      </c>
      <c r="J87" s="201">
        <v>24</v>
      </c>
      <c r="K87" s="201">
        <v>48</v>
      </c>
      <c r="L87" s="201">
        <v>63</v>
      </c>
      <c r="M87" s="330">
        <v>46</v>
      </c>
      <c r="N87" s="202">
        <v>-0.26045016077170419</v>
      </c>
    </row>
    <row r="88" spans="1:14" ht="15.75" customHeight="1">
      <c r="A88" s="198" t="s">
        <v>159</v>
      </c>
      <c r="B88" s="199" t="s">
        <v>170</v>
      </c>
      <c r="C88" s="199" t="s">
        <v>131</v>
      </c>
      <c r="D88" s="200" t="s">
        <v>165</v>
      </c>
      <c r="E88" s="213">
        <v>158.69999999999999</v>
      </c>
      <c r="F88" s="201">
        <v>207</v>
      </c>
      <c r="G88" s="201">
        <v>187</v>
      </c>
      <c r="H88" s="201">
        <v>178</v>
      </c>
      <c r="I88" s="201">
        <v>99</v>
      </c>
      <c r="J88" s="201">
        <v>113</v>
      </c>
      <c r="K88" s="201">
        <v>119</v>
      </c>
      <c r="L88" s="201">
        <v>108</v>
      </c>
      <c r="M88" s="330">
        <v>121</v>
      </c>
      <c r="N88" s="202">
        <v>-0.23755513547574034</v>
      </c>
    </row>
    <row r="89" spans="1:14" ht="15.75" customHeight="1">
      <c r="A89" s="198" t="s">
        <v>159</v>
      </c>
      <c r="B89" s="199" t="s">
        <v>170</v>
      </c>
      <c r="C89" s="199" t="s">
        <v>131</v>
      </c>
      <c r="D89" s="203" t="s">
        <v>91</v>
      </c>
      <c r="E89" s="214">
        <v>225.1</v>
      </c>
      <c r="F89" s="204">
        <v>268</v>
      </c>
      <c r="G89" s="204">
        <v>230</v>
      </c>
      <c r="H89" s="204">
        <v>235</v>
      </c>
      <c r="I89" s="204">
        <v>132</v>
      </c>
      <c r="J89" s="204">
        <v>139</v>
      </c>
      <c r="K89" s="204">
        <v>169</v>
      </c>
      <c r="L89" s="204">
        <v>173</v>
      </c>
      <c r="M89" s="331">
        <v>167</v>
      </c>
      <c r="N89" s="202">
        <v>-0.25810750777432251</v>
      </c>
    </row>
    <row r="90" spans="1:14" ht="15.75" customHeight="1">
      <c r="A90" s="198" t="s">
        <v>159</v>
      </c>
      <c r="B90" s="199" t="s">
        <v>170</v>
      </c>
      <c r="C90" s="199" t="s">
        <v>169</v>
      </c>
      <c r="D90" s="200" t="s">
        <v>162</v>
      </c>
      <c r="E90" s="213">
        <v>0</v>
      </c>
      <c r="F90" s="201">
        <v>0</v>
      </c>
      <c r="G90" s="201">
        <v>0</v>
      </c>
      <c r="H90" s="201">
        <v>0</v>
      </c>
      <c r="I90" s="201">
        <v>0</v>
      </c>
      <c r="J90" s="201">
        <v>0</v>
      </c>
      <c r="K90" s="201">
        <v>0</v>
      </c>
      <c r="L90" s="201">
        <v>0</v>
      </c>
      <c r="M90" s="330">
        <v>0</v>
      </c>
      <c r="N90" s="202">
        <v>0</v>
      </c>
    </row>
    <row r="91" spans="1:14" ht="15.75" customHeight="1">
      <c r="A91" s="198" t="s">
        <v>159</v>
      </c>
      <c r="B91" s="199" t="s">
        <v>170</v>
      </c>
      <c r="C91" s="199" t="s">
        <v>169</v>
      </c>
      <c r="D91" s="200" t="s">
        <v>163</v>
      </c>
      <c r="E91" s="213">
        <v>0</v>
      </c>
      <c r="F91" s="201">
        <v>3</v>
      </c>
      <c r="G91" s="201">
        <v>0</v>
      </c>
      <c r="H91" s="201">
        <v>1</v>
      </c>
      <c r="I91" s="201">
        <v>1</v>
      </c>
      <c r="J91" s="201">
        <v>0</v>
      </c>
      <c r="K91" s="201">
        <v>0</v>
      </c>
      <c r="L91" s="201">
        <v>0</v>
      </c>
      <c r="M91" s="330">
        <v>0</v>
      </c>
      <c r="N91" s="202">
        <v>0</v>
      </c>
    </row>
    <row r="92" spans="1:14" ht="15.75" customHeight="1">
      <c r="A92" s="198" t="s">
        <v>159</v>
      </c>
      <c r="B92" s="199" t="s">
        <v>170</v>
      </c>
      <c r="C92" s="199" t="s">
        <v>169</v>
      </c>
      <c r="D92" s="200" t="s">
        <v>164</v>
      </c>
      <c r="E92" s="213">
        <v>0</v>
      </c>
      <c r="F92" s="201">
        <v>3</v>
      </c>
      <c r="G92" s="201">
        <v>0</v>
      </c>
      <c r="H92" s="201">
        <v>1</v>
      </c>
      <c r="I92" s="201">
        <v>1</v>
      </c>
      <c r="J92" s="201">
        <v>0</v>
      </c>
      <c r="K92" s="201">
        <v>0</v>
      </c>
      <c r="L92" s="201">
        <v>0</v>
      </c>
      <c r="M92" s="330">
        <v>0</v>
      </c>
      <c r="N92" s="202">
        <v>0</v>
      </c>
    </row>
    <row r="93" spans="1:14" ht="15.75" customHeight="1">
      <c r="A93" s="198" t="s">
        <v>159</v>
      </c>
      <c r="B93" s="199" t="s">
        <v>170</v>
      </c>
      <c r="C93" s="199" t="s">
        <v>169</v>
      </c>
      <c r="D93" s="200" t="s">
        <v>165</v>
      </c>
      <c r="E93" s="213">
        <v>0</v>
      </c>
      <c r="F93" s="201">
        <v>19</v>
      </c>
      <c r="G93" s="201">
        <v>16</v>
      </c>
      <c r="H93" s="201">
        <v>11</v>
      </c>
      <c r="I93" s="201">
        <v>6</v>
      </c>
      <c r="J93" s="201">
        <v>8</v>
      </c>
      <c r="K93" s="201">
        <v>7</v>
      </c>
      <c r="L93" s="201">
        <v>3</v>
      </c>
      <c r="M93" s="330">
        <v>3</v>
      </c>
      <c r="N93" s="202">
        <v>0</v>
      </c>
    </row>
    <row r="94" spans="1:14" ht="15.75" customHeight="1">
      <c r="A94" s="198" t="s">
        <v>159</v>
      </c>
      <c r="B94" s="199" t="s">
        <v>170</v>
      </c>
      <c r="C94" s="199" t="s">
        <v>169</v>
      </c>
      <c r="D94" s="203" t="s">
        <v>91</v>
      </c>
      <c r="E94" s="214">
        <v>0</v>
      </c>
      <c r="F94" s="204">
        <v>22</v>
      </c>
      <c r="G94" s="204">
        <v>16</v>
      </c>
      <c r="H94" s="204">
        <v>12</v>
      </c>
      <c r="I94" s="204">
        <v>7</v>
      </c>
      <c r="J94" s="204">
        <v>8</v>
      </c>
      <c r="K94" s="204">
        <v>7</v>
      </c>
      <c r="L94" s="204">
        <v>3</v>
      </c>
      <c r="M94" s="331">
        <v>3</v>
      </c>
      <c r="N94" s="202">
        <v>0</v>
      </c>
    </row>
    <row r="95" spans="1:14" ht="15.75" customHeight="1">
      <c r="A95" s="198" t="s">
        <v>159</v>
      </c>
      <c r="B95" s="199" t="s">
        <v>170</v>
      </c>
      <c r="C95" s="199" t="s">
        <v>139</v>
      </c>
      <c r="D95" s="200" t="s">
        <v>162</v>
      </c>
      <c r="E95" s="213">
        <v>0</v>
      </c>
      <c r="F95" s="201">
        <v>0</v>
      </c>
      <c r="G95" s="201">
        <v>0</v>
      </c>
      <c r="H95" s="201">
        <v>0</v>
      </c>
      <c r="I95" s="201">
        <v>0</v>
      </c>
      <c r="J95" s="201">
        <v>0</v>
      </c>
      <c r="K95" s="201">
        <v>0</v>
      </c>
      <c r="L95" s="201">
        <v>0</v>
      </c>
      <c r="M95" s="330">
        <v>0</v>
      </c>
      <c r="N95" s="202">
        <v>0</v>
      </c>
    </row>
    <row r="96" spans="1:14" ht="15.75" customHeight="1">
      <c r="A96" s="198" t="s">
        <v>159</v>
      </c>
      <c r="B96" s="199" t="s">
        <v>170</v>
      </c>
      <c r="C96" s="199" t="s">
        <v>139</v>
      </c>
      <c r="D96" s="200" t="s">
        <v>163</v>
      </c>
      <c r="E96" s="213">
        <v>2.2999999999999998</v>
      </c>
      <c r="F96" s="201">
        <v>0</v>
      </c>
      <c r="G96" s="201">
        <v>2</v>
      </c>
      <c r="H96" s="201">
        <v>2</v>
      </c>
      <c r="I96" s="201">
        <v>0</v>
      </c>
      <c r="J96" s="201">
        <v>0</v>
      </c>
      <c r="K96" s="201">
        <v>1</v>
      </c>
      <c r="L96" s="201">
        <v>0</v>
      </c>
      <c r="M96" s="330">
        <v>0</v>
      </c>
      <c r="N96" s="202">
        <v>-1</v>
      </c>
    </row>
    <row r="97" spans="1:14" ht="15.75" customHeight="1">
      <c r="A97" s="198" t="s">
        <v>159</v>
      </c>
      <c r="B97" s="199" t="s">
        <v>170</v>
      </c>
      <c r="C97" s="199" t="s">
        <v>139</v>
      </c>
      <c r="D97" s="200" t="s">
        <v>164</v>
      </c>
      <c r="E97" s="213">
        <v>2.2999999999999998</v>
      </c>
      <c r="F97" s="201">
        <v>0</v>
      </c>
      <c r="G97" s="201">
        <v>2</v>
      </c>
      <c r="H97" s="201">
        <v>2</v>
      </c>
      <c r="I97" s="201">
        <v>0</v>
      </c>
      <c r="J97" s="201">
        <v>0</v>
      </c>
      <c r="K97" s="201">
        <v>1</v>
      </c>
      <c r="L97" s="201">
        <v>0</v>
      </c>
      <c r="M97" s="330">
        <v>0</v>
      </c>
      <c r="N97" s="202">
        <v>-1</v>
      </c>
    </row>
    <row r="98" spans="1:14" ht="15.75" customHeight="1">
      <c r="A98" s="198" t="s">
        <v>159</v>
      </c>
      <c r="B98" s="199" t="s">
        <v>170</v>
      </c>
      <c r="C98" s="199" t="s">
        <v>139</v>
      </c>
      <c r="D98" s="200" t="s">
        <v>165</v>
      </c>
      <c r="E98" s="213">
        <v>14.8</v>
      </c>
      <c r="F98" s="201">
        <v>0</v>
      </c>
      <c r="G98" s="201">
        <v>6</v>
      </c>
      <c r="H98" s="201">
        <v>6</v>
      </c>
      <c r="I98" s="201">
        <v>10</v>
      </c>
      <c r="J98" s="201">
        <v>12</v>
      </c>
      <c r="K98" s="201">
        <v>12</v>
      </c>
      <c r="L98" s="201">
        <v>8</v>
      </c>
      <c r="M98" s="330">
        <v>3</v>
      </c>
      <c r="N98" s="202">
        <v>-0.79729729729729726</v>
      </c>
    </row>
    <row r="99" spans="1:14" ht="15.75" customHeight="1">
      <c r="A99" s="198" t="s">
        <v>159</v>
      </c>
      <c r="B99" s="199" t="s">
        <v>170</v>
      </c>
      <c r="C99" s="199" t="s">
        <v>139</v>
      </c>
      <c r="D99" s="203" t="s">
        <v>91</v>
      </c>
      <c r="E99" s="214">
        <v>17</v>
      </c>
      <c r="F99" s="204">
        <v>0</v>
      </c>
      <c r="G99" s="204">
        <v>8</v>
      </c>
      <c r="H99" s="204">
        <v>8</v>
      </c>
      <c r="I99" s="204">
        <v>10</v>
      </c>
      <c r="J99" s="204">
        <v>12</v>
      </c>
      <c r="K99" s="204">
        <v>13</v>
      </c>
      <c r="L99" s="204">
        <v>8</v>
      </c>
      <c r="M99" s="331">
        <v>3</v>
      </c>
      <c r="N99" s="202">
        <v>-0.82352941176470584</v>
      </c>
    </row>
    <row r="100" spans="1:14" ht="15.75" customHeight="1">
      <c r="A100" s="198" t="s">
        <v>159</v>
      </c>
      <c r="B100" s="199" t="s">
        <v>170</v>
      </c>
      <c r="C100" s="205" t="s">
        <v>91</v>
      </c>
      <c r="D100" s="203" t="s">
        <v>162</v>
      </c>
      <c r="E100" s="214">
        <v>7.4</v>
      </c>
      <c r="F100" s="204">
        <v>8</v>
      </c>
      <c r="G100" s="204">
        <v>4</v>
      </c>
      <c r="H100" s="204">
        <v>4</v>
      </c>
      <c r="I100" s="204">
        <v>3</v>
      </c>
      <c r="J100" s="204">
        <v>2</v>
      </c>
      <c r="K100" s="204">
        <v>6</v>
      </c>
      <c r="L100" s="204">
        <v>2</v>
      </c>
      <c r="M100" s="331">
        <v>3</v>
      </c>
      <c r="N100" s="202">
        <v>-0.59459459459459463</v>
      </c>
    </row>
    <row r="101" spans="1:14" ht="15.75" customHeight="1">
      <c r="A101" s="198" t="s">
        <v>175</v>
      </c>
      <c r="B101" s="199" t="s">
        <v>198</v>
      </c>
      <c r="C101" s="205" t="s">
        <v>91</v>
      </c>
      <c r="D101" s="203" t="s">
        <v>163</v>
      </c>
      <c r="E101" s="216">
        <v>206.2</v>
      </c>
      <c r="F101" s="204">
        <v>151</v>
      </c>
      <c r="G101" s="204">
        <v>189</v>
      </c>
      <c r="H101" s="204">
        <v>164</v>
      </c>
      <c r="I101" s="204">
        <v>136</v>
      </c>
      <c r="J101" s="204">
        <v>170</v>
      </c>
      <c r="K101" s="204">
        <v>168</v>
      </c>
      <c r="L101" s="204">
        <v>197</v>
      </c>
      <c r="M101" s="331">
        <v>213</v>
      </c>
      <c r="N101" s="202">
        <v>3.2977691561590743E-2</v>
      </c>
    </row>
    <row r="102" spans="1:14" ht="15.75" customHeight="1">
      <c r="A102" s="198" t="s">
        <v>159</v>
      </c>
      <c r="B102" s="199" t="s">
        <v>170</v>
      </c>
      <c r="C102" s="205" t="s">
        <v>91</v>
      </c>
      <c r="D102" s="203" t="s">
        <v>164</v>
      </c>
      <c r="E102" s="214">
        <v>209.1</v>
      </c>
      <c r="F102" s="204">
        <v>140</v>
      </c>
      <c r="G102" s="204">
        <v>131</v>
      </c>
      <c r="H102" s="204">
        <v>141</v>
      </c>
      <c r="I102" s="204">
        <v>112</v>
      </c>
      <c r="J102" s="204">
        <v>102</v>
      </c>
      <c r="K102" s="204">
        <v>146</v>
      </c>
      <c r="L102" s="204">
        <v>140</v>
      </c>
      <c r="M102" s="331">
        <v>109</v>
      </c>
      <c r="N102" s="202">
        <v>-0.47871831659493064</v>
      </c>
    </row>
    <row r="103" spans="1:14" ht="15.75" customHeight="1">
      <c r="A103" s="198" t="s">
        <v>159</v>
      </c>
      <c r="B103" s="199" t="s">
        <v>170</v>
      </c>
      <c r="C103" s="205" t="s">
        <v>91</v>
      </c>
      <c r="D103" s="203" t="s">
        <v>165</v>
      </c>
      <c r="E103" s="214">
        <v>1239.7</v>
      </c>
      <c r="F103" s="204">
        <v>1196</v>
      </c>
      <c r="G103" s="204">
        <v>1078</v>
      </c>
      <c r="H103" s="204">
        <v>1012</v>
      </c>
      <c r="I103" s="204">
        <v>832</v>
      </c>
      <c r="J103" s="204">
        <v>909</v>
      </c>
      <c r="K103" s="204">
        <v>882</v>
      </c>
      <c r="L103" s="204">
        <v>813</v>
      </c>
      <c r="M103" s="331">
        <v>780</v>
      </c>
      <c r="N103" s="202">
        <v>-0.37081551988384287</v>
      </c>
    </row>
    <row r="104" spans="1:14" ht="15.75" customHeight="1">
      <c r="A104" s="198" t="s">
        <v>159</v>
      </c>
      <c r="B104" s="199" t="s">
        <v>170</v>
      </c>
      <c r="C104" s="205" t="s">
        <v>91</v>
      </c>
      <c r="D104" s="203" t="s">
        <v>91</v>
      </c>
      <c r="E104" s="214">
        <v>1456.2</v>
      </c>
      <c r="F104" s="204">
        <v>1344</v>
      </c>
      <c r="G104" s="204">
        <v>1213</v>
      </c>
      <c r="H104" s="204">
        <v>1157</v>
      </c>
      <c r="I104" s="204">
        <v>947</v>
      </c>
      <c r="J104" s="204">
        <v>1013</v>
      </c>
      <c r="K104" s="204">
        <v>1034</v>
      </c>
      <c r="L104" s="204">
        <v>955</v>
      </c>
      <c r="M104" s="331">
        <v>892</v>
      </c>
      <c r="N104" s="202">
        <v>-0.38744677928855931</v>
      </c>
    </row>
    <row r="105" spans="1:14">
      <c r="A105" s="198" t="s">
        <v>159</v>
      </c>
      <c r="B105" s="199" t="s">
        <v>171</v>
      </c>
      <c r="C105" s="199" t="s">
        <v>161</v>
      </c>
      <c r="D105" s="200" t="s">
        <v>162</v>
      </c>
      <c r="E105" s="213">
        <v>0</v>
      </c>
      <c r="F105" s="201">
        <v>0</v>
      </c>
      <c r="G105" s="201">
        <v>0</v>
      </c>
      <c r="H105" s="201">
        <v>0</v>
      </c>
      <c r="I105" s="201">
        <v>0</v>
      </c>
      <c r="J105" s="201">
        <v>0</v>
      </c>
      <c r="K105" s="201">
        <v>0</v>
      </c>
      <c r="L105" s="201">
        <v>0</v>
      </c>
      <c r="M105" s="332">
        <v>0</v>
      </c>
      <c r="N105" s="202">
        <v>0</v>
      </c>
    </row>
    <row r="106" spans="1:14" ht="15.75" customHeight="1">
      <c r="A106" s="198" t="s">
        <v>159</v>
      </c>
      <c r="B106" s="199" t="s">
        <v>171</v>
      </c>
      <c r="C106" s="199" t="s">
        <v>161</v>
      </c>
      <c r="D106" s="200" t="s">
        <v>163</v>
      </c>
      <c r="E106" s="213">
        <v>2.9</v>
      </c>
      <c r="F106" s="201">
        <v>1</v>
      </c>
      <c r="G106" s="201">
        <v>4</v>
      </c>
      <c r="H106" s="201">
        <v>4</v>
      </c>
      <c r="I106" s="201">
        <v>0</v>
      </c>
      <c r="J106" s="201">
        <v>1</v>
      </c>
      <c r="K106" s="201">
        <v>1</v>
      </c>
      <c r="L106" s="201">
        <v>1</v>
      </c>
      <c r="M106" s="330">
        <v>2</v>
      </c>
      <c r="N106" s="202">
        <v>-0.31034482758620685</v>
      </c>
    </row>
    <row r="107" spans="1:14" ht="15.75" customHeight="1">
      <c r="A107" s="198" t="s">
        <v>159</v>
      </c>
      <c r="B107" s="199" t="s">
        <v>171</v>
      </c>
      <c r="C107" s="199" t="s">
        <v>161</v>
      </c>
      <c r="D107" s="200" t="s">
        <v>164</v>
      </c>
      <c r="E107" s="213">
        <v>2.9</v>
      </c>
      <c r="F107" s="201">
        <v>1</v>
      </c>
      <c r="G107" s="201">
        <v>4</v>
      </c>
      <c r="H107" s="201">
        <v>4</v>
      </c>
      <c r="I107" s="201">
        <v>0</v>
      </c>
      <c r="J107" s="201">
        <v>1</v>
      </c>
      <c r="K107" s="201">
        <v>1</v>
      </c>
      <c r="L107" s="201">
        <v>1</v>
      </c>
      <c r="M107" s="330">
        <v>2</v>
      </c>
      <c r="N107" s="202">
        <v>-0.31034482758620685</v>
      </c>
    </row>
    <row r="108" spans="1:14" ht="15.75" customHeight="1">
      <c r="A108" s="198" t="s">
        <v>159</v>
      </c>
      <c r="B108" s="199" t="s">
        <v>171</v>
      </c>
      <c r="C108" s="199" t="s">
        <v>161</v>
      </c>
      <c r="D108" s="200" t="s">
        <v>165</v>
      </c>
      <c r="E108" s="213">
        <v>24</v>
      </c>
      <c r="F108" s="201">
        <v>18</v>
      </c>
      <c r="G108" s="201">
        <v>26</v>
      </c>
      <c r="H108" s="201">
        <v>25</v>
      </c>
      <c r="I108" s="201">
        <v>14</v>
      </c>
      <c r="J108" s="201">
        <v>19</v>
      </c>
      <c r="K108" s="201">
        <v>16</v>
      </c>
      <c r="L108" s="201">
        <v>27</v>
      </c>
      <c r="M108" s="330">
        <v>15</v>
      </c>
      <c r="N108" s="202">
        <v>-0.375</v>
      </c>
    </row>
    <row r="109" spans="1:14" ht="15.75" customHeight="1">
      <c r="A109" s="198" t="s">
        <v>159</v>
      </c>
      <c r="B109" s="199" t="s">
        <v>171</v>
      </c>
      <c r="C109" s="199" t="s">
        <v>161</v>
      </c>
      <c r="D109" s="203" t="s">
        <v>91</v>
      </c>
      <c r="E109" s="214">
        <v>26.9</v>
      </c>
      <c r="F109" s="204">
        <v>19</v>
      </c>
      <c r="G109" s="204">
        <v>30</v>
      </c>
      <c r="H109" s="204">
        <v>29</v>
      </c>
      <c r="I109" s="204">
        <v>14</v>
      </c>
      <c r="J109" s="204">
        <v>20</v>
      </c>
      <c r="K109" s="204">
        <v>17</v>
      </c>
      <c r="L109" s="204">
        <v>28</v>
      </c>
      <c r="M109" s="331">
        <v>17</v>
      </c>
      <c r="N109" s="202">
        <v>-0.36802973977695164</v>
      </c>
    </row>
    <row r="110" spans="1:14">
      <c r="A110" s="198" t="s">
        <v>159</v>
      </c>
      <c r="B110" s="199" t="s">
        <v>171</v>
      </c>
      <c r="C110" s="199" t="s">
        <v>134</v>
      </c>
      <c r="D110" s="200" t="s">
        <v>162</v>
      </c>
      <c r="E110" s="213">
        <v>0.6</v>
      </c>
      <c r="F110" s="201">
        <v>0</v>
      </c>
      <c r="G110" s="201">
        <v>0</v>
      </c>
      <c r="H110" s="201">
        <v>2</v>
      </c>
      <c r="I110" s="201">
        <v>0</v>
      </c>
      <c r="J110" s="201">
        <v>0</v>
      </c>
      <c r="K110" s="201">
        <v>2</v>
      </c>
      <c r="L110" s="201">
        <v>1</v>
      </c>
      <c r="M110" s="330">
        <v>1</v>
      </c>
      <c r="N110" s="202">
        <v>0.66666666666666674</v>
      </c>
    </row>
    <row r="111" spans="1:14" ht="15.75" customHeight="1">
      <c r="A111" s="198" t="s">
        <v>159</v>
      </c>
      <c r="B111" s="199" t="s">
        <v>171</v>
      </c>
      <c r="C111" s="199" t="s">
        <v>134</v>
      </c>
      <c r="D111" s="200" t="s">
        <v>163</v>
      </c>
      <c r="E111" s="213">
        <v>30.3</v>
      </c>
      <c r="F111" s="201">
        <v>11</v>
      </c>
      <c r="G111" s="201">
        <v>21</v>
      </c>
      <c r="H111" s="201">
        <v>29</v>
      </c>
      <c r="I111" s="201">
        <v>18</v>
      </c>
      <c r="J111" s="201">
        <v>21</v>
      </c>
      <c r="K111" s="201">
        <v>18</v>
      </c>
      <c r="L111" s="201">
        <v>21</v>
      </c>
      <c r="M111" s="330">
        <v>14</v>
      </c>
      <c r="N111" s="202">
        <v>-0.53795379537953791</v>
      </c>
    </row>
    <row r="112" spans="1:14" ht="15.75" customHeight="1">
      <c r="A112" s="198" t="s">
        <v>159</v>
      </c>
      <c r="B112" s="199" t="s">
        <v>171</v>
      </c>
      <c r="C112" s="199" t="s">
        <v>134</v>
      </c>
      <c r="D112" s="200" t="s">
        <v>164</v>
      </c>
      <c r="E112" s="213">
        <v>29.7</v>
      </c>
      <c r="F112" s="201">
        <v>11</v>
      </c>
      <c r="G112" s="201">
        <v>21</v>
      </c>
      <c r="H112" s="201">
        <v>27</v>
      </c>
      <c r="I112" s="201">
        <v>18</v>
      </c>
      <c r="J112" s="201">
        <v>21</v>
      </c>
      <c r="K112" s="201">
        <v>16</v>
      </c>
      <c r="L112" s="201">
        <v>20</v>
      </c>
      <c r="M112" s="330">
        <v>13</v>
      </c>
      <c r="N112" s="202">
        <v>-0.56228956228956228</v>
      </c>
    </row>
    <row r="113" spans="1:14" ht="15.75" customHeight="1">
      <c r="A113" s="198" t="s">
        <v>159</v>
      </c>
      <c r="B113" s="199" t="s">
        <v>171</v>
      </c>
      <c r="C113" s="199" t="s">
        <v>134</v>
      </c>
      <c r="D113" s="200" t="s">
        <v>165</v>
      </c>
      <c r="E113" s="213">
        <v>301.10000000000002</v>
      </c>
      <c r="F113" s="201">
        <v>314</v>
      </c>
      <c r="G113" s="201">
        <v>344</v>
      </c>
      <c r="H113" s="201">
        <v>325</v>
      </c>
      <c r="I113" s="201">
        <v>285</v>
      </c>
      <c r="J113" s="201">
        <v>240</v>
      </c>
      <c r="K113" s="201">
        <v>251</v>
      </c>
      <c r="L113" s="201">
        <v>231</v>
      </c>
      <c r="M113" s="330">
        <v>204</v>
      </c>
      <c r="N113" s="202">
        <v>-0.32248422451012959</v>
      </c>
    </row>
    <row r="114" spans="1:14" ht="15.75" customHeight="1">
      <c r="A114" s="198" t="s">
        <v>159</v>
      </c>
      <c r="B114" s="199" t="s">
        <v>171</v>
      </c>
      <c r="C114" s="199" t="s">
        <v>134</v>
      </c>
      <c r="D114" s="203" t="s">
        <v>91</v>
      </c>
      <c r="E114" s="214">
        <v>331.4</v>
      </c>
      <c r="F114" s="204">
        <v>325</v>
      </c>
      <c r="G114" s="204">
        <v>365</v>
      </c>
      <c r="H114" s="204">
        <v>354</v>
      </c>
      <c r="I114" s="204">
        <v>303</v>
      </c>
      <c r="J114" s="204">
        <v>261</v>
      </c>
      <c r="K114" s="204">
        <v>269</v>
      </c>
      <c r="L114" s="204">
        <v>252</v>
      </c>
      <c r="M114" s="331">
        <v>218</v>
      </c>
      <c r="N114" s="202">
        <v>-0.34218467109233552</v>
      </c>
    </row>
    <row r="115" spans="1:14">
      <c r="A115" s="198" t="s">
        <v>159</v>
      </c>
      <c r="B115" s="199" t="s">
        <v>171</v>
      </c>
      <c r="C115" s="199" t="s">
        <v>166</v>
      </c>
      <c r="D115" s="200" t="s">
        <v>162</v>
      </c>
      <c r="E115" s="213">
        <v>0</v>
      </c>
      <c r="F115" s="201">
        <v>0</v>
      </c>
      <c r="G115" s="201">
        <v>0</v>
      </c>
      <c r="H115" s="201">
        <v>0</v>
      </c>
      <c r="I115" s="201">
        <v>0</v>
      </c>
      <c r="J115" s="201">
        <v>0</v>
      </c>
      <c r="K115" s="201">
        <v>0</v>
      </c>
      <c r="L115" s="201">
        <v>0</v>
      </c>
      <c r="M115" s="330">
        <v>0</v>
      </c>
      <c r="N115" s="202">
        <v>0</v>
      </c>
    </row>
    <row r="116" spans="1:14" ht="15.75" customHeight="1">
      <c r="A116" s="198" t="s">
        <v>159</v>
      </c>
      <c r="B116" s="199" t="s">
        <v>171</v>
      </c>
      <c r="C116" s="199" t="s">
        <v>166</v>
      </c>
      <c r="D116" s="200" t="s">
        <v>163</v>
      </c>
      <c r="E116" s="213">
        <v>1.4</v>
      </c>
      <c r="F116" s="201">
        <v>0</v>
      </c>
      <c r="G116" s="201">
        <v>1</v>
      </c>
      <c r="H116" s="201">
        <v>3</v>
      </c>
      <c r="I116" s="201">
        <v>0</v>
      </c>
      <c r="J116" s="201">
        <v>1</v>
      </c>
      <c r="K116" s="201">
        <v>0</v>
      </c>
      <c r="L116" s="201">
        <v>0</v>
      </c>
      <c r="M116" s="330">
        <v>1</v>
      </c>
      <c r="N116" s="202">
        <v>-0.28571428571428564</v>
      </c>
    </row>
    <row r="117" spans="1:14" ht="15.75" customHeight="1">
      <c r="A117" s="198" t="s">
        <v>159</v>
      </c>
      <c r="B117" s="199" t="s">
        <v>171</v>
      </c>
      <c r="C117" s="199" t="s">
        <v>166</v>
      </c>
      <c r="D117" s="200" t="s">
        <v>164</v>
      </c>
      <c r="E117" s="213">
        <v>1.4</v>
      </c>
      <c r="F117" s="201">
        <v>0</v>
      </c>
      <c r="G117" s="201">
        <v>1</v>
      </c>
      <c r="H117" s="201">
        <v>3</v>
      </c>
      <c r="I117" s="201">
        <v>0</v>
      </c>
      <c r="J117" s="201">
        <v>1</v>
      </c>
      <c r="K117" s="201">
        <v>0</v>
      </c>
      <c r="L117" s="201">
        <v>0</v>
      </c>
      <c r="M117" s="330">
        <v>1</v>
      </c>
      <c r="N117" s="202">
        <v>-0.28571428571428564</v>
      </c>
    </row>
    <row r="118" spans="1:14" ht="15.75" customHeight="1">
      <c r="A118" s="198" t="s">
        <v>159</v>
      </c>
      <c r="B118" s="199" t="s">
        <v>171</v>
      </c>
      <c r="C118" s="199" t="s">
        <v>166</v>
      </c>
      <c r="D118" s="200" t="s">
        <v>165</v>
      </c>
      <c r="E118" s="213">
        <v>16.7</v>
      </c>
      <c r="F118" s="201">
        <v>16</v>
      </c>
      <c r="G118" s="201">
        <v>21</v>
      </c>
      <c r="H118" s="201">
        <v>17</v>
      </c>
      <c r="I118" s="201">
        <v>12</v>
      </c>
      <c r="J118" s="201">
        <v>12</v>
      </c>
      <c r="K118" s="201">
        <v>7</v>
      </c>
      <c r="L118" s="201">
        <v>11</v>
      </c>
      <c r="M118" s="330">
        <v>9</v>
      </c>
      <c r="N118" s="202">
        <v>-0.46107784431137722</v>
      </c>
    </row>
    <row r="119" spans="1:14" ht="15.75" customHeight="1">
      <c r="A119" s="198" t="s">
        <v>159</v>
      </c>
      <c r="B119" s="199" t="s">
        <v>171</v>
      </c>
      <c r="C119" s="199" t="s">
        <v>166</v>
      </c>
      <c r="D119" s="203" t="s">
        <v>91</v>
      </c>
      <c r="E119" s="214">
        <v>18.100000000000001</v>
      </c>
      <c r="F119" s="204">
        <v>16</v>
      </c>
      <c r="G119" s="204">
        <v>22</v>
      </c>
      <c r="H119" s="204">
        <v>20</v>
      </c>
      <c r="I119" s="204">
        <v>12</v>
      </c>
      <c r="J119" s="204">
        <v>13</v>
      </c>
      <c r="K119" s="204">
        <v>7</v>
      </c>
      <c r="L119" s="204">
        <v>11</v>
      </c>
      <c r="M119" s="331">
        <v>10</v>
      </c>
      <c r="N119" s="202">
        <v>-0.44751381215469616</v>
      </c>
    </row>
    <row r="120" spans="1:14">
      <c r="A120" s="198" t="s">
        <v>159</v>
      </c>
      <c r="B120" s="199" t="s">
        <v>171</v>
      </c>
      <c r="C120" s="199" t="s">
        <v>133</v>
      </c>
      <c r="D120" s="200" t="s">
        <v>162</v>
      </c>
      <c r="E120" s="213">
        <v>0.4</v>
      </c>
      <c r="F120" s="201">
        <v>0</v>
      </c>
      <c r="G120" s="201">
        <v>0</v>
      </c>
      <c r="H120" s="201">
        <v>0</v>
      </c>
      <c r="I120" s="201">
        <v>0</v>
      </c>
      <c r="J120" s="201">
        <v>0</v>
      </c>
      <c r="K120" s="201">
        <v>1</v>
      </c>
      <c r="L120" s="201">
        <v>0</v>
      </c>
      <c r="M120" s="330">
        <v>0</v>
      </c>
      <c r="N120" s="202">
        <v>-1</v>
      </c>
    </row>
    <row r="121" spans="1:14" ht="15.75" customHeight="1">
      <c r="A121" s="198" t="s">
        <v>159</v>
      </c>
      <c r="B121" s="199" t="s">
        <v>171</v>
      </c>
      <c r="C121" s="199" t="s">
        <v>133</v>
      </c>
      <c r="D121" s="200" t="s">
        <v>163</v>
      </c>
      <c r="E121" s="213">
        <v>18.3</v>
      </c>
      <c r="F121" s="201">
        <v>13</v>
      </c>
      <c r="G121" s="201">
        <v>26</v>
      </c>
      <c r="H121" s="201">
        <v>16</v>
      </c>
      <c r="I121" s="201">
        <v>7</v>
      </c>
      <c r="J121" s="201">
        <v>24</v>
      </c>
      <c r="K121" s="201">
        <v>25</v>
      </c>
      <c r="L121" s="201">
        <v>9</v>
      </c>
      <c r="M121" s="330">
        <v>23</v>
      </c>
      <c r="N121" s="202">
        <v>0.25683060109289613</v>
      </c>
    </row>
    <row r="122" spans="1:14" ht="15.75" customHeight="1">
      <c r="A122" s="198" t="s">
        <v>159</v>
      </c>
      <c r="B122" s="199" t="s">
        <v>171</v>
      </c>
      <c r="C122" s="199" t="s">
        <v>133</v>
      </c>
      <c r="D122" s="200" t="s">
        <v>164</v>
      </c>
      <c r="E122" s="213">
        <v>17.899999999999999</v>
      </c>
      <c r="F122" s="201">
        <v>13</v>
      </c>
      <c r="G122" s="201">
        <v>26</v>
      </c>
      <c r="H122" s="201">
        <v>16</v>
      </c>
      <c r="I122" s="201">
        <v>7</v>
      </c>
      <c r="J122" s="201">
        <v>24</v>
      </c>
      <c r="K122" s="201">
        <v>24</v>
      </c>
      <c r="L122" s="201">
        <v>9</v>
      </c>
      <c r="M122" s="330">
        <v>23</v>
      </c>
      <c r="N122" s="202">
        <v>0.28491620111731852</v>
      </c>
    </row>
    <row r="123" spans="1:14" ht="15.75" customHeight="1">
      <c r="A123" s="198" t="s">
        <v>159</v>
      </c>
      <c r="B123" s="199" t="s">
        <v>171</v>
      </c>
      <c r="C123" s="199" t="s">
        <v>133</v>
      </c>
      <c r="D123" s="200" t="s">
        <v>165</v>
      </c>
      <c r="E123" s="213">
        <v>60.2</v>
      </c>
      <c r="F123" s="201">
        <v>63</v>
      </c>
      <c r="G123" s="201">
        <v>46</v>
      </c>
      <c r="H123" s="201">
        <v>51</v>
      </c>
      <c r="I123" s="201">
        <v>43</v>
      </c>
      <c r="J123" s="201">
        <v>46</v>
      </c>
      <c r="K123" s="201">
        <v>64</v>
      </c>
      <c r="L123" s="201">
        <v>57</v>
      </c>
      <c r="M123" s="330">
        <v>64</v>
      </c>
      <c r="N123" s="202">
        <v>6.3122923588039823E-2</v>
      </c>
    </row>
    <row r="124" spans="1:14" ht="15.75" customHeight="1">
      <c r="A124" s="198" t="s">
        <v>159</v>
      </c>
      <c r="B124" s="199" t="s">
        <v>171</v>
      </c>
      <c r="C124" s="199" t="s">
        <v>133</v>
      </c>
      <c r="D124" s="203" t="s">
        <v>91</v>
      </c>
      <c r="E124" s="214">
        <v>78.400000000000006</v>
      </c>
      <c r="F124" s="204">
        <v>76</v>
      </c>
      <c r="G124" s="204">
        <v>72</v>
      </c>
      <c r="H124" s="204">
        <v>67</v>
      </c>
      <c r="I124" s="204">
        <v>50</v>
      </c>
      <c r="J124" s="204">
        <v>70</v>
      </c>
      <c r="K124" s="204">
        <v>89</v>
      </c>
      <c r="L124" s="204">
        <v>66</v>
      </c>
      <c r="M124" s="331">
        <v>87</v>
      </c>
      <c r="N124" s="202">
        <v>0.10969387755102032</v>
      </c>
    </row>
    <row r="125" spans="1:14">
      <c r="A125" s="198" t="s">
        <v>159</v>
      </c>
      <c r="B125" s="199" t="s">
        <v>171</v>
      </c>
      <c r="C125" s="199" t="s">
        <v>167</v>
      </c>
      <c r="D125" s="200" t="s">
        <v>162</v>
      </c>
      <c r="E125" s="213">
        <v>0</v>
      </c>
      <c r="F125" s="201">
        <v>0</v>
      </c>
      <c r="G125" s="201">
        <v>0</v>
      </c>
      <c r="H125" s="201">
        <v>0</v>
      </c>
      <c r="I125" s="201">
        <v>0</v>
      </c>
      <c r="J125" s="201">
        <v>0</v>
      </c>
      <c r="K125" s="201">
        <v>0</v>
      </c>
      <c r="L125" s="201">
        <v>0</v>
      </c>
      <c r="M125" s="330">
        <v>0</v>
      </c>
      <c r="N125" s="202">
        <v>0</v>
      </c>
    </row>
    <row r="126" spans="1:14" ht="15.75" customHeight="1">
      <c r="A126" s="198" t="s">
        <v>159</v>
      </c>
      <c r="B126" s="199" t="s">
        <v>171</v>
      </c>
      <c r="C126" s="199" t="s">
        <v>167</v>
      </c>
      <c r="D126" s="200" t="s">
        <v>163</v>
      </c>
      <c r="E126" s="213">
        <v>0.7</v>
      </c>
      <c r="F126" s="201">
        <v>0</v>
      </c>
      <c r="G126" s="201">
        <v>0</v>
      </c>
      <c r="H126" s="201">
        <v>0</v>
      </c>
      <c r="I126" s="201">
        <v>1</v>
      </c>
      <c r="J126" s="201">
        <v>1</v>
      </c>
      <c r="K126" s="201">
        <v>1</v>
      </c>
      <c r="L126" s="201">
        <v>0</v>
      </c>
      <c r="M126" s="330">
        <v>2</v>
      </c>
      <c r="N126" s="202">
        <v>1.8571428571428574</v>
      </c>
    </row>
    <row r="127" spans="1:14" ht="15.75" customHeight="1">
      <c r="A127" s="198" t="s">
        <v>159</v>
      </c>
      <c r="B127" s="199" t="s">
        <v>171</v>
      </c>
      <c r="C127" s="199" t="s">
        <v>167</v>
      </c>
      <c r="D127" s="200" t="s">
        <v>164</v>
      </c>
      <c r="E127" s="213">
        <v>0.7</v>
      </c>
      <c r="F127" s="201">
        <v>0</v>
      </c>
      <c r="G127" s="201">
        <v>0</v>
      </c>
      <c r="H127" s="201">
        <v>0</v>
      </c>
      <c r="I127" s="201">
        <v>1</v>
      </c>
      <c r="J127" s="201">
        <v>1</v>
      </c>
      <c r="K127" s="201">
        <v>1</v>
      </c>
      <c r="L127" s="201">
        <v>0</v>
      </c>
      <c r="M127" s="330">
        <v>2</v>
      </c>
      <c r="N127" s="202">
        <v>1.8571428571428574</v>
      </c>
    </row>
    <row r="128" spans="1:14" ht="15.75" customHeight="1">
      <c r="A128" s="198" t="s">
        <v>159</v>
      </c>
      <c r="B128" s="199" t="s">
        <v>171</v>
      </c>
      <c r="C128" s="199" t="s">
        <v>167</v>
      </c>
      <c r="D128" s="200" t="s">
        <v>165</v>
      </c>
      <c r="E128" s="213">
        <v>2.6</v>
      </c>
      <c r="F128" s="201">
        <v>3</v>
      </c>
      <c r="G128" s="201">
        <v>2</v>
      </c>
      <c r="H128" s="201">
        <v>4</v>
      </c>
      <c r="I128" s="201">
        <v>4</v>
      </c>
      <c r="J128" s="201">
        <v>5</v>
      </c>
      <c r="K128" s="201">
        <v>2</v>
      </c>
      <c r="L128" s="201">
        <v>4</v>
      </c>
      <c r="M128" s="330">
        <v>3</v>
      </c>
      <c r="N128" s="202">
        <v>0.1538461538461538</v>
      </c>
    </row>
    <row r="129" spans="1:14" ht="15.75" customHeight="1">
      <c r="A129" s="198" t="s">
        <v>159</v>
      </c>
      <c r="B129" s="199" t="s">
        <v>171</v>
      </c>
      <c r="C129" s="199" t="s">
        <v>167</v>
      </c>
      <c r="D129" s="203" t="s">
        <v>91</v>
      </c>
      <c r="E129" s="214">
        <v>3.3</v>
      </c>
      <c r="F129" s="204">
        <v>3</v>
      </c>
      <c r="G129" s="204">
        <v>2</v>
      </c>
      <c r="H129" s="204">
        <v>4</v>
      </c>
      <c r="I129" s="204">
        <v>5</v>
      </c>
      <c r="J129" s="204">
        <v>6</v>
      </c>
      <c r="K129" s="204">
        <v>3</v>
      </c>
      <c r="L129" s="204">
        <v>4</v>
      </c>
      <c r="M129" s="331">
        <v>5</v>
      </c>
      <c r="N129" s="202">
        <v>0.51515151515151525</v>
      </c>
    </row>
    <row r="130" spans="1:14" ht="15.75" customHeight="1">
      <c r="A130" s="198" t="s">
        <v>159</v>
      </c>
      <c r="B130" s="199" t="s">
        <v>171</v>
      </c>
      <c r="C130" s="199" t="s">
        <v>168</v>
      </c>
      <c r="D130" s="200" t="s">
        <v>162</v>
      </c>
      <c r="E130" s="213">
        <v>0</v>
      </c>
      <c r="F130" s="201">
        <v>0</v>
      </c>
      <c r="G130" s="201">
        <v>1</v>
      </c>
      <c r="H130" s="201">
        <v>0</v>
      </c>
      <c r="I130" s="201">
        <v>0</v>
      </c>
      <c r="J130" s="201">
        <v>1</v>
      </c>
      <c r="K130" s="201">
        <v>0</v>
      </c>
      <c r="L130" s="201">
        <v>0</v>
      </c>
      <c r="M130" s="330">
        <v>1</v>
      </c>
      <c r="N130" s="202">
        <v>0</v>
      </c>
    </row>
    <row r="131" spans="1:14" ht="15.75" customHeight="1">
      <c r="A131" s="198" t="s">
        <v>159</v>
      </c>
      <c r="B131" s="199" t="s">
        <v>171</v>
      </c>
      <c r="C131" s="199" t="s">
        <v>168</v>
      </c>
      <c r="D131" s="200" t="s">
        <v>163</v>
      </c>
      <c r="E131" s="213">
        <v>9.4</v>
      </c>
      <c r="F131" s="201">
        <v>6</v>
      </c>
      <c r="G131" s="201">
        <v>5</v>
      </c>
      <c r="H131" s="201">
        <v>5</v>
      </c>
      <c r="I131" s="201">
        <v>7</v>
      </c>
      <c r="J131" s="201">
        <v>22</v>
      </c>
      <c r="K131" s="201">
        <v>10</v>
      </c>
      <c r="L131" s="201">
        <v>9</v>
      </c>
      <c r="M131" s="330">
        <v>10</v>
      </c>
      <c r="N131" s="202">
        <v>6.3829787234042507E-2</v>
      </c>
    </row>
    <row r="132" spans="1:14" ht="15.75" customHeight="1">
      <c r="A132" s="198" t="s">
        <v>159</v>
      </c>
      <c r="B132" s="199" t="s">
        <v>171</v>
      </c>
      <c r="C132" s="199" t="s">
        <v>168</v>
      </c>
      <c r="D132" s="200" t="s">
        <v>164</v>
      </c>
      <c r="E132" s="213">
        <v>9.4</v>
      </c>
      <c r="F132" s="201">
        <v>6</v>
      </c>
      <c r="G132" s="201">
        <v>4</v>
      </c>
      <c r="H132" s="201">
        <v>5</v>
      </c>
      <c r="I132" s="201">
        <v>7</v>
      </c>
      <c r="J132" s="201">
        <v>21</v>
      </c>
      <c r="K132" s="201">
        <v>10</v>
      </c>
      <c r="L132" s="201">
        <v>9</v>
      </c>
      <c r="M132" s="330">
        <v>9</v>
      </c>
      <c r="N132" s="202">
        <v>-4.2553191489361736E-2</v>
      </c>
    </row>
    <row r="133" spans="1:14" ht="15.75" customHeight="1">
      <c r="A133" s="198" t="s">
        <v>159</v>
      </c>
      <c r="B133" s="199" t="s">
        <v>171</v>
      </c>
      <c r="C133" s="199" t="s">
        <v>168</v>
      </c>
      <c r="D133" s="200" t="s">
        <v>165</v>
      </c>
      <c r="E133" s="213">
        <v>33.4</v>
      </c>
      <c r="F133" s="201">
        <v>13</v>
      </c>
      <c r="G133" s="201">
        <v>32</v>
      </c>
      <c r="H133" s="201">
        <v>28</v>
      </c>
      <c r="I133" s="201">
        <v>40</v>
      </c>
      <c r="J133" s="201">
        <v>43</v>
      </c>
      <c r="K133" s="201">
        <v>24</v>
      </c>
      <c r="L133" s="201">
        <v>23</v>
      </c>
      <c r="M133" s="330">
        <v>31</v>
      </c>
      <c r="N133" s="202">
        <v>-7.1856287425149656E-2</v>
      </c>
    </row>
    <row r="134" spans="1:14" ht="15.75" customHeight="1">
      <c r="A134" s="198" t="s">
        <v>159</v>
      </c>
      <c r="B134" s="199" t="s">
        <v>171</v>
      </c>
      <c r="C134" s="199" t="s">
        <v>168</v>
      </c>
      <c r="D134" s="203" t="s">
        <v>91</v>
      </c>
      <c r="E134" s="214">
        <v>42.8</v>
      </c>
      <c r="F134" s="204">
        <v>19</v>
      </c>
      <c r="G134" s="204">
        <v>37</v>
      </c>
      <c r="H134" s="204">
        <v>33</v>
      </c>
      <c r="I134" s="204">
        <v>47</v>
      </c>
      <c r="J134" s="204">
        <v>65</v>
      </c>
      <c r="K134" s="204">
        <v>34</v>
      </c>
      <c r="L134" s="204">
        <v>32</v>
      </c>
      <c r="M134" s="331">
        <v>41</v>
      </c>
      <c r="N134" s="202">
        <v>-4.2056074766355075E-2</v>
      </c>
    </row>
    <row r="135" spans="1:14" ht="15.75" customHeight="1">
      <c r="A135" s="198" t="s">
        <v>159</v>
      </c>
      <c r="B135" s="199" t="s">
        <v>171</v>
      </c>
      <c r="C135" s="199" t="s">
        <v>131</v>
      </c>
      <c r="D135" s="200" t="s">
        <v>162</v>
      </c>
      <c r="E135" s="213">
        <v>1.6</v>
      </c>
      <c r="F135" s="201">
        <v>2</v>
      </c>
      <c r="G135" s="201">
        <v>2</v>
      </c>
      <c r="H135" s="201">
        <v>1</v>
      </c>
      <c r="I135" s="201">
        <v>0</v>
      </c>
      <c r="J135" s="201">
        <v>2</v>
      </c>
      <c r="K135" s="201">
        <v>1</v>
      </c>
      <c r="L135" s="201">
        <v>2</v>
      </c>
      <c r="M135" s="330">
        <v>1</v>
      </c>
      <c r="N135" s="202">
        <v>-0.37500000000000006</v>
      </c>
    </row>
    <row r="136" spans="1:14" ht="15.75" customHeight="1">
      <c r="A136" s="198" t="s">
        <v>159</v>
      </c>
      <c r="B136" s="199" t="s">
        <v>171</v>
      </c>
      <c r="C136" s="199" t="s">
        <v>131</v>
      </c>
      <c r="D136" s="200" t="s">
        <v>163</v>
      </c>
      <c r="E136" s="213">
        <v>21.6</v>
      </c>
      <c r="F136" s="201">
        <v>26</v>
      </c>
      <c r="G136" s="201">
        <v>23</v>
      </c>
      <c r="H136" s="201">
        <v>19</v>
      </c>
      <c r="I136" s="201">
        <v>14</v>
      </c>
      <c r="J136" s="201">
        <v>16</v>
      </c>
      <c r="K136" s="201">
        <v>20</v>
      </c>
      <c r="L136" s="201">
        <v>24</v>
      </c>
      <c r="M136" s="330">
        <v>26</v>
      </c>
      <c r="N136" s="202">
        <v>0.20370370370370364</v>
      </c>
    </row>
    <row r="137" spans="1:14" ht="15.75" customHeight="1">
      <c r="A137" s="198" t="s">
        <v>159</v>
      </c>
      <c r="B137" s="199" t="s">
        <v>171</v>
      </c>
      <c r="C137" s="199" t="s">
        <v>131</v>
      </c>
      <c r="D137" s="200" t="s">
        <v>164</v>
      </c>
      <c r="E137" s="213">
        <v>20</v>
      </c>
      <c r="F137" s="201">
        <v>24</v>
      </c>
      <c r="G137" s="201">
        <v>21</v>
      </c>
      <c r="H137" s="201">
        <v>18</v>
      </c>
      <c r="I137" s="201">
        <v>14</v>
      </c>
      <c r="J137" s="201">
        <v>14</v>
      </c>
      <c r="K137" s="201">
        <v>19</v>
      </c>
      <c r="L137" s="201">
        <v>22</v>
      </c>
      <c r="M137" s="330">
        <v>25</v>
      </c>
      <c r="N137" s="202">
        <v>0.25</v>
      </c>
    </row>
    <row r="138" spans="1:14" ht="15.75" customHeight="1">
      <c r="A138" s="198" t="s">
        <v>159</v>
      </c>
      <c r="B138" s="199" t="s">
        <v>171</v>
      </c>
      <c r="C138" s="199" t="s">
        <v>131</v>
      </c>
      <c r="D138" s="200" t="s">
        <v>165</v>
      </c>
      <c r="E138" s="213">
        <v>66.599999999999994</v>
      </c>
      <c r="F138" s="201">
        <v>96</v>
      </c>
      <c r="G138" s="201">
        <v>78</v>
      </c>
      <c r="H138" s="201">
        <v>62</v>
      </c>
      <c r="I138" s="201">
        <v>62</v>
      </c>
      <c r="J138" s="201">
        <v>50</v>
      </c>
      <c r="K138" s="201">
        <v>68</v>
      </c>
      <c r="L138" s="201">
        <v>67</v>
      </c>
      <c r="M138" s="330">
        <v>72</v>
      </c>
      <c r="N138" s="202">
        <v>8.1081081081081169E-2</v>
      </c>
    </row>
    <row r="139" spans="1:14" ht="15.75" customHeight="1">
      <c r="A139" s="198" t="s">
        <v>159</v>
      </c>
      <c r="B139" s="199" t="s">
        <v>171</v>
      </c>
      <c r="C139" s="199" t="s">
        <v>131</v>
      </c>
      <c r="D139" s="203" t="s">
        <v>91</v>
      </c>
      <c r="E139" s="214">
        <v>88.2</v>
      </c>
      <c r="F139" s="204">
        <v>122</v>
      </c>
      <c r="G139" s="204">
        <v>101</v>
      </c>
      <c r="H139" s="204">
        <v>81</v>
      </c>
      <c r="I139" s="204">
        <v>76</v>
      </c>
      <c r="J139" s="204">
        <v>66</v>
      </c>
      <c r="K139" s="204">
        <v>88</v>
      </c>
      <c r="L139" s="204">
        <v>91</v>
      </c>
      <c r="M139" s="331">
        <v>98</v>
      </c>
      <c r="N139" s="202">
        <v>0.11111111111111108</v>
      </c>
    </row>
    <row r="140" spans="1:14">
      <c r="A140" s="198" t="s">
        <v>159</v>
      </c>
      <c r="B140" s="199" t="s">
        <v>171</v>
      </c>
      <c r="C140" s="199" t="s">
        <v>169</v>
      </c>
      <c r="D140" s="200" t="s">
        <v>162</v>
      </c>
      <c r="E140" s="213">
        <v>0</v>
      </c>
      <c r="F140" s="201">
        <v>0</v>
      </c>
      <c r="G140" s="201">
        <v>0</v>
      </c>
      <c r="H140" s="201">
        <v>0</v>
      </c>
      <c r="I140" s="201">
        <v>0</v>
      </c>
      <c r="J140" s="201">
        <v>0</v>
      </c>
      <c r="K140" s="201">
        <v>0</v>
      </c>
      <c r="L140" s="201">
        <v>0</v>
      </c>
      <c r="M140" s="330" t="s">
        <v>172</v>
      </c>
      <c r="N140" s="202">
        <v>0</v>
      </c>
    </row>
    <row r="141" spans="1:14" ht="15.75" customHeight="1">
      <c r="A141" s="198" t="s">
        <v>159</v>
      </c>
      <c r="B141" s="199" t="s">
        <v>171</v>
      </c>
      <c r="C141" s="199" t="s">
        <v>169</v>
      </c>
      <c r="D141" s="200" t="s">
        <v>163</v>
      </c>
      <c r="E141" s="213">
        <v>0</v>
      </c>
      <c r="F141" s="201">
        <v>0</v>
      </c>
      <c r="G141" s="201">
        <v>0</v>
      </c>
      <c r="H141" s="201">
        <v>0</v>
      </c>
      <c r="I141" s="201">
        <v>0</v>
      </c>
      <c r="J141" s="201">
        <v>0</v>
      </c>
      <c r="K141" s="201">
        <v>0</v>
      </c>
      <c r="L141" s="201">
        <v>0</v>
      </c>
      <c r="M141" s="330">
        <v>0</v>
      </c>
      <c r="N141" s="202">
        <v>0</v>
      </c>
    </row>
    <row r="142" spans="1:14" ht="15.75" customHeight="1">
      <c r="A142" s="198" t="s">
        <v>159</v>
      </c>
      <c r="B142" s="199" t="s">
        <v>171</v>
      </c>
      <c r="C142" s="199" t="s">
        <v>169</v>
      </c>
      <c r="D142" s="200" t="s">
        <v>164</v>
      </c>
      <c r="E142" s="213">
        <v>0</v>
      </c>
      <c r="F142" s="201">
        <v>0</v>
      </c>
      <c r="G142" s="201">
        <v>0</v>
      </c>
      <c r="H142" s="201">
        <v>0</v>
      </c>
      <c r="I142" s="201">
        <v>0</v>
      </c>
      <c r="J142" s="201">
        <v>0</v>
      </c>
      <c r="K142" s="201">
        <v>0</v>
      </c>
      <c r="L142" s="201">
        <v>0</v>
      </c>
      <c r="M142" s="330" t="s">
        <v>172</v>
      </c>
      <c r="N142" s="202">
        <v>0</v>
      </c>
    </row>
    <row r="143" spans="1:14" ht="15.75" customHeight="1">
      <c r="A143" s="198" t="s">
        <v>159</v>
      </c>
      <c r="B143" s="199" t="s">
        <v>171</v>
      </c>
      <c r="C143" s="199" t="s">
        <v>169</v>
      </c>
      <c r="D143" s="200" t="s">
        <v>165</v>
      </c>
      <c r="E143" s="213">
        <v>0</v>
      </c>
      <c r="F143" s="201">
        <v>9</v>
      </c>
      <c r="G143" s="201">
        <v>2</v>
      </c>
      <c r="H143" s="201">
        <v>0</v>
      </c>
      <c r="I143" s="201">
        <v>6</v>
      </c>
      <c r="J143" s="201">
        <v>0</v>
      </c>
      <c r="K143" s="201">
        <v>1</v>
      </c>
      <c r="L143" s="201">
        <v>2</v>
      </c>
      <c r="M143" s="330">
        <v>3</v>
      </c>
      <c r="N143" s="202">
        <v>0</v>
      </c>
    </row>
    <row r="144" spans="1:14" ht="15.75" customHeight="1">
      <c r="A144" s="198" t="s">
        <v>159</v>
      </c>
      <c r="B144" s="199" t="s">
        <v>171</v>
      </c>
      <c r="C144" s="199" t="s">
        <v>169</v>
      </c>
      <c r="D144" s="203" t="s">
        <v>91</v>
      </c>
      <c r="E144" s="214">
        <v>0</v>
      </c>
      <c r="F144" s="204">
        <v>9</v>
      </c>
      <c r="G144" s="204">
        <v>2</v>
      </c>
      <c r="H144" s="204">
        <v>0</v>
      </c>
      <c r="I144" s="204">
        <v>6</v>
      </c>
      <c r="J144" s="204">
        <v>0</v>
      </c>
      <c r="K144" s="204">
        <v>1</v>
      </c>
      <c r="L144" s="204">
        <v>2</v>
      </c>
      <c r="M144" s="331">
        <v>3</v>
      </c>
      <c r="N144" s="202">
        <v>0</v>
      </c>
    </row>
    <row r="145" spans="1:14" ht="15.75" customHeight="1">
      <c r="A145" s="198" t="s">
        <v>159</v>
      </c>
      <c r="B145" s="199" t="s">
        <v>171</v>
      </c>
      <c r="C145" s="199" t="s">
        <v>139</v>
      </c>
      <c r="D145" s="200" t="s">
        <v>162</v>
      </c>
      <c r="E145" s="213">
        <v>0</v>
      </c>
      <c r="F145" s="201">
        <v>0</v>
      </c>
      <c r="G145" s="201">
        <v>0</v>
      </c>
      <c r="H145" s="201">
        <v>0</v>
      </c>
      <c r="I145" s="201">
        <v>0</v>
      </c>
      <c r="J145" s="201">
        <v>0</v>
      </c>
      <c r="K145" s="201">
        <v>0</v>
      </c>
      <c r="L145" s="201">
        <v>0</v>
      </c>
      <c r="M145" s="330" t="s">
        <v>172</v>
      </c>
      <c r="N145" s="202">
        <v>0</v>
      </c>
    </row>
    <row r="146" spans="1:14" ht="15.75" customHeight="1">
      <c r="A146" s="198" t="s">
        <v>159</v>
      </c>
      <c r="B146" s="199" t="s">
        <v>171</v>
      </c>
      <c r="C146" s="199" t="s">
        <v>139</v>
      </c>
      <c r="D146" s="200" t="s">
        <v>163</v>
      </c>
      <c r="E146" s="213">
        <v>0.2</v>
      </c>
      <c r="F146" s="201">
        <v>0</v>
      </c>
      <c r="G146" s="201">
        <v>1</v>
      </c>
      <c r="H146" s="201">
        <v>1</v>
      </c>
      <c r="I146" s="201">
        <v>1</v>
      </c>
      <c r="J146" s="201">
        <v>0</v>
      </c>
      <c r="K146" s="201">
        <v>0</v>
      </c>
      <c r="L146" s="201">
        <v>0</v>
      </c>
      <c r="M146" s="330">
        <v>0</v>
      </c>
      <c r="N146" s="202">
        <v>-1</v>
      </c>
    </row>
    <row r="147" spans="1:14" ht="15.75" customHeight="1">
      <c r="A147" s="198" t="s">
        <v>159</v>
      </c>
      <c r="B147" s="199" t="s">
        <v>171</v>
      </c>
      <c r="C147" s="199" t="s">
        <v>139</v>
      </c>
      <c r="D147" s="200" t="s">
        <v>164</v>
      </c>
      <c r="E147" s="213">
        <v>0.2</v>
      </c>
      <c r="F147" s="201">
        <v>0</v>
      </c>
      <c r="G147" s="201">
        <v>1</v>
      </c>
      <c r="H147" s="201">
        <v>1</v>
      </c>
      <c r="I147" s="201">
        <v>1</v>
      </c>
      <c r="J147" s="201">
        <v>0</v>
      </c>
      <c r="K147" s="201">
        <v>0</v>
      </c>
      <c r="L147" s="201">
        <v>0</v>
      </c>
      <c r="M147" s="330" t="s">
        <v>172</v>
      </c>
      <c r="N147" s="202">
        <v>-1</v>
      </c>
    </row>
    <row r="148" spans="1:14" ht="15.75" customHeight="1">
      <c r="A148" s="198" t="s">
        <v>159</v>
      </c>
      <c r="B148" s="199" t="s">
        <v>171</v>
      </c>
      <c r="C148" s="199" t="s">
        <v>139</v>
      </c>
      <c r="D148" s="200" t="s">
        <v>165</v>
      </c>
      <c r="E148" s="213">
        <v>4</v>
      </c>
      <c r="F148" s="201">
        <v>1</v>
      </c>
      <c r="G148" s="201">
        <v>4</v>
      </c>
      <c r="H148" s="201">
        <v>6</v>
      </c>
      <c r="I148" s="201">
        <v>1</v>
      </c>
      <c r="J148" s="201">
        <v>5</v>
      </c>
      <c r="K148" s="201">
        <v>5</v>
      </c>
      <c r="L148" s="201">
        <v>1</v>
      </c>
      <c r="M148" s="330">
        <v>2</v>
      </c>
      <c r="N148" s="202">
        <v>-0.5</v>
      </c>
    </row>
    <row r="149" spans="1:14" ht="15.75" customHeight="1">
      <c r="A149" s="198" t="s">
        <v>159</v>
      </c>
      <c r="B149" s="199" t="s">
        <v>171</v>
      </c>
      <c r="C149" s="199" t="s">
        <v>139</v>
      </c>
      <c r="D149" s="203" t="s">
        <v>91</v>
      </c>
      <c r="E149" s="214">
        <v>4.0999999999999996</v>
      </c>
      <c r="F149" s="204">
        <v>1</v>
      </c>
      <c r="G149" s="204">
        <v>5</v>
      </c>
      <c r="H149" s="204">
        <v>7</v>
      </c>
      <c r="I149" s="204">
        <v>2</v>
      </c>
      <c r="J149" s="204">
        <v>5</v>
      </c>
      <c r="K149" s="204">
        <v>5</v>
      </c>
      <c r="L149" s="204">
        <v>1</v>
      </c>
      <c r="M149" s="331">
        <v>2</v>
      </c>
      <c r="N149" s="202">
        <v>-0.51219512195121952</v>
      </c>
    </row>
    <row r="150" spans="1:14" ht="15.75" customHeight="1">
      <c r="A150" s="198" t="s">
        <v>159</v>
      </c>
      <c r="B150" s="199" t="s">
        <v>171</v>
      </c>
      <c r="C150" s="205" t="s">
        <v>91</v>
      </c>
      <c r="D150" s="203" t="s">
        <v>162</v>
      </c>
      <c r="E150" s="214">
        <v>2.6</v>
      </c>
      <c r="F150" s="204">
        <v>2</v>
      </c>
      <c r="G150" s="204">
        <v>3</v>
      </c>
      <c r="H150" s="204">
        <v>3</v>
      </c>
      <c r="I150" s="204">
        <v>0</v>
      </c>
      <c r="J150" s="204">
        <v>3</v>
      </c>
      <c r="K150" s="204">
        <v>4</v>
      </c>
      <c r="L150" s="204">
        <v>3</v>
      </c>
      <c r="M150" s="331">
        <v>3</v>
      </c>
      <c r="N150" s="202">
        <v>0.1538461538461538</v>
      </c>
    </row>
    <row r="151" spans="1:14" ht="15.75" customHeight="1">
      <c r="A151" s="198" t="s">
        <v>175</v>
      </c>
      <c r="B151" s="199" t="s">
        <v>192</v>
      </c>
      <c r="C151" s="205" t="s">
        <v>91</v>
      </c>
      <c r="D151" s="203" t="s">
        <v>163</v>
      </c>
      <c r="E151" s="216">
        <v>256.3</v>
      </c>
      <c r="F151" s="204">
        <v>207</v>
      </c>
      <c r="G151" s="204">
        <v>202</v>
      </c>
      <c r="H151" s="204">
        <v>200</v>
      </c>
      <c r="I151" s="204">
        <v>167</v>
      </c>
      <c r="J151" s="204">
        <v>225</v>
      </c>
      <c r="K151" s="204">
        <v>239</v>
      </c>
      <c r="L151" s="204">
        <v>191</v>
      </c>
      <c r="M151" s="331">
        <v>187</v>
      </c>
      <c r="N151" s="202">
        <v>-0.27038626609442062</v>
      </c>
    </row>
    <row r="152" spans="1:14" ht="15.75" customHeight="1">
      <c r="A152" s="198" t="s">
        <v>159</v>
      </c>
      <c r="B152" s="199" t="s">
        <v>171</v>
      </c>
      <c r="C152" s="205" t="s">
        <v>91</v>
      </c>
      <c r="D152" s="203" t="s">
        <v>164</v>
      </c>
      <c r="E152" s="214">
        <v>82.1</v>
      </c>
      <c r="F152" s="204">
        <v>55</v>
      </c>
      <c r="G152" s="204">
        <v>78</v>
      </c>
      <c r="H152" s="204">
        <v>74</v>
      </c>
      <c r="I152" s="204">
        <v>48</v>
      </c>
      <c r="J152" s="204">
        <v>83</v>
      </c>
      <c r="K152" s="204">
        <v>71</v>
      </c>
      <c r="L152" s="204">
        <v>61</v>
      </c>
      <c r="M152" s="331">
        <v>75</v>
      </c>
      <c r="N152" s="202">
        <v>-8.6479902557856203E-2</v>
      </c>
    </row>
    <row r="153" spans="1:14" ht="15.75" customHeight="1">
      <c r="A153" s="198" t="s">
        <v>159</v>
      </c>
      <c r="B153" s="199" t="s">
        <v>171</v>
      </c>
      <c r="C153" s="205" t="s">
        <v>91</v>
      </c>
      <c r="D153" s="203" t="s">
        <v>165</v>
      </c>
      <c r="E153" s="214">
        <v>508.6</v>
      </c>
      <c r="F153" s="204">
        <v>533</v>
      </c>
      <c r="G153" s="204">
        <v>555</v>
      </c>
      <c r="H153" s="204">
        <v>518</v>
      </c>
      <c r="I153" s="204">
        <v>467</v>
      </c>
      <c r="J153" s="204">
        <v>420</v>
      </c>
      <c r="K153" s="204">
        <v>438</v>
      </c>
      <c r="L153" s="204">
        <v>423</v>
      </c>
      <c r="M153" s="331">
        <v>403</v>
      </c>
      <c r="N153" s="202">
        <v>-0.20762878489972478</v>
      </c>
    </row>
    <row r="154" spans="1:14" ht="15.75" customHeight="1">
      <c r="A154" s="198" t="s">
        <v>159</v>
      </c>
      <c r="B154" s="199" t="s">
        <v>171</v>
      </c>
      <c r="C154" s="205" t="s">
        <v>91</v>
      </c>
      <c r="D154" s="203" t="s">
        <v>91</v>
      </c>
      <c r="E154" s="214">
        <v>593.29999999999995</v>
      </c>
      <c r="F154" s="204">
        <v>590</v>
      </c>
      <c r="G154" s="204">
        <v>636</v>
      </c>
      <c r="H154" s="204">
        <v>595</v>
      </c>
      <c r="I154" s="204">
        <v>515</v>
      </c>
      <c r="J154" s="204">
        <v>506</v>
      </c>
      <c r="K154" s="204">
        <v>513</v>
      </c>
      <c r="L154" s="204">
        <v>487</v>
      </c>
      <c r="M154" s="331">
        <v>481</v>
      </c>
      <c r="N154" s="202">
        <v>-0.18928029664587892</v>
      </c>
    </row>
    <row r="155" spans="1:14">
      <c r="A155" s="198" t="s">
        <v>159</v>
      </c>
      <c r="B155" s="199" t="s">
        <v>173</v>
      </c>
      <c r="C155" s="199" t="s">
        <v>161</v>
      </c>
      <c r="D155" s="200" t="s">
        <v>162</v>
      </c>
      <c r="E155" s="213">
        <v>0</v>
      </c>
      <c r="F155" s="201">
        <v>0</v>
      </c>
      <c r="G155" s="201">
        <v>0</v>
      </c>
      <c r="H155" s="201">
        <v>0</v>
      </c>
      <c r="I155" s="201">
        <v>0</v>
      </c>
      <c r="J155" s="201">
        <v>0</v>
      </c>
      <c r="K155" s="201">
        <v>0</v>
      </c>
      <c r="L155" s="201">
        <v>0</v>
      </c>
      <c r="M155" s="330" t="s">
        <v>172</v>
      </c>
      <c r="N155" s="202">
        <v>0</v>
      </c>
    </row>
    <row r="156" spans="1:14" ht="15.75" customHeight="1">
      <c r="A156" s="198" t="s">
        <v>159</v>
      </c>
      <c r="B156" s="199" t="s">
        <v>173</v>
      </c>
      <c r="C156" s="199" t="s">
        <v>161</v>
      </c>
      <c r="D156" s="200" t="s">
        <v>163</v>
      </c>
      <c r="E156" s="213">
        <v>6.3</v>
      </c>
      <c r="F156" s="201">
        <v>5</v>
      </c>
      <c r="G156" s="201">
        <v>5</v>
      </c>
      <c r="H156" s="201">
        <v>2</v>
      </c>
      <c r="I156" s="201">
        <v>2</v>
      </c>
      <c r="J156" s="201">
        <v>1</v>
      </c>
      <c r="K156" s="201">
        <v>6</v>
      </c>
      <c r="L156" s="201">
        <v>2</v>
      </c>
      <c r="M156" s="330">
        <v>2</v>
      </c>
      <c r="N156" s="202">
        <v>-0.68253968253968256</v>
      </c>
    </row>
    <row r="157" spans="1:14" ht="15.75" customHeight="1">
      <c r="A157" s="198" t="s">
        <v>159</v>
      </c>
      <c r="B157" s="199" t="s">
        <v>173</v>
      </c>
      <c r="C157" s="199" t="s">
        <v>161</v>
      </c>
      <c r="D157" s="200" t="s">
        <v>164</v>
      </c>
      <c r="E157" s="213">
        <v>6.1</v>
      </c>
      <c r="F157" s="201">
        <v>5</v>
      </c>
      <c r="G157" s="201">
        <v>5</v>
      </c>
      <c r="H157" s="201">
        <v>2</v>
      </c>
      <c r="I157" s="201">
        <v>2</v>
      </c>
      <c r="J157" s="201">
        <v>1</v>
      </c>
      <c r="K157" s="201">
        <v>6</v>
      </c>
      <c r="L157" s="201">
        <v>2</v>
      </c>
      <c r="M157" s="330">
        <v>2</v>
      </c>
      <c r="N157" s="202">
        <v>-0.67213114754098358</v>
      </c>
    </row>
    <row r="158" spans="1:14" ht="15.75" customHeight="1">
      <c r="A158" s="198" t="s">
        <v>159</v>
      </c>
      <c r="B158" s="199" t="s">
        <v>173</v>
      </c>
      <c r="C158" s="199" t="s">
        <v>161</v>
      </c>
      <c r="D158" s="200" t="s">
        <v>165</v>
      </c>
      <c r="E158" s="213">
        <v>40.5</v>
      </c>
      <c r="F158" s="201">
        <v>49</v>
      </c>
      <c r="G158" s="201">
        <v>46</v>
      </c>
      <c r="H158" s="201">
        <v>30</v>
      </c>
      <c r="I158" s="201">
        <v>22</v>
      </c>
      <c r="J158" s="201">
        <v>18</v>
      </c>
      <c r="K158" s="201">
        <v>41</v>
      </c>
      <c r="L158" s="201">
        <v>38</v>
      </c>
      <c r="M158" s="330">
        <v>42</v>
      </c>
      <c r="N158" s="202">
        <v>3.7037037037037035E-2</v>
      </c>
    </row>
    <row r="159" spans="1:14" ht="15.75" customHeight="1">
      <c r="A159" s="198" t="s">
        <v>159</v>
      </c>
      <c r="B159" s="199" t="s">
        <v>173</v>
      </c>
      <c r="C159" s="199" t="s">
        <v>161</v>
      </c>
      <c r="D159" s="203" t="s">
        <v>91</v>
      </c>
      <c r="E159" s="214">
        <v>46.7</v>
      </c>
      <c r="F159" s="204">
        <v>54</v>
      </c>
      <c r="G159" s="204">
        <v>51</v>
      </c>
      <c r="H159" s="204">
        <v>32</v>
      </c>
      <c r="I159" s="204">
        <v>24</v>
      </c>
      <c r="J159" s="204">
        <v>19</v>
      </c>
      <c r="K159" s="204">
        <v>47</v>
      </c>
      <c r="L159" s="204">
        <v>40</v>
      </c>
      <c r="M159" s="331">
        <v>44</v>
      </c>
      <c r="N159" s="202">
        <v>-5.781584582441119E-2</v>
      </c>
    </row>
    <row r="160" spans="1:14">
      <c r="A160" s="198" t="s">
        <v>159</v>
      </c>
      <c r="B160" s="199" t="s">
        <v>173</v>
      </c>
      <c r="C160" s="199" t="s">
        <v>134</v>
      </c>
      <c r="D160" s="200" t="s">
        <v>162</v>
      </c>
      <c r="E160" s="213">
        <v>0.3</v>
      </c>
      <c r="F160" s="201">
        <v>1</v>
      </c>
      <c r="G160" s="201">
        <v>1</v>
      </c>
      <c r="H160" s="201">
        <v>1</v>
      </c>
      <c r="I160" s="201">
        <v>1</v>
      </c>
      <c r="J160" s="201">
        <v>0</v>
      </c>
      <c r="K160" s="201">
        <v>1</v>
      </c>
      <c r="L160" s="201">
        <v>1</v>
      </c>
      <c r="M160" s="330" t="s">
        <v>172</v>
      </c>
      <c r="N160" s="202">
        <v>-1</v>
      </c>
    </row>
    <row r="161" spans="1:14" ht="15.75" customHeight="1">
      <c r="A161" s="198" t="s">
        <v>159</v>
      </c>
      <c r="B161" s="199" t="s">
        <v>173</v>
      </c>
      <c r="C161" s="199" t="s">
        <v>134</v>
      </c>
      <c r="D161" s="200" t="s">
        <v>163</v>
      </c>
      <c r="E161" s="213">
        <v>29.8</v>
      </c>
      <c r="F161" s="201">
        <v>8</v>
      </c>
      <c r="G161" s="201">
        <v>25</v>
      </c>
      <c r="H161" s="201">
        <v>24</v>
      </c>
      <c r="I161" s="201">
        <v>17</v>
      </c>
      <c r="J161" s="201">
        <v>12</v>
      </c>
      <c r="K161" s="201">
        <v>14</v>
      </c>
      <c r="L161" s="201">
        <v>18</v>
      </c>
      <c r="M161" s="330">
        <v>13</v>
      </c>
      <c r="N161" s="202">
        <v>-0.56375838926174493</v>
      </c>
    </row>
    <row r="162" spans="1:14" ht="15.75" customHeight="1">
      <c r="A162" s="198" t="s">
        <v>159</v>
      </c>
      <c r="B162" s="199" t="s">
        <v>173</v>
      </c>
      <c r="C162" s="199" t="s">
        <v>134</v>
      </c>
      <c r="D162" s="200" t="s">
        <v>164</v>
      </c>
      <c r="E162" s="213">
        <v>29.6</v>
      </c>
      <c r="F162" s="201">
        <v>7</v>
      </c>
      <c r="G162" s="201">
        <v>24</v>
      </c>
      <c r="H162" s="201">
        <v>23</v>
      </c>
      <c r="I162" s="201">
        <v>16</v>
      </c>
      <c r="J162" s="201">
        <v>12</v>
      </c>
      <c r="K162" s="201">
        <v>13</v>
      </c>
      <c r="L162" s="201">
        <v>17</v>
      </c>
      <c r="M162" s="330">
        <v>13</v>
      </c>
      <c r="N162" s="202">
        <v>-0.56081081081081086</v>
      </c>
    </row>
    <row r="163" spans="1:14" ht="15.75" customHeight="1">
      <c r="A163" s="198" t="s">
        <v>159</v>
      </c>
      <c r="B163" s="199" t="s">
        <v>173</v>
      </c>
      <c r="C163" s="199" t="s">
        <v>134</v>
      </c>
      <c r="D163" s="200" t="s">
        <v>165</v>
      </c>
      <c r="E163" s="213">
        <v>437.6</v>
      </c>
      <c r="F163" s="201">
        <v>452</v>
      </c>
      <c r="G163" s="201">
        <v>409</v>
      </c>
      <c r="H163" s="201">
        <v>387</v>
      </c>
      <c r="I163" s="201">
        <v>317</v>
      </c>
      <c r="J163" s="201">
        <v>386</v>
      </c>
      <c r="K163" s="201">
        <v>316</v>
      </c>
      <c r="L163" s="201">
        <v>331</v>
      </c>
      <c r="M163" s="330">
        <v>251</v>
      </c>
      <c r="N163" s="202">
        <v>-0.4264168190127971</v>
      </c>
    </row>
    <row r="164" spans="1:14" ht="15.75" customHeight="1">
      <c r="A164" s="198" t="s">
        <v>159</v>
      </c>
      <c r="B164" s="199" t="s">
        <v>173</v>
      </c>
      <c r="C164" s="199" t="s">
        <v>134</v>
      </c>
      <c r="D164" s="203" t="s">
        <v>91</v>
      </c>
      <c r="E164" s="214">
        <v>467.4</v>
      </c>
      <c r="F164" s="204">
        <v>460</v>
      </c>
      <c r="G164" s="204">
        <v>434</v>
      </c>
      <c r="H164" s="204">
        <v>411</v>
      </c>
      <c r="I164" s="204">
        <v>334</v>
      </c>
      <c r="J164" s="204">
        <v>398</v>
      </c>
      <c r="K164" s="204">
        <v>330</v>
      </c>
      <c r="L164" s="204">
        <v>349</v>
      </c>
      <c r="M164" s="331">
        <v>264</v>
      </c>
      <c r="N164" s="202">
        <v>-0.43517329910141206</v>
      </c>
    </row>
    <row r="165" spans="1:14">
      <c r="A165" s="198" t="s">
        <v>159</v>
      </c>
      <c r="B165" s="199" t="s">
        <v>173</v>
      </c>
      <c r="C165" s="199" t="s">
        <v>166</v>
      </c>
      <c r="D165" s="200" t="s">
        <v>162</v>
      </c>
      <c r="E165" s="213">
        <v>0.2</v>
      </c>
      <c r="F165" s="201">
        <v>0</v>
      </c>
      <c r="G165" s="201">
        <v>0</v>
      </c>
      <c r="H165" s="201">
        <v>0</v>
      </c>
      <c r="I165" s="201">
        <v>0</v>
      </c>
      <c r="J165" s="201">
        <v>0</v>
      </c>
      <c r="K165" s="201">
        <v>0</v>
      </c>
      <c r="L165" s="201">
        <v>0</v>
      </c>
      <c r="M165" s="330" t="s">
        <v>172</v>
      </c>
      <c r="N165" s="202">
        <v>-1</v>
      </c>
    </row>
    <row r="166" spans="1:14" ht="15.75" customHeight="1">
      <c r="A166" s="198" t="s">
        <v>159</v>
      </c>
      <c r="B166" s="199" t="s">
        <v>173</v>
      </c>
      <c r="C166" s="199" t="s">
        <v>166</v>
      </c>
      <c r="D166" s="200" t="s">
        <v>163</v>
      </c>
      <c r="E166" s="213">
        <v>1.4</v>
      </c>
      <c r="F166" s="201">
        <v>2</v>
      </c>
      <c r="G166" s="201">
        <v>3</v>
      </c>
      <c r="H166" s="201">
        <v>0</v>
      </c>
      <c r="I166" s="201">
        <v>0</v>
      </c>
      <c r="J166" s="201">
        <v>0</v>
      </c>
      <c r="K166" s="201">
        <v>0</v>
      </c>
      <c r="L166" s="201">
        <v>0</v>
      </c>
      <c r="M166" s="330">
        <v>0</v>
      </c>
      <c r="N166" s="202">
        <v>-1</v>
      </c>
    </row>
    <row r="167" spans="1:14" ht="15.75" customHeight="1">
      <c r="A167" s="198" t="s">
        <v>159</v>
      </c>
      <c r="B167" s="199" t="s">
        <v>173</v>
      </c>
      <c r="C167" s="199" t="s">
        <v>166</v>
      </c>
      <c r="D167" s="200" t="s">
        <v>164</v>
      </c>
      <c r="E167" s="213">
        <v>1.4</v>
      </c>
      <c r="F167" s="201">
        <v>2</v>
      </c>
      <c r="G167" s="201">
        <v>3</v>
      </c>
      <c r="H167" s="201">
        <v>0</v>
      </c>
      <c r="I167" s="201">
        <v>0</v>
      </c>
      <c r="J167" s="201">
        <v>0</v>
      </c>
      <c r="K167" s="201">
        <v>0</v>
      </c>
      <c r="L167" s="201">
        <v>0</v>
      </c>
      <c r="M167" s="330" t="s">
        <v>172</v>
      </c>
      <c r="N167" s="202">
        <v>-1</v>
      </c>
    </row>
    <row r="168" spans="1:14" ht="15.75" customHeight="1">
      <c r="A168" s="198" t="s">
        <v>159</v>
      </c>
      <c r="B168" s="199" t="s">
        <v>173</v>
      </c>
      <c r="C168" s="199" t="s">
        <v>166</v>
      </c>
      <c r="D168" s="200" t="s">
        <v>165</v>
      </c>
      <c r="E168" s="213">
        <v>19.5</v>
      </c>
      <c r="F168" s="201">
        <v>19</v>
      </c>
      <c r="G168" s="201">
        <v>20</v>
      </c>
      <c r="H168" s="201">
        <v>18</v>
      </c>
      <c r="I168" s="201">
        <v>20</v>
      </c>
      <c r="J168" s="201">
        <v>10</v>
      </c>
      <c r="K168" s="201">
        <v>3</v>
      </c>
      <c r="L168" s="201">
        <v>14</v>
      </c>
      <c r="M168" s="330">
        <v>14</v>
      </c>
      <c r="N168" s="202">
        <v>-0.28205128205128205</v>
      </c>
    </row>
    <row r="169" spans="1:14" ht="15.75" customHeight="1">
      <c r="A169" s="198" t="s">
        <v>159</v>
      </c>
      <c r="B169" s="199" t="s">
        <v>173</v>
      </c>
      <c r="C169" s="199" t="s">
        <v>166</v>
      </c>
      <c r="D169" s="203" t="s">
        <v>91</v>
      </c>
      <c r="E169" s="214">
        <v>21</v>
      </c>
      <c r="F169" s="204">
        <v>21</v>
      </c>
      <c r="G169" s="204">
        <v>23</v>
      </c>
      <c r="H169" s="204">
        <v>18</v>
      </c>
      <c r="I169" s="204">
        <v>20</v>
      </c>
      <c r="J169" s="204">
        <v>10</v>
      </c>
      <c r="K169" s="204">
        <v>3</v>
      </c>
      <c r="L169" s="204">
        <v>14</v>
      </c>
      <c r="M169" s="331">
        <v>14</v>
      </c>
      <c r="N169" s="202">
        <v>-0.33333333333333331</v>
      </c>
    </row>
    <row r="170" spans="1:14">
      <c r="A170" s="198" t="s">
        <v>159</v>
      </c>
      <c r="B170" s="199" t="s">
        <v>173</v>
      </c>
      <c r="C170" s="199" t="s">
        <v>133</v>
      </c>
      <c r="D170" s="200" t="s">
        <v>162</v>
      </c>
      <c r="E170" s="213">
        <v>0.4</v>
      </c>
      <c r="F170" s="201">
        <v>2</v>
      </c>
      <c r="G170" s="201">
        <v>0</v>
      </c>
      <c r="H170" s="201">
        <v>2</v>
      </c>
      <c r="I170" s="201">
        <v>1</v>
      </c>
      <c r="J170" s="201">
        <v>3</v>
      </c>
      <c r="K170" s="201">
        <v>0</v>
      </c>
      <c r="L170" s="201">
        <v>1</v>
      </c>
      <c r="M170" s="330">
        <v>2</v>
      </c>
      <c r="N170" s="202">
        <v>4</v>
      </c>
    </row>
    <row r="171" spans="1:14" ht="15.75" customHeight="1">
      <c r="A171" s="198" t="s">
        <v>159</v>
      </c>
      <c r="B171" s="199" t="s">
        <v>173</v>
      </c>
      <c r="C171" s="199" t="s">
        <v>133</v>
      </c>
      <c r="D171" s="200" t="s">
        <v>163</v>
      </c>
      <c r="E171" s="213">
        <v>42.2</v>
      </c>
      <c r="F171" s="201">
        <v>51</v>
      </c>
      <c r="G171" s="201">
        <v>50</v>
      </c>
      <c r="H171" s="201">
        <v>33</v>
      </c>
      <c r="I171" s="201">
        <v>24</v>
      </c>
      <c r="J171" s="201">
        <v>31</v>
      </c>
      <c r="K171" s="201">
        <v>48</v>
      </c>
      <c r="L171" s="201">
        <v>24</v>
      </c>
      <c r="M171" s="330">
        <v>34</v>
      </c>
      <c r="N171" s="202">
        <v>-0.19431279620853087</v>
      </c>
    </row>
    <row r="172" spans="1:14" ht="15.75" customHeight="1">
      <c r="A172" s="198" t="s">
        <v>159</v>
      </c>
      <c r="B172" s="199" t="s">
        <v>173</v>
      </c>
      <c r="C172" s="199" t="s">
        <v>133</v>
      </c>
      <c r="D172" s="200" t="s">
        <v>164</v>
      </c>
      <c r="E172" s="213">
        <v>41.8</v>
      </c>
      <c r="F172" s="201">
        <v>49</v>
      </c>
      <c r="G172" s="201">
        <v>50</v>
      </c>
      <c r="H172" s="201">
        <v>31</v>
      </c>
      <c r="I172" s="201">
        <v>23</v>
      </c>
      <c r="J172" s="201">
        <v>28</v>
      </c>
      <c r="K172" s="201">
        <v>48</v>
      </c>
      <c r="L172" s="201">
        <v>23</v>
      </c>
      <c r="M172" s="330">
        <v>32</v>
      </c>
      <c r="N172" s="202">
        <v>-0.23444976076555019</v>
      </c>
    </row>
    <row r="173" spans="1:14" ht="15.75" customHeight="1">
      <c r="A173" s="198" t="s">
        <v>159</v>
      </c>
      <c r="B173" s="199" t="s">
        <v>173</v>
      </c>
      <c r="C173" s="199" t="s">
        <v>133</v>
      </c>
      <c r="D173" s="200" t="s">
        <v>165</v>
      </c>
      <c r="E173" s="213">
        <v>152.69999999999999</v>
      </c>
      <c r="F173" s="201">
        <v>203</v>
      </c>
      <c r="G173" s="201">
        <v>195</v>
      </c>
      <c r="H173" s="201">
        <v>193</v>
      </c>
      <c r="I173" s="201">
        <v>247</v>
      </c>
      <c r="J173" s="201">
        <v>249</v>
      </c>
      <c r="K173" s="201">
        <v>309</v>
      </c>
      <c r="L173" s="201">
        <v>341</v>
      </c>
      <c r="M173" s="330">
        <v>257</v>
      </c>
      <c r="N173" s="202">
        <v>0.68303863785199748</v>
      </c>
    </row>
    <row r="174" spans="1:14" ht="15.75" customHeight="1">
      <c r="A174" s="198" t="s">
        <v>159</v>
      </c>
      <c r="B174" s="199" t="s">
        <v>173</v>
      </c>
      <c r="C174" s="199" t="s">
        <v>133</v>
      </c>
      <c r="D174" s="203" t="s">
        <v>91</v>
      </c>
      <c r="E174" s="214">
        <v>194.8</v>
      </c>
      <c r="F174" s="204">
        <v>254</v>
      </c>
      <c r="G174" s="204">
        <v>245</v>
      </c>
      <c r="H174" s="204">
        <v>226</v>
      </c>
      <c r="I174" s="204">
        <v>271</v>
      </c>
      <c r="J174" s="204">
        <v>280</v>
      </c>
      <c r="K174" s="204">
        <v>357</v>
      </c>
      <c r="L174" s="204">
        <v>365</v>
      </c>
      <c r="M174" s="331">
        <v>291</v>
      </c>
      <c r="N174" s="202">
        <v>0.49383983572895268</v>
      </c>
    </row>
    <row r="175" spans="1:14" ht="15.75" customHeight="1">
      <c r="A175" s="198" t="s">
        <v>159</v>
      </c>
      <c r="B175" s="199" t="s">
        <v>173</v>
      </c>
      <c r="C175" s="199" t="s">
        <v>167</v>
      </c>
      <c r="D175" s="200" t="s">
        <v>162</v>
      </c>
      <c r="E175" s="213">
        <v>0</v>
      </c>
      <c r="F175" s="201">
        <v>0</v>
      </c>
      <c r="G175" s="201">
        <v>0</v>
      </c>
      <c r="H175" s="201">
        <v>0</v>
      </c>
      <c r="I175" s="201">
        <v>0</v>
      </c>
      <c r="J175" s="201">
        <v>0</v>
      </c>
      <c r="K175" s="201">
        <v>0</v>
      </c>
      <c r="L175" s="201">
        <v>0</v>
      </c>
      <c r="M175" s="330" t="s">
        <v>172</v>
      </c>
      <c r="N175" s="202">
        <v>0</v>
      </c>
    </row>
    <row r="176" spans="1:14" ht="15.75" customHeight="1">
      <c r="A176" s="198" t="s">
        <v>159</v>
      </c>
      <c r="B176" s="199" t="s">
        <v>173</v>
      </c>
      <c r="C176" s="199" t="s">
        <v>167</v>
      </c>
      <c r="D176" s="200" t="s">
        <v>163</v>
      </c>
      <c r="E176" s="213">
        <v>0.5</v>
      </c>
      <c r="F176" s="201">
        <v>0</v>
      </c>
      <c r="G176" s="201">
        <v>1</v>
      </c>
      <c r="H176" s="201">
        <v>0</v>
      </c>
      <c r="I176" s="201">
        <v>1</v>
      </c>
      <c r="J176" s="201">
        <v>5</v>
      </c>
      <c r="K176" s="201">
        <v>3</v>
      </c>
      <c r="L176" s="201">
        <v>1</v>
      </c>
      <c r="M176" s="330">
        <v>1</v>
      </c>
      <c r="N176" s="202">
        <v>1</v>
      </c>
    </row>
    <row r="177" spans="1:14" ht="15.75" customHeight="1">
      <c r="A177" s="198" t="s">
        <v>159</v>
      </c>
      <c r="B177" s="199" t="s">
        <v>173</v>
      </c>
      <c r="C177" s="199" t="s">
        <v>167</v>
      </c>
      <c r="D177" s="200" t="s">
        <v>164</v>
      </c>
      <c r="E177" s="213">
        <v>0.5</v>
      </c>
      <c r="F177" s="201">
        <v>0</v>
      </c>
      <c r="G177" s="201">
        <v>1</v>
      </c>
      <c r="H177" s="201">
        <v>0</v>
      </c>
      <c r="I177" s="201">
        <v>1</v>
      </c>
      <c r="J177" s="201">
        <v>5</v>
      </c>
      <c r="K177" s="201">
        <v>3</v>
      </c>
      <c r="L177" s="201">
        <v>1</v>
      </c>
      <c r="M177" s="330">
        <v>1</v>
      </c>
      <c r="N177" s="202">
        <v>1</v>
      </c>
    </row>
    <row r="178" spans="1:14" ht="15.75" customHeight="1">
      <c r="A178" s="198" t="s">
        <v>159</v>
      </c>
      <c r="B178" s="199" t="s">
        <v>173</v>
      </c>
      <c r="C178" s="199" t="s">
        <v>167</v>
      </c>
      <c r="D178" s="200" t="s">
        <v>165</v>
      </c>
      <c r="E178" s="213">
        <v>2.8</v>
      </c>
      <c r="F178" s="201">
        <v>4</v>
      </c>
      <c r="G178" s="201">
        <v>4</v>
      </c>
      <c r="H178" s="201">
        <v>8</v>
      </c>
      <c r="I178" s="201">
        <v>11</v>
      </c>
      <c r="J178" s="201">
        <v>14</v>
      </c>
      <c r="K178" s="201">
        <v>13</v>
      </c>
      <c r="L178" s="201">
        <v>9</v>
      </c>
      <c r="M178" s="330">
        <v>8</v>
      </c>
      <c r="N178" s="202">
        <v>1.8571428571428574</v>
      </c>
    </row>
    <row r="179" spans="1:14" ht="15.75" customHeight="1">
      <c r="A179" s="198" t="s">
        <v>159</v>
      </c>
      <c r="B179" s="199" t="s">
        <v>173</v>
      </c>
      <c r="C179" s="199" t="s">
        <v>167</v>
      </c>
      <c r="D179" s="203" t="s">
        <v>91</v>
      </c>
      <c r="E179" s="214">
        <v>3.3</v>
      </c>
      <c r="F179" s="204">
        <v>4</v>
      </c>
      <c r="G179" s="204">
        <v>5</v>
      </c>
      <c r="H179" s="204">
        <v>8</v>
      </c>
      <c r="I179" s="204">
        <v>12</v>
      </c>
      <c r="J179" s="204">
        <v>19</v>
      </c>
      <c r="K179" s="204">
        <v>16</v>
      </c>
      <c r="L179" s="204">
        <v>10</v>
      </c>
      <c r="M179" s="331">
        <v>9</v>
      </c>
      <c r="N179" s="202">
        <v>1.7272727272727275</v>
      </c>
    </row>
    <row r="180" spans="1:14">
      <c r="A180" s="198" t="s">
        <v>159</v>
      </c>
      <c r="B180" s="199" t="s">
        <v>173</v>
      </c>
      <c r="C180" s="199" t="s">
        <v>168</v>
      </c>
      <c r="D180" s="200" t="s">
        <v>162</v>
      </c>
      <c r="E180" s="213">
        <v>0</v>
      </c>
      <c r="F180" s="201">
        <v>0</v>
      </c>
      <c r="G180" s="201">
        <v>0</v>
      </c>
      <c r="H180" s="201">
        <v>0</v>
      </c>
      <c r="I180" s="201">
        <v>0</v>
      </c>
      <c r="J180" s="201">
        <v>1</v>
      </c>
      <c r="K180" s="201">
        <v>0</v>
      </c>
      <c r="L180" s="201">
        <v>0</v>
      </c>
      <c r="M180" s="330" t="s">
        <v>172</v>
      </c>
      <c r="N180" s="202">
        <v>0</v>
      </c>
    </row>
    <row r="181" spans="1:14" ht="15.75" customHeight="1">
      <c r="A181" s="198" t="s">
        <v>159</v>
      </c>
      <c r="B181" s="199" t="s">
        <v>173</v>
      </c>
      <c r="C181" s="199" t="s">
        <v>168</v>
      </c>
      <c r="D181" s="200" t="s">
        <v>163</v>
      </c>
      <c r="E181" s="213">
        <v>17.3</v>
      </c>
      <c r="F181" s="201">
        <v>15</v>
      </c>
      <c r="G181" s="201">
        <v>15</v>
      </c>
      <c r="H181" s="201">
        <v>12</v>
      </c>
      <c r="I181" s="201">
        <v>12</v>
      </c>
      <c r="J181" s="201">
        <v>12</v>
      </c>
      <c r="K181" s="201">
        <v>17</v>
      </c>
      <c r="L181" s="201">
        <v>16</v>
      </c>
      <c r="M181" s="330">
        <v>22</v>
      </c>
      <c r="N181" s="202">
        <v>0.27167630057803466</v>
      </c>
    </row>
    <row r="182" spans="1:14" ht="15.75" customHeight="1">
      <c r="A182" s="198" t="s">
        <v>159</v>
      </c>
      <c r="B182" s="199" t="s">
        <v>173</v>
      </c>
      <c r="C182" s="199" t="s">
        <v>168</v>
      </c>
      <c r="D182" s="200" t="s">
        <v>164</v>
      </c>
      <c r="E182" s="213">
        <v>17.3</v>
      </c>
      <c r="F182" s="201">
        <v>15</v>
      </c>
      <c r="G182" s="201">
        <v>15</v>
      </c>
      <c r="H182" s="201">
        <v>12</v>
      </c>
      <c r="I182" s="201">
        <v>12</v>
      </c>
      <c r="J182" s="201">
        <v>11</v>
      </c>
      <c r="K182" s="201">
        <v>17</v>
      </c>
      <c r="L182" s="201">
        <v>16</v>
      </c>
      <c r="M182" s="330">
        <v>22</v>
      </c>
      <c r="N182" s="202">
        <v>0.27167630057803466</v>
      </c>
    </row>
    <row r="183" spans="1:14" ht="15.75" customHeight="1">
      <c r="A183" s="198" t="s">
        <v>159</v>
      </c>
      <c r="B183" s="199" t="s">
        <v>173</v>
      </c>
      <c r="C183" s="199" t="s">
        <v>168</v>
      </c>
      <c r="D183" s="200" t="s">
        <v>165</v>
      </c>
      <c r="E183" s="213">
        <v>83.8</v>
      </c>
      <c r="F183" s="201">
        <v>76</v>
      </c>
      <c r="G183" s="201">
        <v>71</v>
      </c>
      <c r="H183" s="201">
        <v>68</v>
      </c>
      <c r="I183" s="201">
        <v>73</v>
      </c>
      <c r="J183" s="201">
        <v>97</v>
      </c>
      <c r="K183" s="201">
        <v>95</v>
      </c>
      <c r="L183" s="201">
        <v>85</v>
      </c>
      <c r="M183" s="330">
        <v>88</v>
      </c>
      <c r="N183" s="202">
        <v>5.0119331742243471E-2</v>
      </c>
    </row>
    <row r="184" spans="1:14" ht="15.75" customHeight="1">
      <c r="A184" s="198" t="s">
        <v>159</v>
      </c>
      <c r="B184" s="199" t="s">
        <v>173</v>
      </c>
      <c r="C184" s="199" t="s">
        <v>168</v>
      </c>
      <c r="D184" s="203" t="s">
        <v>91</v>
      </c>
      <c r="E184" s="214">
        <v>101.1</v>
      </c>
      <c r="F184" s="204">
        <v>91</v>
      </c>
      <c r="G184" s="204">
        <v>86</v>
      </c>
      <c r="H184" s="204">
        <v>80</v>
      </c>
      <c r="I184" s="204">
        <v>85</v>
      </c>
      <c r="J184" s="204">
        <v>109</v>
      </c>
      <c r="K184" s="204">
        <v>112</v>
      </c>
      <c r="L184" s="204">
        <v>101</v>
      </c>
      <c r="M184" s="331">
        <v>110</v>
      </c>
      <c r="N184" s="202">
        <v>8.803165182987148E-2</v>
      </c>
    </row>
    <row r="185" spans="1:14" ht="15.75" customHeight="1">
      <c r="A185" s="198" t="s">
        <v>159</v>
      </c>
      <c r="B185" s="199" t="s">
        <v>173</v>
      </c>
      <c r="C185" s="199" t="s">
        <v>131</v>
      </c>
      <c r="D185" s="200" t="s">
        <v>162</v>
      </c>
      <c r="E185" s="213">
        <v>2.2000000000000002</v>
      </c>
      <c r="F185" s="201">
        <v>3</v>
      </c>
      <c r="G185" s="201">
        <v>3</v>
      </c>
      <c r="H185" s="201">
        <v>3</v>
      </c>
      <c r="I185" s="201">
        <v>2</v>
      </c>
      <c r="J185" s="201">
        <v>2</v>
      </c>
      <c r="K185" s="201">
        <v>2</v>
      </c>
      <c r="L185" s="201">
        <v>1</v>
      </c>
      <c r="M185" s="330">
        <v>2</v>
      </c>
      <c r="N185" s="202">
        <v>-9.0909090909090981E-2</v>
      </c>
    </row>
    <row r="186" spans="1:14" ht="15.75" customHeight="1">
      <c r="A186" s="198" t="s">
        <v>159</v>
      </c>
      <c r="B186" s="199" t="s">
        <v>173</v>
      </c>
      <c r="C186" s="199" t="s">
        <v>131</v>
      </c>
      <c r="D186" s="200" t="s">
        <v>163</v>
      </c>
      <c r="E186" s="213">
        <v>57.2</v>
      </c>
      <c r="F186" s="201">
        <v>51</v>
      </c>
      <c r="G186" s="201">
        <v>54</v>
      </c>
      <c r="H186" s="201">
        <v>47</v>
      </c>
      <c r="I186" s="201">
        <v>28</v>
      </c>
      <c r="J186" s="201">
        <v>31</v>
      </c>
      <c r="K186" s="201">
        <v>42</v>
      </c>
      <c r="L186" s="201">
        <v>40</v>
      </c>
      <c r="M186" s="330">
        <v>46</v>
      </c>
      <c r="N186" s="202">
        <v>-0.19580419580419584</v>
      </c>
    </row>
    <row r="187" spans="1:14" ht="15.75" customHeight="1">
      <c r="A187" s="198" t="s">
        <v>159</v>
      </c>
      <c r="B187" s="199" t="s">
        <v>173</v>
      </c>
      <c r="C187" s="199" t="s">
        <v>131</v>
      </c>
      <c r="D187" s="200" t="s">
        <v>164</v>
      </c>
      <c r="E187" s="213">
        <v>55</v>
      </c>
      <c r="F187" s="201">
        <v>48</v>
      </c>
      <c r="G187" s="201">
        <v>51</v>
      </c>
      <c r="H187" s="201">
        <v>44</v>
      </c>
      <c r="I187" s="201">
        <v>26</v>
      </c>
      <c r="J187" s="201">
        <v>29</v>
      </c>
      <c r="K187" s="201">
        <v>40</v>
      </c>
      <c r="L187" s="201">
        <v>39</v>
      </c>
      <c r="M187" s="330">
        <v>44</v>
      </c>
      <c r="N187" s="202">
        <v>-0.2</v>
      </c>
    </row>
    <row r="188" spans="1:14" ht="15.75" customHeight="1">
      <c r="A188" s="198" t="s">
        <v>159</v>
      </c>
      <c r="B188" s="199" t="s">
        <v>173</v>
      </c>
      <c r="C188" s="199" t="s">
        <v>131</v>
      </c>
      <c r="D188" s="200" t="s">
        <v>165</v>
      </c>
      <c r="E188" s="213">
        <v>146.80000000000001</v>
      </c>
      <c r="F188" s="201">
        <v>199</v>
      </c>
      <c r="G188" s="201">
        <v>168</v>
      </c>
      <c r="H188" s="201">
        <v>157</v>
      </c>
      <c r="I188" s="201">
        <v>123</v>
      </c>
      <c r="J188" s="201">
        <v>110</v>
      </c>
      <c r="K188" s="201">
        <v>151</v>
      </c>
      <c r="L188" s="201">
        <v>128</v>
      </c>
      <c r="M188" s="330">
        <v>154</v>
      </c>
      <c r="N188" s="202">
        <v>4.9046321525885478E-2</v>
      </c>
    </row>
    <row r="189" spans="1:14" ht="15.75" customHeight="1">
      <c r="A189" s="198" t="s">
        <v>159</v>
      </c>
      <c r="B189" s="199" t="s">
        <v>173</v>
      </c>
      <c r="C189" s="199" t="s">
        <v>131</v>
      </c>
      <c r="D189" s="203" t="s">
        <v>91</v>
      </c>
      <c r="E189" s="214">
        <v>204</v>
      </c>
      <c r="F189" s="204">
        <v>250</v>
      </c>
      <c r="G189" s="204">
        <v>222</v>
      </c>
      <c r="H189" s="204">
        <v>204</v>
      </c>
      <c r="I189" s="204">
        <v>151</v>
      </c>
      <c r="J189" s="204">
        <v>141</v>
      </c>
      <c r="K189" s="204">
        <v>193</v>
      </c>
      <c r="L189" s="204">
        <v>168</v>
      </c>
      <c r="M189" s="331">
        <v>200</v>
      </c>
      <c r="N189" s="202">
        <v>-1.9607843137254902E-2</v>
      </c>
    </row>
    <row r="190" spans="1:14" ht="15.75" customHeight="1">
      <c r="A190" s="198" t="s">
        <v>159</v>
      </c>
      <c r="B190" s="199" t="s">
        <v>173</v>
      </c>
      <c r="C190" s="199" t="s">
        <v>169</v>
      </c>
      <c r="D190" s="200" t="s">
        <v>162</v>
      </c>
      <c r="E190" s="213">
        <v>0</v>
      </c>
      <c r="F190" s="201">
        <v>0</v>
      </c>
      <c r="G190" s="201">
        <v>0</v>
      </c>
      <c r="H190" s="201">
        <v>0</v>
      </c>
      <c r="I190" s="201">
        <v>0</v>
      </c>
      <c r="J190" s="201">
        <v>0</v>
      </c>
      <c r="K190" s="201">
        <v>0</v>
      </c>
      <c r="L190" s="201">
        <v>0</v>
      </c>
      <c r="M190" s="330" t="s">
        <v>172</v>
      </c>
      <c r="N190" s="202">
        <v>0</v>
      </c>
    </row>
    <row r="191" spans="1:14" ht="15.75" customHeight="1">
      <c r="A191" s="198" t="s">
        <v>159</v>
      </c>
      <c r="B191" s="199" t="s">
        <v>173</v>
      </c>
      <c r="C191" s="199" t="s">
        <v>169</v>
      </c>
      <c r="D191" s="200" t="s">
        <v>163</v>
      </c>
      <c r="E191" s="213">
        <v>0</v>
      </c>
      <c r="F191" s="201">
        <v>0</v>
      </c>
      <c r="G191" s="201">
        <v>0</v>
      </c>
      <c r="H191" s="201">
        <v>1</v>
      </c>
      <c r="I191" s="201">
        <v>0</v>
      </c>
      <c r="J191" s="201">
        <v>0</v>
      </c>
      <c r="K191" s="201">
        <v>0</v>
      </c>
      <c r="L191" s="201">
        <v>0</v>
      </c>
      <c r="M191" s="330">
        <v>0</v>
      </c>
      <c r="N191" s="202">
        <v>0</v>
      </c>
    </row>
    <row r="192" spans="1:14" ht="15.75" customHeight="1">
      <c r="A192" s="198" t="s">
        <v>159</v>
      </c>
      <c r="B192" s="199" t="s">
        <v>173</v>
      </c>
      <c r="C192" s="199" t="s">
        <v>169</v>
      </c>
      <c r="D192" s="200" t="s">
        <v>164</v>
      </c>
      <c r="E192" s="213">
        <v>0</v>
      </c>
      <c r="F192" s="201">
        <v>0</v>
      </c>
      <c r="G192" s="201">
        <v>0</v>
      </c>
      <c r="H192" s="201">
        <v>1</v>
      </c>
      <c r="I192" s="201">
        <v>0</v>
      </c>
      <c r="J192" s="201">
        <v>0</v>
      </c>
      <c r="K192" s="201">
        <v>0</v>
      </c>
      <c r="L192" s="201">
        <v>0</v>
      </c>
      <c r="M192" s="330" t="s">
        <v>172</v>
      </c>
      <c r="N192" s="202">
        <v>0</v>
      </c>
    </row>
    <row r="193" spans="1:14" ht="15.75" customHeight="1">
      <c r="A193" s="198" t="s">
        <v>159</v>
      </c>
      <c r="B193" s="199" t="s">
        <v>173</v>
      </c>
      <c r="C193" s="199" t="s">
        <v>169</v>
      </c>
      <c r="D193" s="200" t="s">
        <v>165</v>
      </c>
      <c r="E193" s="213">
        <v>0</v>
      </c>
      <c r="F193" s="201">
        <v>23</v>
      </c>
      <c r="G193" s="201">
        <v>19</v>
      </c>
      <c r="H193" s="201">
        <v>15</v>
      </c>
      <c r="I193" s="201">
        <v>6</v>
      </c>
      <c r="J193" s="201">
        <v>8</v>
      </c>
      <c r="K193" s="201">
        <v>4</v>
      </c>
      <c r="L193" s="201">
        <v>4</v>
      </c>
      <c r="M193" s="330">
        <v>4</v>
      </c>
      <c r="N193" s="202">
        <v>0</v>
      </c>
    </row>
    <row r="194" spans="1:14" ht="15.75" customHeight="1">
      <c r="A194" s="198" t="s">
        <v>159</v>
      </c>
      <c r="B194" s="199" t="s">
        <v>173</v>
      </c>
      <c r="C194" s="199" t="s">
        <v>169</v>
      </c>
      <c r="D194" s="203" t="s">
        <v>91</v>
      </c>
      <c r="E194" s="214">
        <v>0</v>
      </c>
      <c r="F194" s="204">
        <v>23</v>
      </c>
      <c r="G194" s="204">
        <v>19</v>
      </c>
      <c r="H194" s="204">
        <v>16</v>
      </c>
      <c r="I194" s="204">
        <v>6</v>
      </c>
      <c r="J194" s="204">
        <v>8</v>
      </c>
      <c r="K194" s="204">
        <v>4</v>
      </c>
      <c r="L194" s="204">
        <v>4</v>
      </c>
      <c r="M194" s="331">
        <v>4</v>
      </c>
      <c r="N194" s="202">
        <v>0</v>
      </c>
    </row>
    <row r="195" spans="1:14" ht="15.75" customHeight="1">
      <c r="A195" s="198" t="s">
        <v>159</v>
      </c>
      <c r="B195" s="199" t="s">
        <v>173</v>
      </c>
      <c r="C195" s="199" t="s">
        <v>139</v>
      </c>
      <c r="D195" s="200" t="s">
        <v>162</v>
      </c>
      <c r="E195" s="213">
        <v>0.2</v>
      </c>
      <c r="F195" s="201">
        <v>0</v>
      </c>
      <c r="G195" s="201">
        <v>1</v>
      </c>
      <c r="H195" s="201">
        <v>0</v>
      </c>
      <c r="I195" s="201">
        <v>0</v>
      </c>
      <c r="J195" s="201">
        <v>0</v>
      </c>
      <c r="K195" s="201">
        <v>0</v>
      </c>
      <c r="L195" s="201">
        <v>0</v>
      </c>
      <c r="M195" s="330" t="s">
        <v>172</v>
      </c>
      <c r="N195" s="202">
        <v>-1</v>
      </c>
    </row>
    <row r="196" spans="1:14" ht="15.75" customHeight="1">
      <c r="A196" s="198" t="s">
        <v>159</v>
      </c>
      <c r="B196" s="199" t="s">
        <v>173</v>
      </c>
      <c r="C196" s="199" t="s">
        <v>139</v>
      </c>
      <c r="D196" s="200" t="s">
        <v>163</v>
      </c>
      <c r="E196" s="213">
        <v>1.4</v>
      </c>
      <c r="F196" s="201">
        <v>0</v>
      </c>
      <c r="G196" s="201">
        <v>2</v>
      </c>
      <c r="H196" s="201">
        <v>0</v>
      </c>
      <c r="I196" s="201">
        <v>0</v>
      </c>
      <c r="J196" s="201">
        <v>0</v>
      </c>
      <c r="K196" s="201">
        <v>1</v>
      </c>
      <c r="L196" s="201">
        <v>0</v>
      </c>
      <c r="M196" s="330">
        <v>0</v>
      </c>
      <c r="N196" s="202">
        <v>-1</v>
      </c>
    </row>
    <row r="197" spans="1:14" ht="15.75" customHeight="1">
      <c r="A197" s="198" t="s">
        <v>159</v>
      </c>
      <c r="B197" s="199" t="s">
        <v>173</v>
      </c>
      <c r="C197" s="199" t="s">
        <v>139</v>
      </c>
      <c r="D197" s="200" t="s">
        <v>164</v>
      </c>
      <c r="E197" s="213">
        <v>1.4</v>
      </c>
      <c r="F197" s="201">
        <v>0</v>
      </c>
      <c r="G197" s="201">
        <v>1</v>
      </c>
      <c r="H197" s="201">
        <v>0</v>
      </c>
      <c r="I197" s="201">
        <v>0</v>
      </c>
      <c r="J197" s="201">
        <v>0</v>
      </c>
      <c r="K197" s="201">
        <v>1</v>
      </c>
      <c r="L197" s="201">
        <v>0</v>
      </c>
      <c r="M197" s="330" t="s">
        <v>172</v>
      </c>
      <c r="N197" s="202">
        <v>-1</v>
      </c>
    </row>
    <row r="198" spans="1:14" ht="15.75" customHeight="1">
      <c r="A198" s="198" t="s">
        <v>159</v>
      </c>
      <c r="B198" s="199" t="s">
        <v>173</v>
      </c>
      <c r="C198" s="199" t="s">
        <v>139</v>
      </c>
      <c r="D198" s="200" t="s">
        <v>165</v>
      </c>
      <c r="E198" s="213">
        <v>10</v>
      </c>
      <c r="F198" s="201">
        <v>1</v>
      </c>
      <c r="G198" s="201">
        <v>18</v>
      </c>
      <c r="H198" s="201">
        <v>17</v>
      </c>
      <c r="I198" s="201">
        <v>12</v>
      </c>
      <c r="J198" s="201">
        <v>13</v>
      </c>
      <c r="K198" s="201">
        <v>5</v>
      </c>
      <c r="L198" s="201">
        <v>15</v>
      </c>
      <c r="M198" s="330">
        <v>6</v>
      </c>
      <c r="N198" s="202">
        <v>-0.4</v>
      </c>
    </row>
    <row r="199" spans="1:14" ht="15.75" customHeight="1">
      <c r="A199" s="198" t="s">
        <v>159</v>
      </c>
      <c r="B199" s="199" t="s">
        <v>173</v>
      </c>
      <c r="C199" s="199" t="s">
        <v>139</v>
      </c>
      <c r="D199" s="203" t="s">
        <v>91</v>
      </c>
      <c r="E199" s="214">
        <v>11.4</v>
      </c>
      <c r="F199" s="204">
        <v>1</v>
      </c>
      <c r="G199" s="204">
        <v>20</v>
      </c>
      <c r="H199" s="204">
        <v>17</v>
      </c>
      <c r="I199" s="204">
        <v>12</v>
      </c>
      <c r="J199" s="204">
        <v>13</v>
      </c>
      <c r="K199" s="204">
        <v>6</v>
      </c>
      <c r="L199" s="204">
        <v>15</v>
      </c>
      <c r="M199" s="331">
        <v>6</v>
      </c>
      <c r="N199" s="202">
        <v>-0.47368421052631582</v>
      </c>
    </row>
    <row r="200" spans="1:14" ht="15.75" customHeight="1">
      <c r="A200" s="198" t="s">
        <v>159</v>
      </c>
      <c r="B200" s="199" t="s">
        <v>173</v>
      </c>
      <c r="C200" s="205" t="s">
        <v>91</v>
      </c>
      <c r="D200" s="203" t="s">
        <v>162</v>
      </c>
      <c r="E200" s="214">
        <v>3</v>
      </c>
      <c r="F200" s="204">
        <v>6</v>
      </c>
      <c r="G200" s="204">
        <v>5</v>
      </c>
      <c r="H200" s="204">
        <v>6</v>
      </c>
      <c r="I200" s="204">
        <v>4</v>
      </c>
      <c r="J200" s="204">
        <v>6</v>
      </c>
      <c r="K200" s="204">
        <v>3</v>
      </c>
      <c r="L200" s="204">
        <v>3</v>
      </c>
      <c r="M200" s="331">
        <v>4</v>
      </c>
      <c r="N200" s="202">
        <v>0.33333333333333331</v>
      </c>
    </row>
    <row r="201" spans="1:14" ht="15.75" customHeight="1">
      <c r="A201" s="198" t="s">
        <v>175</v>
      </c>
      <c r="B201" s="199" t="s">
        <v>202</v>
      </c>
      <c r="C201" s="205" t="s">
        <v>91</v>
      </c>
      <c r="D201" s="203" t="s">
        <v>163</v>
      </c>
      <c r="E201" s="216">
        <v>197.7</v>
      </c>
      <c r="F201" s="204">
        <v>147</v>
      </c>
      <c r="G201" s="204">
        <v>169</v>
      </c>
      <c r="H201" s="204">
        <v>168</v>
      </c>
      <c r="I201" s="204">
        <v>151</v>
      </c>
      <c r="J201" s="204">
        <v>177</v>
      </c>
      <c r="K201" s="204">
        <v>195</v>
      </c>
      <c r="L201" s="204">
        <v>145</v>
      </c>
      <c r="M201" s="331">
        <v>161</v>
      </c>
      <c r="N201" s="202">
        <v>-0.1856348002023267</v>
      </c>
    </row>
    <row r="202" spans="1:14" ht="15.75" customHeight="1">
      <c r="A202" s="198" t="s">
        <v>159</v>
      </c>
      <c r="B202" s="199" t="s">
        <v>173</v>
      </c>
      <c r="C202" s="205" t="s">
        <v>91</v>
      </c>
      <c r="D202" s="203" t="s">
        <v>164</v>
      </c>
      <c r="E202" s="214">
        <v>153</v>
      </c>
      <c r="F202" s="204">
        <v>126</v>
      </c>
      <c r="G202" s="204">
        <v>150</v>
      </c>
      <c r="H202" s="204">
        <v>113</v>
      </c>
      <c r="I202" s="204">
        <v>80</v>
      </c>
      <c r="J202" s="204">
        <v>86</v>
      </c>
      <c r="K202" s="204">
        <v>128</v>
      </c>
      <c r="L202" s="204">
        <v>98</v>
      </c>
      <c r="M202" s="331">
        <v>114</v>
      </c>
      <c r="N202" s="202">
        <v>-0.25490196078431371</v>
      </c>
    </row>
    <row r="203" spans="1:14" ht="15.75" customHeight="1">
      <c r="A203" s="198" t="s">
        <v>159</v>
      </c>
      <c r="B203" s="199" t="s">
        <v>173</v>
      </c>
      <c r="C203" s="205" t="s">
        <v>91</v>
      </c>
      <c r="D203" s="203" t="s">
        <v>165</v>
      </c>
      <c r="E203" s="214">
        <v>893.7</v>
      </c>
      <c r="F203" s="204">
        <v>1026</v>
      </c>
      <c r="G203" s="204">
        <v>950</v>
      </c>
      <c r="H203" s="204">
        <v>893</v>
      </c>
      <c r="I203" s="204">
        <v>831</v>
      </c>
      <c r="J203" s="204">
        <v>905</v>
      </c>
      <c r="K203" s="204">
        <v>937</v>
      </c>
      <c r="L203" s="204">
        <v>965</v>
      </c>
      <c r="M203" s="331">
        <v>824</v>
      </c>
      <c r="N203" s="202">
        <v>-7.7990377084032725E-2</v>
      </c>
    </row>
    <row r="204" spans="1:14" ht="15.75" customHeight="1">
      <c r="A204" s="198" t="s">
        <v>159</v>
      </c>
      <c r="B204" s="199" t="s">
        <v>173</v>
      </c>
      <c r="C204" s="205" t="s">
        <v>91</v>
      </c>
      <c r="D204" s="203" t="s">
        <v>91</v>
      </c>
      <c r="E204" s="214">
        <v>1049.7</v>
      </c>
      <c r="F204" s="204">
        <v>1158</v>
      </c>
      <c r="G204" s="204">
        <v>1105</v>
      </c>
      <c r="H204" s="204">
        <v>1012</v>
      </c>
      <c r="I204" s="204">
        <v>915</v>
      </c>
      <c r="J204" s="204">
        <v>997</v>
      </c>
      <c r="K204" s="204">
        <v>1068</v>
      </c>
      <c r="L204" s="204">
        <v>1066</v>
      </c>
      <c r="M204" s="331">
        <v>942</v>
      </c>
      <c r="N204" s="202">
        <v>-0.10260074306944846</v>
      </c>
    </row>
    <row r="205" spans="1:14">
      <c r="A205" s="198" t="s">
        <v>159</v>
      </c>
      <c r="B205" s="199" t="s">
        <v>174</v>
      </c>
      <c r="C205" s="199" t="s">
        <v>161</v>
      </c>
      <c r="D205" s="200" t="s">
        <v>162</v>
      </c>
      <c r="E205" s="213">
        <v>0</v>
      </c>
      <c r="F205" s="201">
        <v>0</v>
      </c>
      <c r="G205" s="201">
        <v>0</v>
      </c>
      <c r="H205" s="201">
        <v>1</v>
      </c>
      <c r="I205" s="201">
        <v>0</v>
      </c>
      <c r="J205" s="201">
        <v>0</v>
      </c>
      <c r="K205" s="201">
        <v>0</v>
      </c>
      <c r="L205" s="201">
        <v>0</v>
      </c>
      <c r="M205" s="330" t="s">
        <v>172</v>
      </c>
      <c r="N205" s="202">
        <v>0</v>
      </c>
    </row>
    <row r="206" spans="1:14" ht="15.75" customHeight="1">
      <c r="A206" s="198" t="s">
        <v>159</v>
      </c>
      <c r="B206" s="199" t="s">
        <v>174</v>
      </c>
      <c r="C206" s="199" t="s">
        <v>161</v>
      </c>
      <c r="D206" s="200" t="s">
        <v>163</v>
      </c>
      <c r="E206" s="213">
        <v>4.4000000000000004</v>
      </c>
      <c r="F206" s="201">
        <v>2</v>
      </c>
      <c r="G206" s="201">
        <v>3</v>
      </c>
      <c r="H206" s="201">
        <v>4</v>
      </c>
      <c r="I206" s="201">
        <v>0</v>
      </c>
      <c r="J206" s="201">
        <v>3</v>
      </c>
      <c r="K206" s="201">
        <v>3</v>
      </c>
      <c r="L206" s="201">
        <v>5</v>
      </c>
      <c r="M206" s="330">
        <v>3</v>
      </c>
      <c r="N206" s="202">
        <v>-0.31818181818181823</v>
      </c>
    </row>
    <row r="207" spans="1:14" ht="15.75" customHeight="1">
      <c r="A207" s="198" t="s">
        <v>159</v>
      </c>
      <c r="B207" s="199" t="s">
        <v>174</v>
      </c>
      <c r="C207" s="199" t="s">
        <v>161</v>
      </c>
      <c r="D207" s="200" t="s">
        <v>164</v>
      </c>
      <c r="E207" s="213">
        <v>4.4000000000000004</v>
      </c>
      <c r="F207" s="201">
        <v>2</v>
      </c>
      <c r="G207" s="201">
        <v>3</v>
      </c>
      <c r="H207" s="201">
        <v>3</v>
      </c>
      <c r="I207" s="201">
        <v>0</v>
      </c>
      <c r="J207" s="201">
        <v>3</v>
      </c>
      <c r="K207" s="201">
        <v>3</v>
      </c>
      <c r="L207" s="201">
        <v>5</v>
      </c>
      <c r="M207" s="330">
        <v>3</v>
      </c>
      <c r="N207" s="202">
        <v>-0.31818181818181823</v>
      </c>
    </row>
    <row r="208" spans="1:14" ht="15.75" customHeight="1">
      <c r="A208" s="198" t="s">
        <v>159</v>
      </c>
      <c r="B208" s="199" t="s">
        <v>174</v>
      </c>
      <c r="C208" s="199" t="s">
        <v>161</v>
      </c>
      <c r="D208" s="200" t="s">
        <v>165</v>
      </c>
      <c r="E208" s="213">
        <v>38.200000000000003</v>
      </c>
      <c r="F208" s="201">
        <v>49</v>
      </c>
      <c r="G208" s="201">
        <v>37</v>
      </c>
      <c r="H208" s="201">
        <v>13</v>
      </c>
      <c r="I208" s="201">
        <v>8</v>
      </c>
      <c r="J208" s="201">
        <v>16</v>
      </c>
      <c r="K208" s="201">
        <v>24</v>
      </c>
      <c r="L208" s="201">
        <v>11</v>
      </c>
      <c r="M208" s="330">
        <v>23</v>
      </c>
      <c r="N208" s="202">
        <v>-0.3979057591623037</v>
      </c>
    </row>
    <row r="209" spans="1:14" ht="15.75" customHeight="1">
      <c r="A209" s="198" t="s">
        <v>159</v>
      </c>
      <c r="B209" s="199" t="s">
        <v>174</v>
      </c>
      <c r="C209" s="199" t="s">
        <v>161</v>
      </c>
      <c r="D209" s="203" t="s">
        <v>91</v>
      </c>
      <c r="E209" s="214">
        <v>42.6</v>
      </c>
      <c r="F209" s="204">
        <v>51</v>
      </c>
      <c r="G209" s="204">
        <v>40</v>
      </c>
      <c r="H209" s="204">
        <v>17</v>
      </c>
      <c r="I209" s="204">
        <v>8</v>
      </c>
      <c r="J209" s="204">
        <v>19</v>
      </c>
      <c r="K209" s="204">
        <v>27</v>
      </c>
      <c r="L209" s="204">
        <v>16</v>
      </c>
      <c r="M209" s="331">
        <v>26</v>
      </c>
      <c r="N209" s="202">
        <v>-0.38967136150234744</v>
      </c>
    </row>
    <row r="210" spans="1:14">
      <c r="A210" s="198" t="s">
        <v>159</v>
      </c>
      <c r="B210" s="199" t="s">
        <v>174</v>
      </c>
      <c r="C210" s="199" t="s">
        <v>134</v>
      </c>
      <c r="D210" s="200" t="s">
        <v>162</v>
      </c>
      <c r="E210" s="213">
        <v>2.2000000000000002</v>
      </c>
      <c r="F210" s="201">
        <v>1</v>
      </c>
      <c r="G210" s="201">
        <v>1</v>
      </c>
      <c r="H210" s="201">
        <v>0</v>
      </c>
      <c r="I210" s="201">
        <v>1</v>
      </c>
      <c r="J210" s="201">
        <v>0</v>
      </c>
      <c r="K210" s="201">
        <v>3</v>
      </c>
      <c r="L210" s="201">
        <v>0</v>
      </c>
      <c r="M210" s="330" t="s">
        <v>172</v>
      </c>
      <c r="N210" s="202">
        <v>-1</v>
      </c>
    </row>
    <row r="211" spans="1:14" ht="15.75" customHeight="1">
      <c r="A211" s="198" t="s">
        <v>159</v>
      </c>
      <c r="B211" s="199" t="s">
        <v>174</v>
      </c>
      <c r="C211" s="199" t="s">
        <v>134</v>
      </c>
      <c r="D211" s="200" t="s">
        <v>163</v>
      </c>
      <c r="E211" s="213">
        <v>46.5</v>
      </c>
      <c r="F211" s="201">
        <v>17</v>
      </c>
      <c r="G211" s="201">
        <v>25</v>
      </c>
      <c r="H211" s="201">
        <v>26</v>
      </c>
      <c r="I211" s="201">
        <v>12</v>
      </c>
      <c r="J211" s="201">
        <v>20</v>
      </c>
      <c r="K211" s="201">
        <v>33</v>
      </c>
      <c r="L211" s="201">
        <v>25</v>
      </c>
      <c r="M211" s="330">
        <v>21</v>
      </c>
      <c r="N211" s="202">
        <v>-0.54838709677419351</v>
      </c>
    </row>
    <row r="212" spans="1:14" ht="15.75" customHeight="1">
      <c r="A212" s="198" t="s">
        <v>159</v>
      </c>
      <c r="B212" s="199" t="s">
        <v>174</v>
      </c>
      <c r="C212" s="199" t="s">
        <v>134</v>
      </c>
      <c r="D212" s="200" t="s">
        <v>164</v>
      </c>
      <c r="E212" s="213">
        <v>44.3</v>
      </c>
      <c r="F212" s="201">
        <v>16</v>
      </c>
      <c r="G212" s="201">
        <v>24</v>
      </c>
      <c r="H212" s="201">
        <v>26</v>
      </c>
      <c r="I212" s="201">
        <v>11</v>
      </c>
      <c r="J212" s="201">
        <v>20</v>
      </c>
      <c r="K212" s="201">
        <v>30</v>
      </c>
      <c r="L212" s="201">
        <v>25</v>
      </c>
      <c r="M212" s="330">
        <v>21</v>
      </c>
      <c r="N212" s="202">
        <v>-0.52595936794582387</v>
      </c>
    </row>
    <row r="213" spans="1:14" ht="15.75" customHeight="1">
      <c r="A213" s="198" t="s">
        <v>159</v>
      </c>
      <c r="B213" s="199" t="s">
        <v>174</v>
      </c>
      <c r="C213" s="199" t="s">
        <v>134</v>
      </c>
      <c r="D213" s="200" t="s">
        <v>165</v>
      </c>
      <c r="E213" s="213">
        <v>428.4</v>
      </c>
      <c r="F213" s="201">
        <v>498</v>
      </c>
      <c r="G213" s="201">
        <v>417</v>
      </c>
      <c r="H213" s="201">
        <v>442</v>
      </c>
      <c r="I213" s="201">
        <v>296</v>
      </c>
      <c r="J213" s="201">
        <v>324</v>
      </c>
      <c r="K213" s="201">
        <v>318</v>
      </c>
      <c r="L213" s="201">
        <v>311</v>
      </c>
      <c r="M213" s="330">
        <v>249</v>
      </c>
      <c r="N213" s="202">
        <v>-0.41876750700280108</v>
      </c>
    </row>
    <row r="214" spans="1:14" ht="15.75" customHeight="1">
      <c r="A214" s="198" t="s">
        <v>159</v>
      </c>
      <c r="B214" s="199" t="s">
        <v>174</v>
      </c>
      <c r="C214" s="199" t="s">
        <v>134</v>
      </c>
      <c r="D214" s="203" t="s">
        <v>91</v>
      </c>
      <c r="E214" s="214">
        <v>474.9</v>
      </c>
      <c r="F214" s="204">
        <v>515</v>
      </c>
      <c r="G214" s="204">
        <v>442</v>
      </c>
      <c r="H214" s="204">
        <v>468</v>
      </c>
      <c r="I214" s="204">
        <v>308</v>
      </c>
      <c r="J214" s="204">
        <v>344</v>
      </c>
      <c r="K214" s="204">
        <v>351</v>
      </c>
      <c r="L214" s="204">
        <v>336</v>
      </c>
      <c r="M214" s="331">
        <v>270</v>
      </c>
      <c r="N214" s="202">
        <v>-0.43145925457991152</v>
      </c>
    </row>
    <row r="215" spans="1:14">
      <c r="A215" s="198" t="s">
        <v>159</v>
      </c>
      <c r="B215" s="199" t="s">
        <v>174</v>
      </c>
      <c r="C215" s="199" t="s">
        <v>166</v>
      </c>
      <c r="D215" s="200" t="s">
        <v>162</v>
      </c>
      <c r="E215" s="213">
        <v>0</v>
      </c>
      <c r="F215" s="201">
        <v>0</v>
      </c>
      <c r="G215" s="201">
        <v>0</v>
      </c>
      <c r="H215" s="201">
        <v>0</v>
      </c>
      <c r="I215" s="201">
        <v>0</v>
      </c>
      <c r="J215" s="201">
        <v>0</v>
      </c>
      <c r="K215" s="201">
        <v>0</v>
      </c>
      <c r="L215" s="201">
        <v>0</v>
      </c>
      <c r="M215" s="330" t="s">
        <v>172</v>
      </c>
      <c r="N215" s="202">
        <v>0</v>
      </c>
    </row>
    <row r="216" spans="1:14" ht="15.75" customHeight="1">
      <c r="A216" s="198" t="s">
        <v>159</v>
      </c>
      <c r="B216" s="199" t="s">
        <v>174</v>
      </c>
      <c r="C216" s="199" t="s">
        <v>166</v>
      </c>
      <c r="D216" s="200" t="s">
        <v>163</v>
      </c>
      <c r="E216" s="213">
        <v>2.5</v>
      </c>
      <c r="F216" s="201">
        <v>1</v>
      </c>
      <c r="G216" s="201">
        <v>0</v>
      </c>
      <c r="H216" s="201">
        <v>0</v>
      </c>
      <c r="I216" s="201">
        <v>0</v>
      </c>
      <c r="J216" s="201">
        <v>1</v>
      </c>
      <c r="K216" s="201">
        <v>0</v>
      </c>
      <c r="L216" s="201">
        <v>5</v>
      </c>
      <c r="M216" s="330">
        <v>2</v>
      </c>
      <c r="N216" s="202">
        <v>-0.2</v>
      </c>
    </row>
    <row r="217" spans="1:14" ht="15.75" customHeight="1">
      <c r="A217" s="198" t="s">
        <v>159</v>
      </c>
      <c r="B217" s="199" t="s">
        <v>174</v>
      </c>
      <c r="C217" s="199" t="s">
        <v>166</v>
      </c>
      <c r="D217" s="200" t="s">
        <v>164</v>
      </c>
      <c r="E217" s="213">
        <v>2.5</v>
      </c>
      <c r="F217" s="201">
        <v>1</v>
      </c>
      <c r="G217" s="201">
        <v>0</v>
      </c>
      <c r="H217" s="201">
        <v>0</v>
      </c>
      <c r="I217" s="201">
        <v>0</v>
      </c>
      <c r="J217" s="201">
        <v>1</v>
      </c>
      <c r="K217" s="201">
        <v>0</v>
      </c>
      <c r="L217" s="201">
        <v>5</v>
      </c>
      <c r="M217" s="330">
        <v>2</v>
      </c>
      <c r="N217" s="202">
        <v>-0.2</v>
      </c>
    </row>
    <row r="218" spans="1:14" ht="15.75" customHeight="1">
      <c r="A218" s="198" t="s">
        <v>159</v>
      </c>
      <c r="B218" s="199" t="s">
        <v>174</v>
      </c>
      <c r="C218" s="199" t="s">
        <v>166</v>
      </c>
      <c r="D218" s="200" t="s">
        <v>165</v>
      </c>
      <c r="E218" s="213">
        <v>24.1</v>
      </c>
      <c r="F218" s="201">
        <v>19</v>
      </c>
      <c r="G218" s="201">
        <v>31</v>
      </c>
      <c r="H218" s="201">
        <v>20</v>
      </c>
      <c r="I218" s="201">
        <v>24</v>
      </c>
      <c r="J218" s="201">
        <v>15</v>
      </c>
      <c r="K218" s="201">
        <v>25</v>
      </c>
      <c r="L218" s="201">
        <v>20</v>
      </c>
      <c r="M218" s="330">
        <v>24</v>
      </c>
      <c r="N218" s="202">
        <v>-4.1493775933610548E-3</v>
      </c>
    </row>
    <row r="219" spans="1:14" ht="15.75" customHeight="1">
      <c r="A219" s="198" t="s">
        <v>159</v>
      </c>
      <c r="B219" s="199" t="s">
        <v>174</v>
      </c>
      <c r="C219" s="199" t="s">
        <v>166</v>
      </c>
      <c r="D219" s="203" t="s">
        <v>91</v>
      </c>
      <c r="E219" s="214">
        <v>26.6</v>
      </c>
      <c r="F219" s="204">
        <v>20</v>
      </c>
      <c r="G219" s="204">
        <v>31</v>
      </c>
      <c r="H219" s="204">
        <v>20</v>
      </c>
      <c r="I219" s="204">
        <v>24</v>
      </c>
      <c r="J219" s="204">
        <v>16</v>
      </c>
      <c r="K219" s="204">
        <v>25</v>
      </c>
      <c r="L219" s="204">
        <v>25</v>
      </c>
      <c r="M219" s="331">
        <v>26</v>
      </c>
      <c r="N219" s="202">
        <v>-2.255639097744366E-2</v>
      </c>
    </row>
    <row r="220" spans="1:14">
      <c r="A220" s="198" t="s">
        <v>159</v>
      </c>
      <c r="B220" s="199" t="s">
        <v>174</v>
      </c>
      <c r="C220" s="199" t="s">
        <v>133</v>
      </c>
      <c r="D220" s="200" t="s">
        <v>162</v>
      </c>
      <c r="E220" s="213">
        <v>0.8</v>
      </c>
      <c r="F220" s="201">
        <v>1</v>
      </c>
      <c r="G220" s="201">
        <v>0</v>
      </c>
      <c r="H220" s="201">
        <v>1</v>
      </c>
      <c r="I220" s="201">
        <v>0</v>
      </c>
      <c r="J220" s="201">
        <v>1</v>
      </c>
      <c r="K220" s="201">
        <v>1</v>
      </c>
      <c r="L220" s="201">
        <v>2</v>
      </c>
      <c r="M220" s="330">
        <v>1</v>
      </c>
      <c r="N220" s="202">
        <v>0.24999999999999994</v>
      </c>
    </row>
    <row r="221" spans="1:14" ht="15.75" customHeight="1">
      <c r="A221" s="198" t="s">
        <v>159</v>
      </c>
      <c r="B221" s="199" t="s">
        <v>174</v>
      </c>
      <c r="C221" s="199" t="s">
        <v>133</v>
      </c>
      <c r="D221" s="200" t="s">
        <v>163</v>
      </c>
      <c r="E221" s="213">
        <v>26</v>
      </c>
      <c r="F221" s="201">
        <v>36</v>
      </c>
      <c r="G221" s="201">
        <v>36</v>
      </c>
      <c r="H221" s="201">
        <v>32</v>
      </c>
      <c r="I221" s="201">
        <v>18</v>
      </c>
      <c r="J221" s="201">
        <v>28</v>
      </c>
      <c r="K221" s="201">
        <v>15</v>
      </c>
      <c r="L221" s="201">
        <v>31</v>
      </c>
      <c r="M221" s="330">
        <v>21</v>
      </c>
      <c r="N221" s="202">
        <v>-0.19230769230769232</v>
      </c>
    </row>
    <row r="222" spans="1:14" ht="15.75" customHeight="1">
      <c r="A222" s="198" t="s">
        <v>159</v>
      </c>
      <c r="B222" s="199" t="s">
        <v>174</v>
      </c>
      <c r="C222" s="199" t="s">
        <v>133</v>
      </c>
      <c r="D222" s="200" t="s">
        <v>164</v>
      </c>
      <c r="E222" s="213">
        <v>25.2</v>
      </c>
      <c r="F222" s="201">
        <v>35</v>
      </c>
      <c r="G222" s="201">
        <v>36</v>
      </c>
      <c r="H222" s="201">
        <v>31</v>
      </c>
      <c r="I222" s="201">
        <v>18</v>
      </c>
      <c r="J222" s="201">
        <v>27</v>
      </c>
      <c r="K222" s="201">
        <v>14</v>
      </c>
      <c r="L222" s="201">
        <v>29</v>
      </c>
      <c r="M222" s="330">
        <v>20</v>
      </c>
      <c r="N222" s="202">
        <v>-0.20634920634920634</v>
      </c>
    </row>
    <row r="223" spans="1:14" ht="15.75" customHeight="1">
      <c r="A223" s="198" t="s">
        <v>159</v>
      </c>
      <c r="B223" s="199" t="s">
        <v>174</v>
      </c>
      <c r="C223" s="199" t="s">
        <v>133</v>
      </c>
      <c r="D223" s="200" t="s">
        <v>165</v>
      </c>
      <c r="E223" s="213">
        <v>77.7</v>
      </c>
      <c r="F223" s="201">
        <v>97</v>
      </c>
      <c r="G223" s="201">
        <v>97</v>
      </c>
      <c r="H223" s="201">
        <v>83</v>
      </c>
      <c r="I223" s="201">
        <v>80</v>
      </c>
      <c r="J223" s="201">
        <v>113</v>
      </c>
      <c r="K223" s="201">
        <v>104</v>
      </c>
      <c r="L223" s="201">
        <v>105</v>
      </c>
      <c r="M223" s="330">
        <v>107</v>
      </c>
      <c r="N223" s="202">
        <v>0.37709137709137702</v>
      </c>
    </row>
    <row r="224" spans="1:14" ht="15.75" customHeight="1">
      <c r="A224" s="198" t="s">
        <v>159</v>
      </c>
      <c r="B224" s="199" t="s">
        <v>174</v>
      </c>
      <c r="C224" s="199" t="s">
        <v>133</v>
      </c>
      <c r="D224" s="203" t="s">
        <v>91</v>
      </c>
      <c r="E224" s="214">
        <v>103.7</v>
      </c>
      <c r="F224" s="204">
        <v>133</v>
      </c>
      <c r="G224" s="204">
        <v>133</v>
      </c>
      <c r="H224" s="204">
        <v>115</v>
      </c>
      <c r="I224" s="204">
        <v>98</v>
      </c>
      <c r="J224" s="204">
        <v>141</v>
      </c>
      <c r="K224" s="204">
        <v>119</v>
      </c>
      <c r="L224" s="204">
        <v>136</v>
      </c>
      <c r="M224" s="331">
        <v>128</v>
      </c>
      <c r="N224" s="202">
        <v>0.23432979749276756</v>
      </c>
    </row>
    <row r="225" spans="1:14" ht="15.75" customHeight="1">
      <c r="A225" s="198" t="s">
        <v>159</v>
      </c>
      <c r="B225" s="199" t="s">
        <v>174</v>
      </c>
      <c r="C225" s="199" t="s">
        <v>167</v>
      </c>
      <c r="D225" s="200" t="s">
        <v>162</v>
      </c>
      <c r="E225" s="213">
        <v>0</v>
      </c>
      <c r="F225" s="201">
        <v>0</v>
      </c>
      <c r="G225" s="201">
        <v>0</v>
      </c>
      <c r="H225" s="201">
        <v>0</v>
      </c>
      <c r="I225" s="201">
        <v>0</v>
      </c>
      <c r="J225" s="201">
        <v>1</v>
      </c>
      <c r="K225" s="201">
        <v>0</v>
      </c>
      <c r="L225" s="201">
        <v>0</v>
      </c>
      <c r="M225" s="330" t="s">
        <v>172</v>
      </c>
      <c r="N225" s="202">
        <v>0</v>
      </c>
    </row>
    <row r="226" spans="1:14" ht="15.75" customHeight="1">
      <c r="A226" s="198" t="s">
        <v>159</v>
      </c>
      <c r="B226" s="199" t="s">
        <v>174</v>
      </c>
      <c r="C226" s="199" t="s">
        <v>167</v>
      </c>
      <c r="D226" s="200" t="s">
        <v>163</v>
      </c>
      <c r="E226" s="213">
        <v>1.2</v>
      </c>
      <c r="F226" s="201">
        <v>0</v>
      </c>
      <c r="G226" s="201">
        <v>2</v>
      </c>
      <c r="H226" s="201">
        <v>2</v>
      </c>
      <c r="I226" s="201">
        <v>0</v>
      </c>
      <c r="J226" s="201">
        <v>3</v>
      </c>
      <c r="K226" s="201">
        <v>1</v>
      </c>
      <c r="L226" s="201">
        <v>2</v>
      </c>
      <c r="M226" s="330">
        <v>0</v>
      </c>
      <c r="N226" s="202">
        <v>-1</v>
      </c>
    </row>
    <row r="227" spans="1:14" ht="15.75" customHeight="1">
      <c r="A227" s="198" t="s">
        <v>159</v>
      </c>
      <c r="B227" s="199" t="s">
        <v>174</v>
      </c>
      <c r="C227" s="199" t="s">
        <v>167</v>
      </c>
      <c r="D227" s="200" t="s">
        <v>164</v>
      </c>
      <c r="E227" s="213">
        <v>1.2</v>
      </c>
      <c r="F227" s="201">
        <v>0</v>
      </c>
      <c r="G227" s="201">
        <v>2</v>
      </c>
      <c r="H227" s="201">
        <v>2</v>
      </c>
      <c r="I227" s="201">
        <v>0</v>
      </c>
      <c r="J227" s="201">
        <v>2</v>
      </c>
      <c r="K227" s="201">
        <v>1</v>
      </c>
      <c r="L227" s="201">
        <v>2</v>
      </c>
      <c r="M227" s="330" t="s">
        <v>172</v>
      </c>
      <c r="N227" s="202">
        <v>-1</v>
      </c>
    </row>
    <row r="228" spans="1:14" ht="15.75" customHeight="1">
      <c r="A228" s="198" t="s">
        <v>159</v>
      </c>
      <c r="B228" s="199" t="s">
        <v>174</v>
      </c>
      <c r="C228" s="199" t="s">
        <v>167</v>
      </c>
      <c r="D228" s="200" t="s">
        <v>165</v>
      </c>
      <c r="E228" s="213">
        <v>4.9000000000000004</v>
      </c>
      <c r="F228" s="201">
        <v>5</v>
      </c>
      <c r="G228" s="201">
        <v>2</v>
      </c>
      <c r="H228" s="201">
        <v>4</v>
      </c>
      <c r="I228" s="201">
        <v>5</v>
      </c>
      <c r="J228" s="201">
        <v>7</v>
      </c>
      <c r="K228" s="201">
        <v>4</v>
      </c>
      <c r="L228" s="201">
        <v>7</v>
      </c>
      <c r="M228" s="330">
        <v>3</v>
      </c>
      <c r="N228" s="202">
        <v>-0.38775510204081637</v>
      </c>
    </row>
    <row r="229" spans="1:14" ht="15.75" customHeight="1">
      <c r="A229" s="198" t="s">
        <v>159</v>
      </c>
      <c r="B229" s="199" t="s">
        <v>174</v>
      </c>
      <c r="C229" s="199" t="s">
        <v>167</v>
      </c>
      <c r="D229" s="203" t="s">
        <v>91</v>
      </c>
      <c r="E229" s="214">
        <v>6.1</v>
      </c>
      <c r="F229" s="204">
        <v>5</v>
      </c>
      <c r="G229" s="204">
        <v>4</v>
      </c>
      <c r="H229" s="204">
        <v>6</v>
      </c>
      <c r="I229" s="204">
        <v>5</v>
      </c>
      <c r="J229" s="204">
        <v>10</v>
      </c>
      <c r="K229" s="204">
        <v>5</v>
      </c>
      <c r="L229" s="204">
        <v>9</v>
      </c>
      <c r="M229" s="331">
        <v>3</v>
      </c>
      <c r="N229" s="202">
        <v>-0.50819672131147542</v>
      </c>
    </row>
    <row r="230" spans="1:14" ht="15.75" customHeight="1">
      <c r="A230" s="198" t="s">
        <v>159</v>
      </c>
      <c r="B230" s="199" t="s">
        <v>174</v>
      </c>
      <c r="C230" s="199" t="s">
        <v>168</v>
      </c>
      <c r="D230" s="200" t="s">
        <v>162</v>
      </c>
      <c r="E230" s="213">
        <v>0.4</v>
      </c>
      <c r="F230" s="201">
        <v>0</v>
      </c>
      <c r="G230" s="201">
        <v>0</v>
      </c>
      <c r="H230" s="201">
        <v>0</v>
      </c>
      <c r="I230" s="201">
        <v>0</v>
      </c>
      <c r="J230" s="201">
        <v>0</v>
      </c>
      <c r="K230" s="201">
        <v>0</v>
      </c>
      <c r="L230" s="201">
        <v>1</v>
      </c>
      <c r="M230" s="330" t="s">
        <v>172</v>
      </c>
      <c r="N230" s="202">
        <v>-1</v>
      </c>
    </row>
    <row r="231" spans="1:14" ht="15.75" customHeight="1">
      <c r="A231" s="198" t="s">
        <v>159</v>
      </c>
      <c r="B231" s="199" t="s">
        <v>174</v>
      </c>
      <c r="C231" s="199" t="s">
        <v>168</v>
      </c>
      <c r="D231" s="200" t="s">
        <v>163</v>
      </c>
      <c r="E231" s="213">
        <v>18</v>
      </c>
      <c r="F231" s="201">
        <v>21</v>
      </c>
      <c r="G231" s="201">
        <v>15</v>
      </c>
      <c r="H231" s="201">
        <v>14</v>
      </c>
      <c r="I231" s="201">
        <v>25</v>
      </c>
      <c r="J231" s="201">
        <v>24</v>
      </c>
      <c r="K231" s="201">
        <v>27</v>
      </c>
      <c r="L231" s="201">
        <v>23</v>
      </c>
      <c r="M231" s="330">
        <v>9</v>
      </c>
      <c r="N231" s="202">
        <v>-0.5</v>
      </c>
    </row>
    <row r="232" spans="1:14" ht="15.75" customHeight="1">
      <c r="A232" s="198" t="s">
        <v>159</v>
      </c>
      <c r="B232" s="199" t="s">
        <v>174</v>
      </c>
      <c r="C232" s="199" t="s">
        <v>168</v>
      </c>
      <c r="D232" s="200" t="s">
        <v>164</v>
      </c>
      <c r="E232" s="213">
        <v>17.600000000000001</v>
      </c>
      <c r="F232" s="201">
        <v>21</v>
      </c>
      <c r="G232" s="201">
        <v>15</v>
      </c>
      <c r="H232" s="201">
        <v>14</v>
      </c>
      <c r="I232" s="201">
        <v>25</v>
      </c>
      <c r="J232" s="201">
        <v>24</v>
      </c>
      <c r="K232" s="201">
        <v>27</v>
      </c>
      <c r="L232" s="201">
        <v>22</v>
      </c>
      <c r="M232" s="330">
        <v>9</v>
      </c>
      <c r="N232" s="202">
        <v>-0.4886363636363637</v>
      </c>
    </row>
    <row r="233" spans="1:14" ht="15.75" customHeight="1">
      <c r="A233" s="198" t="s">
        <v>159</v>
      </c>
      <c r="B233" s="199" t="s">
        <v>174</v>
      </c>
      <c r="C233" s="199" t="s">
        <v>168</v>
      </c>
      <c r="D233" s="200" t="s">
        <v>165</v>
      </c>
      <c r="E233" s="213">
        <v>75.400000000000006</v>
      </c>
      <c r="F233" s="201">
        <v>79</v>
      </c>
      <c r="G233" s="201">
        <v>71</v>
      </c>
      <c r="H233" s="201">
        <v>86</v>
      </c>
      <c r="I233" s="201">
        <v>87</v>
      </c>
      <c r="J233" s="201">
        <v>75</v>
      </c>
      <c r="K233" s="201">
        <v>70</v>
      </c>
      <c r="L233" s="201">
        <v>46</v>
      </c>
      <c r="M233" s="330">
        <v>57</v>
      </c>
      <c r="N233" s="202">
        <v>-0.24403183023872685</v>
      </c>
    </row>
    <row r="234" spans="1:14" ht="15.75" customHeight="1">
      <c r="A234" s="198" t="s">
        <v>159</v>
      </c>
      <c r="B234" s="199" t="s">
        <v>174</v>
      </c>
      <c r="C234" s="199" t="s">
        <v>168</v>
      </c>
      <c r="D234" s="203" t="s">
        <v>91</v>
      </c>
      <c r="E234" s="214">
        <v>93.5</v>
      </c>
      <c r="F234" s="204">
        <v>100</v>
      </c>
      <c r="G234" s="204">
        <v>86</v>
      </c>
      <c r="H234" s="204">
        <v>100</v>
      </c>
      <c r="I234" s="204">
        <v>112</v>
      </c>
      <c r="J234" s="204">
        <v>99</v>
      </c>
      <c r="K234" s="204">
        <v>97</v>
      </c>
      <c r="L234" s="204">
        <v>69</v>
      </c>
      <c r="M234" s="331">
        <v>66</v>
      </c>
      <c r="N234" s="202">
        <v>-0.29411764705882354</v>
      </c>
    </row>
    <row r="235" spans="1:14" ht="15.75" customHeight="1">
      <c r="A235" s="198" t="s">
        <v>159</v>
      </c>
      <c r="B235" s="199" t="s">
        <v>174</v>
      </c>
      <c r="C235" s="199" t="s">
        <v>131</v>
      </c>
      <c r="D235" s="200" t="s">
        <v>162</v>
      </c>
      <c r="E235" s="213">
        <v>1.6</v>
      </c>
      <c r="F235" s="201">
        <v>0</v>
      </c>
      <c r="G235" s="201">
        <v>2</v>
      </c>
      <c r="H235" s="201">
        <v>5</v>
      </c>
      <c r="I235" s="201">
        <v>1</v>
      </c>
      <c r="J235" s="201">
        <v>0</v>
      </c>
      <c r="K235" s="201">
        <v>1</v>
      </c>
      <c r="L235" s="201">
        <v>1</v>
      </c>
      <c r="M235" s="330" t="s">
        <v>172</v>
      </c>
      <c r="N235" s="202">
        <v>-1</v>
      </c>
    </row>
    <row r="236" spans="1:14" ht="15.75" customHeight="1">
      <c r="A236" s="198" t="s">
        <v>159</v>
      </c>
      <c r="B236" s="199" t="s">
        <v>174</v>
      </c>
      <c r="C236" s="199" t="s">
        <v>131</v>
      </c>
      <c r="D236" s="200" t="s">
        <v>163</v>
      </c>
      <c r="E236" s="213">
        <v>38.4</v>
      </c>
      <c r="F236" s="201">
        <v>30</v>
      </c>
      <c r="G236" s="201">
        <v>30</v>
      </c>
      <c r="H236" s="201">
        <v>27</v>
      </c>
      <c r="I236" s="201">
        <v>22</v>
      </c>
      <c r="J236" s="201">
        <v>29</v>
      </c>
      <c r="K236" s="201">
        <v>24</v>
      </c>
      <c r="L236" s="201">
        <v>31</v>
      </c>
      <c r="M236" s="330">
        <v>27</v>
      </c>
      <c r="N236" s="202">
        <v>-0.296875</v>
      </c>
    </row>
    <row r="237" spans="1:14" ht="15.75" customHeight="1">
      <c r="A237" s="198" t="s">
        <v>159</v>
      </c>
      <c r="B237" s="199" t="s">
        <v>174</v>
      </c>
      <c r="C237" s="199" t="s">
        <v>131</v>
      </c>
      <c r="D237" s="200" t="s">
        <v>164</v>
      </c>
      <c r="E237" s="213">
        <v>36.799999999999997</v>
      </c>
      <c r="F237" s="201">
        <v>30</v>
      </c>
      <c r="G237" s="201">
        <v>28</v>
      </c>
      <c r="H237" s="201">
        <v>22</v>
      </c>
      <c r="I237" s="201">
        <v>21</v>
      </c>
      <c r="J237" s="201">
        <v>29</v>
      </c>
      <c r="K237" s="201">
        <v>23</v>
      </c>
      <c r="L237" s="201">
        <v>30</v>
      </c>
      <c r="M237" s="330">
        <v>27</v>
      </c>
      <c r="N237" s="202">
        <v>-0.26630434782608692</v>
      </c>
    </row>
    <row r="238" spans="1:14" ht="15.75" customHeight="1">
      <c r="A238" s="198" t="s">
        <v>159</v>
      </c>
      <c r="B238" s="199" t="s">
        <v>174</v>
      </c>
      <c r="C238" s="199" t="s">
        <v>131</v>
      </c>
      <c r="D238" s="200" t="s">
        <v>165</v>
      </c>
      <c r="E238" s="213">
        <v>115.5</v>
      </c>
      <c r="F238" s="201">
        <v>159</v>
      </c>
      <c r="G238" s="201">
        <v>118</v>
      </c>
      <c r="H238" s="201">
        <v>119</v>
      </c>
      <c r="I238" s="201">
        <v>66</v>
      </c>
      <c r="J238" s="201">
        <v>74</v>
      </c>
      <c r="K238" s="201">
        <v>88</v>
      </c>
      <c r="L238" s="201">
        <v>89</v>
      </c>
      <c r="M238" s="330">
        <v>100</v>
      </c>
      <c r="N238" s="202">
        <v>-0.13419913419913421</v>
      </c>
    </row>
    <row r="239" spans="1:14" ht="15.75" customHeight="1">
      <c r="A239" s="198" t="s">
        <v>159</v>
      </c>
      <c r="B239" s="199" t="s">
        <v>174</v>
      </c>
      <c r="C239" s="199" t="s">
        <v>131</v>
      </c>
      <c r="D239" s="203" t="s">
        <v>91</v>
      </c>
      <c r="E239" s="214">
        <v>153.9</v>
      </c>
      <c r="F239" s="204">
        <v>189</v>
      </c>
      <c r="G239" s="204">
        <v>148</v>
      </c>
      <c r="H239" s="204">
        <v>146</v>
      </c>
      <c r="I239" s="204">
        <v>88</v>
      </c>
      <c r="J239" s="204">
        <v>103</v>
      </c>
      <c r="K239" s="204">
        <v>112</v>
      </c>
      <c r="L239" s="204">
        <v>120</v>
      </c>
      <c r="M239" s="331">
        <v>127</v>
      </c>
      <c r="N239" s="202">
        <v>-0.17478882391163095</v>
      </c>
    </row>
    <row r="240" spans="1:14" ht="15.75" customHeight="1">
      <c r="A240" s="198" t="s">
        <v>159</v>
      </c>
      <c r="B240" s="199" t="s">
        <v>174</v>
      </c>
      <c r="C240" s="199" t="s">
        <v>169</v>
      </c>
      <c r="D240" s="200" t="s">
        <v>162</v>
      </c>
      <c r="E240" s="213">
        <v>0</v>
      </c>
      <c r="F240" s="201">
        <v>0</v>
      </c>
      <c r="G240" s="201">
        <v>0</v>
      </c>
      <c r="H240" s="201">
        <v>0</v>
      </c>
      <c r="I240" s="201">
        <v>0</v>
      </c>
      <c r="J240" s="201">
        <v>0</v>
      </c>
      <c r="K240" s="201">
        <v>0</v>
      </c>
      <c r="L240" s="201">
        <v>0</v>
      </c>
      <c r="M240" s="330" t="s">
        <v>172</v>
      </c>
      <c r="N240" s="202">
        <v>0</v>
      </c>
    </row>
    <row r="241" spans="1:14" ht="15.75" customHeight="1">
      <c r="A241" s="198" t="s">
        <v>159</v>
      </c>
      <c r="B241" s="199" t="s">
        <v>174</v>
      </c>
      <c r="C241" s="199" t="s">
        <v>169</v>
      </c>
      <c r="D241" s="200" t="s">
        <v>163</v>
      </c>
      <c r="E241" s="213">
        <v>0</v>
      </c>
      <c r="F241" s="201">
        <v>0</v>
      </c>
      <c r="G241" s="201">
        <v>0</v>
      </c>
      <c r="H241" s="201">
        <v>1</v>
      </c>
      <c r="I241" s="201">
        <v>0</v>
      </c>
      <c r="J241" s="201">
        <v>1</v>
      </c>
      <c r="K241" s="201">
        <v>0</v>
      </c>
      <c r="L241" s="201">
        <v>0</v>
      </c>
      <c r="M241" s="330">
        <v>0</v>
      </c>
      <c r="N241" s="202">
        <v>0</v>
      </c>
    </row>
    <row r="242" spans="1:14" ht="15.75" customHeight="1">
      <c r="A242" s="198" t="s">
        <v>159</v>
      </c>
      <c r="B242" s="199" t="s">
        <v>174</v>
      </c>
      <c r="C242" s="199" t="s">
        <v>169</v>
      </c>
      <c r="D242" s="200" t="s">
        <v>164</v>
      </c>
      <c r="E242" s="213">
        <v>0</v>
      </c>
      <c r="F242" s="201">
        <v>0</v>
      </c>
      <c r="G242" s="201">
        <v>0</v>
      </c>
      <c r="H242" s="201">
        <v>1</v>
      </c>
      <c r="I242" s="201">
        <v>0</v>
      </c>
      <c r="J242" s="201">
        <v>1</v>
      </c>
      <c r="K242" s="201">
        <v>0</v>
      </c>
      <c r="L242" s="201">
        <v>0</v>
      </c>
      <c r="M242" s="330" t="s">
        <v>172</v>
      </c>
      <c r="N242" s="202">
        <v>0</v>
      </c>
    </row>
    <row r="243" spans="1:14" ht="15.75" customHeight="1">
      <c r="A243" s="198" t="s">
        <v>159</v>
      </c>
      <c r="B243" s="199" t="s">
        <v>174</v>
      </c>
      <c r="C243" s="199" t="s">
        <v>169</v>
      </c>
      <c r="D243" s="200" t="s">
        <v>165</v>
      </c>
      <c r="E243" s="213">
        <v>0</v>
      </c>
      <c r="F243" s="201">
        <v>6</v>
      </c>
      <c r="G243" s="201">
        <v>6</v>
      </c>
      <c r="H243" s="201">
        <v>5</v>
      </c>
      <c r="I243" s="201">
        <v>3</v>
      </c>
      <c r="J243" s="201">
        <v>5</v>
      </c>
      <c r="K243" s="201">
        <v>6</v>
      </c>
      <c r="L243" s="201">
        <v>0</v>
      </c>
      <c r="M243" s="330" t="s">
        <v>172</v>
      </c>
      <c r="N243" s="202">
        <v>0</v>
      </c>
    </row>
    <row r="244" spans="1:14" ht="15.75" customHeight="1">
      <c r="A244" s="198" t="s">
        <v>159</v>
      </c>
      <c r="B244" s="199" t="s">
        <v>174</v>
      </c>
      <c r="C244" s="199" t="s">
        <v>169</v>
      </c>
      <c r="D244" s="203" t="s">
        <v>91</v>
      </c>
      <c r="E244" s="214">
        <v>0</v>
      </c>
      <c r="F244" s="204">
        <v>6</v>
      </c>
      <c r="G244" s="204">
        <v>6</v>
      </c>
      <c r="H244" s="204">
        <v>6</v>
      </c>
      <c r="I244" s="204">
        <v>3</v>
      </c>
      <c r="J244" s="204">
        <v>6</v>
      </c>
      <c r="K244" s="204">
        <v>6</v>
      </c>
      <c r="L244" s="204">
        <v>0</v>
      </c>
      <c r="M244" s="331">
        <v>0</v>
      </c>
      <c r="N244" s="202">
        <v>0</v>
      </c>
    </row>
    <row r="245" spans="1:14">
      <c r="A245" s="198" t="s">
        <v>159</v>
      </c>
      <c r="B245" s="199" t="s">
        <v>174</v>
      </c>
      <c r="C245" s="199" t="s">
        <v>139</v>
      </c>
      <c r="D245" s="200" t="s">
        <v>162</v>
      </c>
      <c r="E245" s="213">
        <v>0</v>
      </c>
      <c r="F245" s="201">
        <v>0</v>
      </c>
      <c r="G245" s="201">
        <v>0</v>
      </c>
      <c r="H245" s="201">
        <v>0</v>
      </c>
      <c r="I245" s="201">
        <v>0</v>
      </c>
      <c r="J245" s="201">
        <v>0</v>
      </c>
      <c r="K245" s="201">
        <v>0</v>
      </c>
      <c r="L245" s="201">
        <v>0</v>
      </c>
      <c r="M245" s="330" t="s">
        <v>172</v>
      </c>
      <c r="N245" s="202">
        <v>0</v>
      </c>
    </row>
    <row r="246" spans="1:14" ht="15.75" customHeight="1">
      <c r="A246" s="198" t="s">
        <v>159</v>
      </c>
      <c r="B246" s="199" t="s">
        <v>174</v>
      </c>
      <c r="C246" s="199" t="s">
        <v>139</v>
      </c>
      <c r="D246" s="200" t="s">
        <v>163</v>
      </c>
      <c r="E246" s="213">
        <v>0.5</v>
      </c>
      <c r="F246" s="201">
        <v>0</v>
      </c>
      <c r="G246" s="201">
        <v>0</v>
      </c>
      <c r="H246" s="201">
        <v>0</v>
      </c>
      <c r="I246" s="201">
        <v>0</v>
      </c>
      <c r="J246" s="201">
        <v>0</v>
      </c>
      <c r="K246" s="201">
        <v>0</v>
      </c>
      <c r="L246" s="201">
        <v>0</v>
      </c>
      <c r="M246" s="330">
        <v>0</v>
      </c>
      <c r="N246" s="202">
        <v>-1</v>
      </c>
    </row>
    <row r="247" spans="1:14" ht="15.75" customHeight="1">
      <c r="A247" s="198" t="s">
        <v>159</v>
      </c>
      <c r="B247" s="199" t="s">
        <v>174</v>
      </c>
      <c r="C247" s="199" t="s">
        <v>139</v>
      </c>
      <c r="D247" s="200" t="s">
        <v>164</v>
      </c>
      <c r="E247" s="213">
        <v>0.5</v>
      </c>
      <c r="F247" s="201">
        <v>0</v>
      </c>
      <c r="G247" s="201">
        <v>0</v>
      </c>
      <c r="H247" s="201">
        <v>0</v>
      </c>
      <c r="I247" s="201">
        <v>0</v>
      </c>
      <c r="J247" s="201">
        <v>0</v>
      </c>
      <c r="K247" s="201">
        <v>0</v>
      </c>
      <c r="L247" s="201">
        <v>0</v>
      </c>
      <c r="M247" s="330" t="s">
        <v>172</v>
      </c>
      <c r="N247" s="202">
        <v>-1</v>
      </c>
    </row>
    <row r="248" spans="1:14" ht="15.75" customHeight="1">
      <c r="A248" s="198" t="s">
        <v>159</v>
      </c>
      <c r="B248" s="199" t="s">
        <v>174</v>
      </c>
      <c r="C248" s="199" t="s">
        <v>139</v>
      </c>
      <c r="D248" s="200" t="s">
        <v>165</v>
      </c>
      <c r="E248" s="213">
        <v>7.1</v>
      </c>
      <c r="F248" s="201">
        <v>5</v>
      </c>
      <c r="G248" s="201">
        <v>4</v>
      </c>
      <c r="H248" s="201">
        <v>5</v>
      </c>
      <c r="I248" s="201">
        <v>1</v>
      </c>
      <c r="J248" s="201">
        <v>3</v>
      </c>
      <c r="K248" s="201">
        <v>3</v>
      </c>
      <c r="L248" s="201">
        <v>4</v>
      </c>
      <c r="M248" s="330">
        <v>1</v>
      </c>
      <c r="N248" s="202">
        <v>-0.85915492957746475</v>
      </c>
    </row>
    <row r="249" spans="1:14" ht="15.75" customHeight="1">
      <c r="A249" s="198" t="s">
        <v>159</v>
      </c>
      <c r="B249" s="199" t="s">
        <v>174</v>
      </c>
      <c r="C249" s="199" t="s">
        <v>139</v>
      </c>
      <c r="D249" s="203" t="s">
        <v>91</v>
      </c>
      <c r="E249" s="214">
        <v>7.6</v>
      </c>
      <c r="F249" s="204">
        <v>5</v>
      </c>
      <c r="G249" s="204">
        <v>4</v>
      </c>
      <c r="H249" s="204">
        <v>5</v>
      </c>
      <c r="I249" s="204">
        <v>1</v>
      </c>
      <c r="J249" s="204">
        <v>3</v>
      </c>
      <c r="K249" s="204">
        <v>3</v>
      </c>
      <c r="L249" s="204">
        <v>4</v>
      </c>
      <c r="M249" s="331">
        <v>1</v>
      </c>
      <c r="N249" s="202">
        <v>-0.86842105263157898</v>
      </c>
    </row>
    <row r="250" spans="1:14" ht="15.75" customHeight="1">
      <c r="A250" s="198" t="s">
        <v>159</v>
      </c>
      <c r="B250" s="199" t="s">
        <v>174</v>
      </c>
      <c r="C250" s="205" t="s">
        <v>91</v>
      </c>
      <c r="D250" s="203" t="s">
        <v>162</v>
      </c>
      <c r="E250" s="214">
        <v>5</v>
      </c>
      <c r="F250" s="204">
        <v>2</v>
      </c>
      <c r="G250" s="204">
        <v>3</v>
      </c>
      <c r="H250" s="204">
        <v>7</v>
      </c>
      <c r="I250" s="204">
        <v>2</v>
      </c>
      <c r="J250" s="204">
        <v>2</v>
      </c>
      <c r="K250" s="204">
        <v>5</v>
      </c>
      <c r="L250" s="204">
        <v>4</v>
      </c>
      <c r="M250" s="331">
        <v>1</v>
      </c>
      <c r="N250" s="202">
        <v>-0.8</v>
      </c>
    </row>
    <row r="251" spans="1:14" ht="15.75" customHeight="1">
      <c r="A251" s="198" t="s">
        <v>159</v>
      </c>
      <c r="B251" s="199" t="s">
        <v>178</v>
      </c>
      <c r="C251" s="205" t="s">
        <v>91</v>
      </c>
      <c r="D251" s="203" t="s">
        <v>163</v>
      </c>
      <c r="E251" s="214">
        <v>170.3</v>
      </c>
      <c r="F251" s="204">
        <v>126</v>
      </c>
      <c r="G251" s="204">
        <v>111</v>
      </c>
      <c r="H251" s="204">
        <v>164</v>
      </c>
      <c r="I251" s="204">
        <v>147</v>
      </c>
      <c r="J251" s="204">
        <v>162</v>
      </c>
      <c r="K251" s="204">
        <v>168</v>
      </c>
      <c r="L251" s="204">
        <v>154</v>
      </c>
      <c r="M251" s="331">
        <v>156</v>
      </c>
      <c r="N251" s="202">
        <v>-8.3969465648855018E-2</v>
      </c>
    </row>
    <row r="252" spans="1:14" ht="15.75" customHeight="1">
      <c r="A252" s="198" t="s">
        <v>159</v>
      </c>
      <c r="B252" s="199" t="s">
        <v>174</v>
      </c>
      <c r="C252" s="205" t="s">
        <v>91</v>
      </c>
      <c r="D252" s="203" t="s">
        <v>164</v>
      </c>
      <c r="E252" s="214">
        <v>132.6</v>
      </c>
      <c r="F252" s="204">
        <v>105</v>
      </c>
      <c r="G252" s="204">
        <v>108</v>
      </c>
      <c r="H252" s="204">
        <v>99</v>
      </c>
      <c r="I252" s="204">
        <v>75</v>
      </c>
      <c r="J252" s="204">
        <v>107</v>
      </c>
      <c r="K252" s="204">
        <v>98</v>
      </c>
      <c r="L252" s="204">
        <v>118</v>
      </c>
      <c r="M252" s="331">
        <v>82</v>
      </c>
      <c r="N252" s="202">
        <v>-0.38159879336349922</v>
      </c>
    </row>
    <row r="253" spans="1:14" ht="15.75" customHeight="1">
      <c r="A253" s="198" t="s">
        <v>159</v>
      </c>
      <c r="B253" s="199" t="s">
        <v>174</v>
      </c>
      <c r="C253" s="205" t="s">
        <v>91</v>
      </c>
      <c r="D253" s="203" t="s">
        <v>165</v>
      </c>
      <c r="E253" s="214">
        <v>771.4</v>
      </c>
      <c r="F253" s="204">
        <v>917</v>
      </c>
      <c r="G253" s="204">
        <v>783</v>
      </c>
      <c r="H253" s="204">
        <v>777</v>
      </c>
      <c r="I253" s="204">
        <v>570</v>
      </c>
      <c r="J253" s="204">
        <v>632</v>
      </c>
      <c r="K253" s="204">
        <v>642</v>
      </c>
      <c r="L253" s="204">
        <v>593</v>
      </c>
      <c r="M253" s="331">
        <v>564</v>
      </c>
      <c r="N253" s="202">
        <v>-0.26886180969665541</v>
      </c>
    </row>
    <row r="254" spans="1:14" ht="15.75" customHeight="1">
      <c r="A254" s="198" t="s">
        <v>159</v>
      </c>
      <c r="B254" s="199" t="s">
        <v>174</v>
      </c>
      <c r="C254" s="205" t="s">
        <v>91</v>
      </c>
      <c r="D254" s="203" t="s">
        <v>91</v>
      </c>
      <c r="E254" s="214">
        <v>909</v>
      </c>
      <c r="F254" s="204">
        <v>1024</v>
      </c>
      <c r="G254" s="204">
        <v>894</v>
      </c>
      <c r="H254" s="204">
        <v>883</v>
      </c>
      <c r="I254" s="204">
        <v>647</v>
      </c>
      <c r="J254" s="204">
        <v>741</v>
      </c>
      <c r="K254" s="204">
        <v>745</v>
      </c>
      <c r="L254" s="204">
        <v>715</v>
      </c>
      <c r="M254" s="331">
        <v>647</v>
      </c>
      <c r="N254" s="202">
        <v>-0.28822882288228824</v>
      </c>
    </row>
    <row r="255" spans="1:14">
      <c r="A255" s="198" t="s">
        <v>175</v>
      </c>
      <c r="B255" s="199" t="s">
        <v>176</v>
      </c>
      <c r="C255" s="199" t="s">
        <v>161</v>
      </c>
      <c r="D255" s="200" t="s">
        <v>162</v>
      </c>
      <c r="E255" s="215">
        <v>0</v>
      </c>
      <c r="F255" s="201">
        <v>0</v>
      </c>
      <c r="G255" s="201">
        <v>0</v>
      </c>
      <c r="H255" s="201">
        <v>0</v>
      </c>
      <c r="I255" s="201">
        <v>1</v>
      </c>
      <c r="J255" s="201">
        <v>0</v>
      </c>
      <c r="K255" s="201">
        <v>1</v>
      </c>
      <c r="L255" s="201">
        <v>0</v>
      </c>
      <c r="M255" s="330">
        <v>1</v>
      </c>
      <c r="N255" s="202">
        <v>0</v>
      </c>
    </row>
    <row r="256" spans="1:14" ht="15.75" customHeight="1">
      <c r="A256" s="198" t="s">
        <v>175</v>
      </c>
      <c r="B256" s="199" t="s">
        <v>176</v>
      </c>
      <c r="C256" s="199" t="s">
        <v>161</v>
      </c>
      <c r="D256" s="200" t="s">
        <v>163</v>
      </c>
      <c r="E256" s="215">
        <v>7.4</v>
      </c>
      <c r="F256" s="201">
        <v>5</v>
      </c>
      <c r="G256" s="201">
        <v>3</v>
      </c>
      <c r="H256" s="201">
        <v>2</v>
      </c>
      <c r="I256" s="201">
        <v>5</v>
      </c>
      <c r="J256" s="201">
        <v>2</v>
      </c>
      <c r="K256" s="201">
        <v>2</v>
      </c>
      <c r="L256" s="201">
        <v>3</v>
      </c>
      <c r="M256" s="330">
        <v>5</v>
      </c>
      <c r="N256" s="202">
        <v>-0.32432432432432434</v>
      </c>
    </row>
    <row r="257" spans="1:14" ht="15.75" customHeight="1">
      <c r="A257" s="198" t="s">
        <v>175</v>
      </c>
      <c r="B257" s="199" t="s">
        <v>176</v>
      </c>
      <c r="C257" s="199" t="s">
        <v>161</v>
      </c>
      <c r="D257" s="200" t="s">
        <v>164</v>
      </c>
      <c r="E257" s="215">
        <v>7.4</v>
      </c>
      <c r="F257" s="201">
        <v>5</v>
      </c>
      <c r="G257" s="201">
        <v>3</v>
      </c>
      <c r="H257" s="201">
        <v>2</v>
      </c>
      <c r="I257" s="201">
        <v>4</v>
      </c>
      <c r="J257" s="201">
        <v>2</v>
      </c>
      <c r="K257" s="201">
        <v>1</v>
      </c>
      <c r="L257" s="201">
        <v>3</v>
      </c>
      <c r="M257" s="330">
        <v>4</v>
      </c>
      <c r="N257" s="202">
        <v>-0.45945945945945948</v>
      </c>
    </row>
    <row r="258" spans="1:14" ht="15.75" customHeight="1">
      <c r="A258" s="198" t="s">
        <v>175</v>
      </c>
      <c r="B258" s="199" t="s">
        <v>176</v>
      </c>
      <c r="C258" s="199" t="s">
        <v>161</v>
      </c>
      <c r="D258" s="200" t="s">
        <v>165</v>
      </c>
      <c r="E258" s="215">
        <v>55</v>
      </c>
      <c r="F258" s="201">
        <v>50</v>
      </c>
      <c r="G258" s="201">
        <v>38</v>
      </c>
      <c r="H258" s="201">
        <v>34</v>
      </c>
      <c r="I258" s="201">
        <v>13</v>
      </c>
      <c r="J258" s="201">
        <v>13</v>
      </c>
      <c r="K258" s="201">
        <v>14</v>
      </c>
      <c r="L258" s="201">
        <v>35</v>
      </c>
      <c r="M258" s="330">
        <v>19</v>
      </c>
      <c r="N258" s="202">
        <v>-0.65454545454545454</v>
      </c>
    </row>
    <row r="259" spans="1:14" ht="15.75" customHeight="1">
      <c r="A259" s="198" t="s">
        <v>175</v>
      </c>
      <c r="B259" s="199" t="s">
        <v>176</v>
      </c>
      <c r="C259" s="199" t="s">
        <v>161</v>
      </c>
      <c r="D259" s="203" t="s">
        <v>91</v>
      </c>
      <c r="E259" s="216">
        <v>62.4</v>
      </c>
      <c r="F259" s="204">
        <v>55</v>
      </c>
      <c r="G259" s="204">
        <v>41</v>
      </c>
      <c r="H259" s="204">
        <v>36</v>
      </c>
      <c r="I259" s="204">
        <v>18</v>
      </c>
      <c r="J259" s="204">
        <v>15</v>
      </c>
      <c r="K259" s="204">
        <v>16</v>
      </c>
      <c r="L259" s="204">
        <v>38</v>
      </c>
      <c r="M259" s="331">
        <v>24</v>
      </c>
      <c r="N259" s="202">
        <v>-0.61538461538461542</v>
      </c>
    </row>
    <row r="260" spans="1:14">
      <c r="A260" s="198" t="s">
        <v>175</v>
      </c>
      <c r="B260" s="199" t="s">
        <v>176</v>
      </c>
      <c r="C260" s="199" t="s">
        <v>134</v>
      </c>
      <c r="D260" s="200" t="s">
        <v>162</v>
      </c>
      <c r="E260" s="215">
        <v>0.6</v>
      </c>
      <c r="F260" s="201">
        <v>0</v>
      </c>
      <c r="G260" s="201">
        <v>0</v>
      </c>
      <c r="H260" s="201">
        <v>0</v>
      </c>
      <c r="I260" s="201">
        <v>0</v>
      </c>
      <c r="J260" s="201">
        <v>0</v>
      </c>
      <c r="K260" s="201">
        <v>0</v>
      </c>
      <c r="L260" s="201">
        <v>0</v>
      </c>
      <c r="M260" s="330" t="s">
        <v>172</v>
      </c>
      <c r="N260" s="202">
        <v>-1</v>
      </c>
    </row>
    <row r="261" spans="1:14" ht="15.75" customHeight="1">
      <c r="A261" s="198" t="s">
        <v>175</v>
      </c>
      <c r="B261" s="199" t="s">
        <v>176</v>
      </c>
      <c r="C261" s="199" t="s">
        <v>134</v>
      </c>
      <c r="D261" s="200" t="s">
        <v>163</v>
      </c>
      <c r="E261" s="215">
        <v>12.4</v>
      </c>
      <c r="F261" s="201">
        <v>10</v>
      </c>
      <c r="G261" s="201">
        <v>7</v>
      </c>
      <c r="H261" s="201">
        <v>5</v>
      </c>
      <c r="I261" s="201">
        <v>2</v>
      </c>
      <c r="J261" s="201">
        <v>6</v>
      </c>
      <c r="K261" s="201">
        <v>6</v>
      </c>
      <c r="L261" s="201">
        <v>2</v>
      </c>
      <c r="M261" s="330">
        <v>4</v>
      </c>
      <c r="N261" s="202">
        <v>-0.67741935483870974</v>
      </c>
    </row>
    <row r="262" spans="1:14" ht="15.75" customHeight="1">
      <c r="A262" s="198" t="s">
        <v>175</v>
      </c>
      <c r="B262" s="199" t="s">
        <v>176</v>
      </c>
      <c r="C262" s="199" t="s">
        <v>134</v>
      </c>
      <c r="D262" s="200" t="s">
        <v>164</v>
      </c>
      <c r="E262" s="215">
        <v>11.8</v>
      </c>
      <c r="F262" s="201">
        <v>10</v>
      </c>
      <c r="G262" s="201">
        <v>7</v>
      </c>
      <c r="H262" s="201">
        <v>5</v>
      </c>
      <c r="I262" s="201">
        <v>2</v>
      </c>
      <c r="J262" s="201">
        <v>6</v>
      </c>
      <c r="K262" s="201">
        <v>6</v>
      </c>
      <c r="L262" s="201">
        <v>2</v>
      </c>
      <c r="M262" s="330">
        <v>4</v>
      </c>
      <c r="N262" s="202">
        <v>-0.66101694915254239</v>
      </c>
    </row>
    <row r="263" spans="1:14" ht="15.75" customHeight="1">
      <c r="A263" s="198" t="s">
        <v>175</v>
      </c>
      <c r="B263" s="199" t="s">
        <v>176</v>
      </c>
      <c r="C263" s="199" t="s">
        <v>134</v>
      </c>
      <c r="D263" s="200" t="s">
        <v>165</v>
      </c>
      <c r="E263" s="215">
        <v>167.3</v>
      </c>
      <c r="F263" s="201">
        <v>192</v>
      </c>
      <c r="G263" s="201">
        <v>194</v>
      </c>
      <c r="H263" s="201">
        <v>167</v>
      </c>
      <c r="I263" s="201">
        <v>99</v>
      </c>
      <c r="J263" s="201">
        <v>108</v>
      </c>
      <c r="K263" s="201">
        <v>114</v>
      </c>
      <c r="L263" s="201">
        <v>97</v>
      </c>
      <c r="M263" s="330">
        <v>112</v>
      </c>
      <c r="N263" s="202">
        <v>-0.33054393305439334</v>
      </c>
    </row>
    <row r="264" spans="1:14" ht="15.75" customHeight="1">
      <c r="A264" s="198" t="s">
        <v>175</v>
      </c>
      <c r="B264" s="199" t="s">
        <v>176</v>
      </c>
      <c r="C264" s="199" t="s">
        <v>134</v>
      </c>
      <c r="D264" s="203" t="s">
        <v>91</v>
      </c>
      <c r="E264" s="216">
        <v>179.7</v>
      </c>
      <c r="F264" s="204">
        <v>202</v>
      </c>
      <c r="G264" s="204">
        <v>201</v>
      </c>
      <c r="H264" s="204">
        <v>172</v>
      </c>
      <c r="I264" s="204">
        <v>101</v>
      </c>
      <c r="J264" s="204">
        <v>114</v>
      </c>
      <c r="K264" s="204">
        <v>120</v>
      </c>
      <c r="L264" s="204">
        <v>99</v>
      </c>
      <c r="M264" s="331">
        <v>116</v>
      </c>
      <c r="N264" s="202">
        <v>-0.35447968836950466</v>
      </c>
    </row>
    <row r="265" spans="1:14">
      <c r="A265" s="198" t="s">
        <v>175</v>
      </c>
      <c r="B265" s="199" t="s">
        <v>176</v>
      </c>
      <c r="C265" s="199" t="s">
        <v>166</v>
      </c>
      <c r="D265" s="200" t="s">
        <v>162</v>
      </c>
      <c r="E265" s="215">
        <v>0</v>
      </c>
      <c r="F265" s="201">
        <v>0</v>
      </c>
      <c r="G265" s="201">
        <v>0</v>
      </c>
      <c r="H265" s="201">
        <v>0</v>
      </c>
      <c r="I265" s="201">
        <v>0</v>
      </c>
      <c r="J265" s="201">
        <v>0</v>
      </c>
      <c r="K265" s="201">
        <v>0</v>
      </c>
      <c r="L265" s="201">
        <v>0</v>
      </c>
      <c r="M265" s="330" t="s">
        <v>172</v>
      </c>
      <c r="N265" s="202">
        <v>0</v>
      </c>
    </row>
    <row r="266" spans="1:14" ht="15.75" customHeight="1">
      <c r="A266" s="198" t="s">
        <v>175</v>
      </c>
      <c r="B266" s="199" t="s">
        <v>176</v>
      </c>
      <c r="C266" s="199" t="s">
        <v>166</v>
      </c>
      <c r="D266" s="200" t="s">
        <v>163</v>
      </c>
      <c r="E266" s="215">
        <v>0.8</v>
      </c>
      <c r="F266" s="201">
        <v>0</v>
      </c>
      <c r="G266" s="201">
        <v>1</v>
      </c>
      <c r="H266" s="201">
        <v>0</v>
      </c>
      <c r="I266" s="201">
        <v>0</v>
      </c>
      <c r="J266" s="201">
        <v>0</v>
      </c>
      <c r="K266" s="201">
        <v>0</v>
      </c>
      <c r="L266" s="201">
        <v>0</v>
      </c>
      <c r="M266" s="330">
        <v>0</v>
      </c>
      <c r="N266" s="202">
        <v>-1</v>
      </c>
    </row>
    <row r="267" spans="1:14" ht="15.75" customHeight="1">
      <c r="A267" s="198" t="s">
        <v>175</v>
      </c>
      <c r="B267" s="199" t="s">
        <v>176</v>
      </c>
      <c r="C267" s="199" t="s">
        <v>166</v>
      </c>
      <c r="D267" s="200" t="s">
        <v>164</v>
      </c>
      <c r="E267" s="215">
        <v>0.8</v>
      </c>
      <c r="F267" s="201">
        <v>0</v>
      </c>
      <c r="G267" s="201">
        <v>1</v>
      </c>
      <c r="H267" s="201">
        <v>0</v>
      </c>
      <c r="I267" s="201">
        <v>0</v>
      </c>
      <c r="J267" s="201">
        <v>0</v>
      </c>
      <c r="K267" s="201">
        <v>0</v>
      </c>
      <c r="L267" s="201">
        <v>0</v>
      </c>
      <c r="M267" s="330" t="s">
        <v>172</v>
      </c>
      <c r="N267" s="202">
        <v>-1</v>
      </c>
    </row>
    <row r="268" spans="1:14" ht="15.75" customHeight="1">
      <c r="A268" s="198" t="s">
        <v>175</v>
      </c>
      <c r="B268" s="199" t="s">
        <v>176</v>
      </c>
      <c r="C268" s="199" t="s">
        <v>166</v>
      </c>
      <c r="D268" s="200" t="s">
        <v>165</v>
      </c>
      <c r="E268" s="215">
        <v>13.6</v>
      </c>
      <c r="F268" s="201">
        <v>13</v>
      </c>
      <c r="G268" s="201">
        <v>15</v>
      </c>
      <c r="H268" s="201">
        <v>16</v>
      </c>
      <c r="I268" s="201">
        <v>10</v>
      </c>
      <c r="J268" s="201">
        <v>13</v>
      </c>
      <c r="K268" s="201">
        <v>11</v>
      </c>
      <c r="L268" s="201">
        <v>8</v>
      </c>
      <c r="M268" s="330">
        <v>8</v>
      </c>
      <c r="N268" s="202">
        <v>-0.41176470588235292</v>
      </c>
    </row>
    <row r="269" spans="1:14" ht="15.75" customHeight="1">
      <c r="A269" s="198" t="s">
        <v>175</v>
      </c>
      <c r="B269" s="199" t="s">
        <v>176</v>
      </c>
      <c r="C269" s="199" t="s">
        <v>166</v>
      </c>
      <c r="D269" s="203" t="s">
        <v>91</v>
      </c>
      <c r="E269" s="216">
        <v>14.4</v>
      </c>
      <c r="F269" s="204">
        <v>13</v>
      </c>
      <c r="G269" s="204">
        <v>16</v>
      </c>
      <c r="H269" s="204">
        <v>16</v>
      </c>
      <c r="I269" s="204">
        <v>10</v>
      </c>
      <c r="J269" s="204">
        <v>13</v>
      </c>
      <c r="K269" s="204">
        <v>11</v>
      </c>
      <c r="L269" s="204">
        <v>8</v>
      </c>
      <c r="M269" s="331">
        <v>8</v>
      </c>
      <c r="N269" s="202">
        <v>-0.44444444444444448</v>
      </c>
    </row>
    <row r="270" spans="1:14">
      <c r="A270" s="198" t="s">
        <v>175</v>
      </c>
      <c r="B270" s="199" t="s">
        <v>176</v>
      </c>
      <c r="C270" s="199" t="s">
        <v>133</v>
      </c>
      <c r="D270" s="200" t="s">
        <v>162</v>
      </c>
      <c r="E270" s="215">
        <v>0.6</v>
      </c>
      <c r="F270" s="201">
        <v>0</v>
      </c>
      <c r="G270" s="201">
        <v>1</v>
      </c>
      <c r="H270" s="201">
        <v>0</v>
      </c>
      <c r="I270" s="201">
        <v>1</v>
      </c>
      <c r="J270" s="201">
        <v>0</v>
      </c>
      <c r="K270" s="201">
        <v>1</v>
      </c>
      <c r="L270" s="201">
        <v>2</v>
      </c>
      <c r="M270" s="330" t="s">
        <v>172</v>
      </c>
      <c r="N270" s="202">
        <v>-1</v>
      </c>
    </row>
    <row r="271" spans="1:14" ht="15.75" customHeight="1">
      <c r="A271" s="198" t="s">
        <v>175</v>
      </c>
      <c r="B271" s="199" t="s">
        <v>176</v>
      </c>
      <c r="C271" s="199" t="s">
        <v>133</v>
      </c>
      <c r="D271" s="200" t="s">
        <v>163</v>
      </c>
      <c r="E271" s="215">
        <v>40.200000000000003</v>
      </c>
      <c r="F271" s="201">
        <v>35</v>
      </c>
      <c r="G271" s="201">
        <v>40</v>
      </c>
      <c r="H271" s="201">
        <v>24</v>
      </c>
      <c r="I271" s="201">
        <v>20</v>
      </c>
      <c r="J271" s="201">
        <v>17</v>
      </c>
      <c r="K271" s="201">
        <v>27</v>
      </c>
      <c r="L271" s="201">
        <v>20</v>
      </c>
      <c r="M271" s="330">
        <v>15</v>
      </c>
      <c r="N271" s="202">
        <v>-0.62686567164179108</v>
      </c>
    </row>
    <row r="272" spans="1:14" ht="15.75" customHeight="1">
      <c r="A272" s="198" t="s">
        <v>175</v>
      </c>
      <c r="B272" s="199" t="s">
        <v>176</v>
      </c>
      <c r="C272" s="199" t="s">
        <v>133</v>
      </c>
      <c r="D272" s="200" t="s">
        <v>164</v>
      </c>
      <c r="E272" s="215">
        <v>39.6</v>
      </c>
      <c r="F272" s="201">
        <v>35</v>
      </c>
      <c r="G272" s="201">
        <v>39</v>
      </c>
      <c r="H272" s="201">
        <v>24</v>
      </c>
      <c r="I272" s="201">
        <v>19</v>
      </c>
      <c r="J272" s="201">
        <v>17</v>
      </c>
      <c r="K272" s="201">
        <v>26</v>
      </c>
      <c r="L272" s="201">
        <v>18</v>
      </c>
      <c r="M272" s="330">
        <v>15</v>
      </c>
      <c r="N272" s="202">
        <v>-0.62121212121212122</v>
      </c>
    </row>
    <row r="273" spans="1:14" ht="15.75" customHeight="1">
      <c r="A273" s="198" t="s">
        <v>175</v>
      </c>
      <c r="B273" s="199" t="s">
        <v>176</v>
      </c>
      <c r="C273" s="199" t="s">
        <v>133</v>
      </c>
      <c r="D273" s="200" t="s">
        <v>165</v>
      </c>
      <c r="E273" s="215">
        <v>155.19999999999999</v>
      </c>
      <c r="F273" s="201">
        <v>184</v>
      </c>
      <c r="G273" s="201">
        <v>178</v>
      </c>
      <c r="H273" s="201">
        <v>203</v>
      </c>
      <c r="I273" s="201">
        <v>139</v>
      </c>
      <c r="J273" s="201">
        <v>165</v>
      </c>
      <c r="K273" s="201">
        <v>187</v>
      </c>
      <c r="L273" s="201">
        <v>174</v>
      </c>
      <c r="M273" s="330">
        <v>141</v>
      </c>
      <c r="N273" s="202">
        <v>-9.1494845360824681E-2</v>
      </c>
    </row>
    <row r="274" spans="1:14" ht="15.75" customHeight="1">
      <c r="A274" s="198" t="s">
        <v>175</v>
      </c>
      <c r="B274" s="199" t="s">
        <v>176</v>
      </c>
      <c r="C274" s="199" t="s">
        <v>133</v>
      </c>
      <c r="D274" s="203" t="s">
        <v>91</v>
      </c>
      <c r="E274" s="216">
        <v>195.4</v>
      </c>
      <c r="F274" s="204">
        <v>219</v>
      </c>
      <c r="G274" s="204">
        <v>218</v>
      </c>
      <c r="H274" s="204">
        <v>227</v>
      </c>
      <c r="I274" s="204">
        <v>159</v>
      </c>
      <c r="J274" s="204">
        <v>182</v>
      </c>
      <c r="K274" s="204">
        <v>214</v>
      </c>
      <c r="L274" s="204">
        <v>194</v>
      </c>
      <c r="M274" s="331">
        <v>156</v>
      </c>
      <c r="N274" s="202">
        <v>-0.20163766632548621</v>
      </c>
    </row>
    <row r="275" spans="1:14" ht="15.75" customHeight="1">
      <c r="A275" s="198" t="s">
        <v>175</v>
      </c>
      <c r="B275" s="199" t="s">
        <v>176</v>
      </c>
      <c r="C275" s="199" t="s">
        <v>167</v>
      </c>
      <c r="D275" s="200" t="s">
        <v>162</v>
      </c>
      <c r="E275" s="215">
        <v>0</v>
      </c>
      <c r="F275" s="201">
        <v>0</v>
      </c>
      <c r="G275" s="201">
        <v>0</v>
      </c>
      <c r="H275" s="201">
        <v>0</v>
      </c>
      <c r="I275" s="201">
        <v>0</v>
      </c>
      <c r="J275" s="201">
        <v>0</v>
      </c>
      <c r="K275" s="201">
        <v>0</v>
      </c>
      <c r="L275" s="201">
        <v>0</v>
      </c>
      <c r="M275" s="330" t="s">
        <v>172</v>
      </c>
      <c r="N275" s="202">
        <v>0</v>
      </c>
    </row>
    <row r="276" spans="1:14" ht="15.75" customHeight="1">
      <c r="A276" s="198" t="s">
        <v>175</v>
      </c>
      <c r="B276" s="199" t="s">
        <v>176</v>
      </c>
      <c r="C276" s="199" t="s">
        <v>167</v>
      </c>
      <c r="D276" s="200" t="s">
        <v>163</v>
      </c>
      <c r="E276" s="215">
        <v>0.2</v>
      </c>
      <c r="F276" s="201">
        <v>1</v>
      </c>
      <c r="G276" s="201">
        <v>0</v>
      </c>
      <c r="H276" s="201">
        <v>2</v>
      </c>
      <c r="I276" s="201">
        <v>6</v>
      </c>
      <c r="J276" s="201">
        <v>4</v>
      </c>
      <c r="K276" s="201">
        <v>3</v>
      </c>
      <c r="L276" s="201">
        <v>4</v>
      </c>
      <c r="M276" s="330">
        <v>3</v>
      </c>
      <c r="N276" s="202">
        <v>13.999999999999998</v>
      </c>
    </row>
    <row r="277" spans="1:14" ht="15.75" customHeight="1">
      <c r="A277" s="198" t="s">
        <v>175</v>
      </c>
      <c r="B277" s="199" t="s">
        <v>176</v>
      </c>
      <c r="C277" s="199" t="s">
        <v>167</v>
      </c>
      <c r="D277" s="200" t="s">
        <v>164</v>
      </c>
      <c r="E277" s="215">
        <v>0.2</v>
      </c>
      <c r="F277" s="201">
        <v>1</v>
      </c>
      <c r="G277" s="201">
        <v>0</v>
      </c>
      <c r="H277" s="201">
        <v>2</v>
      </c>
      <c r="I277" s="201">
        <v>6</v>
      </c>
      <c r="J277" s="201">
        <v>4</v>
      </c>
      <c r="K277" s="201">
        <v>3</v>
      </c>
      <c r="L277" s="201">
        <v>4</v>
      </c>
      <c r="M277" s="330">
        <v>3</v>
      </c>
      <c r="N277" s="202">
        <v>13.999999999999998</v>
      </c>
    </row>
    <row r="278" spans="1:14" ht="15.75" customHeight="1">
      <c r="A278" s="198" t="s">
        <v>175</v>
      </c>
      <c r="B278" s="199" t="s">
        <v>176</v>
      </c>
      <c r="C278" s="199" t="s">
        <v>167</v>
      </c>
      <c r="D278" s="200" t="s">
        <v>165</v>
      </c>
      <c r="E278" s="215">
        <v>3.3</v>
      </c>
      <c r="F278" s="201">
        <v>8</v>
      </c>
      <c r="G278" s="201">
        <v>0</v>
      </c>
      <c r="H278" s="201">
        <v>1</v>
      </c>
      <c r="I278" s="201">
        <v>6</v>
      </c>
      <c r="J278" s="201">
        <v>13</v>
      </c>
      <c r="K278" s="201">
        <v>17</v>
      </c>
      <c r="L278" s="201">
        <v>16</v>
      </c>
      <c r="M278" s="330">
        <v>8</v>
      </c>
      <c r="N278" s="202">
        <v>1.4242424242424243</v>
      </c>
    </row>
    <row r="279" spans="1:14" ht="15.75" customHeight="1">
      <c r="A279" s="198" t="s">
        <v>175</v>
      </c>
      <c r="B279" s="199" t="s">
        <v>176</v>
      </c>
      <c r="C279" s="199" t="s">
        <v>167</v>
      </c>
      <c r="D279" s="203" t="s">
        <v>91</v>
      </c>
      <c r="E279" s="216">
        <v>3.5</v>
      </c>
      <c r="F279" s="204">
        <v>9</v>
      </c>
      <c r="G279" s="204">
        <v>0</v>
      </c>
      <c r="H279" s="204">
        <v>3</v>
      </c>
      <c r="I279" s="204">
        <v>12</v>
      </c>
      <c r="J279" s="204">
        <v>17</v>
      </c>
      <c r="K279" s="204">
        <v>20</v>
      </c>
      <c r="L279" s="204">
        <v>20</v>
      </c>
      <c r="M279" s="331">
        <v>11</v>
      </c>
      <c r="N279" s="202">
        <v>2.1428571428571428</v>
      </c>
    </row>
    <row r="280" spans="1:14" ht="15.75" customHeight="1">
      <c r="A280" s="198" t="s">
        <v>175</v>
      </c>
      <c r="B280" s="199" t="s">
        <v>176</v>
      </c>
      <c r="C280" s="199" t="s">
        <v>168</v>
      </c>
      <c r="D280" s="200" t="s">
        <v>162</v>
      </c>
      <c r="E280" s="215">
        <v>1</v>
      </c>
      <c r="F280" s="201">
        <v>0</v>
      </c>
      <c r="G280" s="201">
        <v>1</v>
      </c>
      <c r="H280" s="201">
        <v>1</v>
      </c>
      <c r="I280" s="201">
        <v>1</v>
      </c>
      <c r="J280" s="201">
        <v>1</v>
      </c>
      <c r="K280" s="201">
        <v>1</v>
      </c>
      <c r="L280" s="201">
        <v>1</v>
      </c>
      <c r="M280" s="330" t="s">
        <v>172</v>
      </c>
      <c r="N280" s="202">
        <v>-1</v>
      </c>
    </row>
    <row r="281" spans="1:14" ht="15.75" customHeight="1">
      <c r="A281" s="198" t="s">
        <v>175</v>
      </c>
      <c r="B281" s="199" t="s">
        <v>176</v>
      </c>
      <c r="C281" s="199" t="s">
        <v>168</v>
      </c>
      <c r="D281" s="200" t="s">
        <v>163</v>
      </c>
      <c r="E281" s="215">
        <v>51</v>
      </c>
      <c r="F281" s="201">
        <v>31</v>
      </c>
      <c r="G281" s="201">
        <v>38</v>
      </c>
      <c r="H281" s="201">
        <v>44</v>
      </c>
      <c r="I281" s="201">
        <v>39</v>
      </c>
      <c r="J281" s="201">
        <v>47</v>
      </c>
      <c r="K281" s="201">
        <v>44</v>
      </c>
      <c r="L281" s="201">
        <v>34</v>
      </c>
      <c r="M281" s="330">
        <v>34</v>
      </c>
      <c r="N281" s="202">
        <v>-0.33333333333333331</v>
      </c>
    </row>
    <row r="282" spans="1:14" ht="15.75" customHeight="1">
      <c r="A282" s="198" t="s">
        <v>175</v>
      </c>
      <c r="B282" s="199" t="s">
        <v>176</v>
      </c>
      <c r="C282" s="199" t="s">
        <v>168</v>
      </c>
      <c r="D282" s="200" t="s">
        <v>164</v>
      </c>
      <c r="E282" s="215">
        <v>50</v>
      </c>
      <c r="F282" s="201">
        <v>31</v>
      </c>
      <c r="G282" s="201">
        <v>37</v>
      </c>
      <c r="H282" s="201">
        <v>43</v>
      </c>
      <c r="I282" s="201">
        <v>38</v>
      </c>
      <c r="J282" s="201">
        <v>46</v>
      </c>
      <c r="K282" s="201">
        <v>43</v>
      </c>
      <c r="L282" s="201">
        <v>33</v>
      </c>
      <c r="M282" s="330">
        <v>34</v>
      </c>
      <c r="N282" s="202">
        <v>-0.32</v>
      </c>
    </row>
    <row r="283" spans="1:14" ht="15.75" customHeight="1">
      <c r="A283" s="198" t="s">
        <v>175</v>
      </c>
      <c r="B283" s="199" t="s">
        <v>176</v>
      </c>
      <c r="C283" s="199" t="s">
        <v>168</v>
      </c>
      <c r="D283" s="200" t="s">
        <v>165</v>
      </c>
      <c r="E283" s="215">
        <v>225.3</v>
      </c>
      <c r="F283" s="201">
        <v>219</v>
      </c>
      <c r="G283" s="201">
        <v>220</v>
      </c>
      <c r="H283" s="201">
        <v>203</v>
      </c>
      <c r="I283" s="201">
        <v>174</v>
      </c>
      <c r="J283" s="201">
        <v>218</v>
      </c>
      <c r="K283" s="201">
        <v>208</v>
      </c>
      <c r="L283" s="201">
        <v>195</v>
      </c>
      <c r="M283" s="330">
        <v>195</v>
      </c>
      <c r="N283" s="202">
        <v>-0.13448735019973374</v>
      </c>
    </row>
    <row r="284" spans="1:14" ht="15.75" customHeight="1">
      <c r="A284" s="198" t="s">
        <v>175</v>
      </c>
      <c r="B284" s="199" t="s">
        <v>176</v>
      </c>
      <c r="C284" s="199" t="s">
        <v>168</v>
      </c>
      <c r="D284" s="203" t="s">
        <v>91</v>
      </c>
      <c r="E284" s="216">
        <v>276.3</v>
      </c>
      <c r="F284" s="204">
        <v>250</v>
      </c>
      <c r="G284" s="204">
        <v>258</v>
      </c>
      <c r="H284" s="204">
        <v>247</v>
      </c>
      <c r="I284" s="204">
        <v>213</v>
      </c>
      <c r="J284" s="204">
        <v>265</v>
      </c>
      <c r="K284" s="204">
        <v>252</v>
      </c>
      <c r="L284" s="204">
        <v>229</v>
      </c>
      <c r="M284" s="331">
        <v>229</v>
      </c>
      <c r="N284" s="202">
        <v>-0.17119073470865004</v>
      </c>
    </row>
    <row r="285" spans="1:14" ht="15.75" customHeight="1">
      <c r="A285" s="198" t="s">
        <v>175</v>
      </c>
      <c r="B285" s="199" t="s">
        <v>176</v>
      </c>
      <c r="C285" s="199" t="s">
        <v>131</v>
      </c>
      <c r="D285" s="200" t="s">
        <v>162</v>
      </c>
      <c r="E285" s="215">
        <v>2.8</v>
      </c>
      <c r="F285" s="201">
        <v>4</v>
      </c>
      <c r="G285" s="201">
        <v>3</v>
      </c>
      <c r="H285" s="201">
        <v>3</v>
      </c>
      <c r="I285" s="201">
        <v>1</v>
      </c>
      <c r="J285" s="201">
        <v>1</v>
      </c>
      <c r="K285" s="201">
        <v>0</v>
      </c>
      <c r="L285" s="201">
        <v>1</v>
      </c>
      <c r="M285" s="330" t="s">
        <v>172</v>
      </c>
      <c r="N285" s="202">
        <v>-1</v>
      </c>
    </row>
    <row r="286" spans="1:14" ht="15.75" customHeight="1">
      <c r="A286" s="198" t="s">
        <v>175</v>
      </c>
      <c r="B286" s="199" t="s">
        <v>176</v>
      </c>
      <c r="C286" s="199" t="s">
        <v>131</v>
      </c>
      <c r="D286" s="200" t="s">
        <v>163</v>
      </c>
      <c r="E286" s="215">
        <v>68.099999999999994</v>
      </c>
      <c r="F286" s="201">
        <v>59</v>
      </c>
      <c r="G286" s="201">
        <v>61</v>
      </c>
      <c r="H286" s="201">
        <v>64</v>
      </c>
      <c r="I286" s="201">
        <v>30</v>
      </c>
      <c r="J286" s="201">
        <v>41</v>
      </c>
      <c r="K286" s="201">
        <v>37</v>
      </c>
      <c r="L286" s="201">
        <v>51</v>
      </c>
      <c r="M286" s="330">
        <v>39</v>
      </c>
      <c r="N286" s="202">
        <v>-0.42731277533039641</v>
      </c>
    </row>
    <row r="287" spans="1:14" ht="15.75" customHeight="1">
      <c r="A287" s="198" t="s">
        <v>175</v>
      </c>
      <c r="B287" s="199" t="s">
        <v>176</v>
      </c>
      <c r="C287" s="199" t="s">
        <v>131</v>
      </c>
      <c r="D287" s="200" t="s">
        <v>164</v>
      </c>
      <c r="E287" s="215">
        <v>65.3</v>
      </c>
      <c r="F287" s="201">
        <v>55</v>
      </c>
      <c r="G287" s="201">
        <v>58</v>
      </c>
      <c r="H287" s="201">
        <v>61</v>
      </c>
      <c r="I287" s="201">
        <v>29</v>
      </c>
      <c r="J287" s="201">
        <v>40</v>
      </c>
      <c r="K287" s="201">
        <v>37</v>
      </c>
      <c r="L287" s="201">
        <v>50</v>
      </c>
      <c r="M287" s="330">
        <v>39</v>
      </c>
      <c r="N287" s="202">
        <v>-0.40275650842266458</v>
      </c>
    </row>
    <row r="288" spans="1:14" ht="15.75" customHeight="1">
      <c r="A288" s="198" t="s">
        <v>175</v>
      </c>
      <c r="B288" s="199" t="s">
        <v>176</v>
      </c>
      <c r="C288" s="199" t="s">
        <v>131</v>
      </c>
      <c r="D288" s="200" t="s">
        <v>165</v>
      </c>
      <c r="E288" s="215">
        <v>180.5</v>
      </c>
      <c r="F288" s="201">
        <v>229</v>
      </c>
      <c r="G288" s="201">
        <v>187</v>
      </c>
      <c r="H288" s="201">
        <v>195</v>
      </c>
      <c r="I288" s="201">
        <v>98</v>
      </c>
      <c r="J288" s="201">
        <v>95</v>
      </c>
      <c r="K288" s="201">
        <v>131</v>
      </c>
      <c r="L288" s="201">
        <v>128</v>
      </c>
      <c r="M288" s="330">
        <v>128</v>
      </c>
      <c r="N288" s="202">
        <v>-0.29085872576177285</v>
      </c>
    </row>
    <row r="289" spans="1:14" ht="15.75" customHeight="1">
      <c r="A289" s="198" t="s">
        <v>175</v>
      </c>
      <c r="B289" s="199" t="s">
        <v>176</v>
      </c>
      <c r="C289" s="199" t="s">
        <v>131</v>
      </c>
      <c r="D289" s="203" t="s">
        <v>91</v>
      </c>
      <c r="E289" s="216">
        <v>248.6</v>
      </c>
      <c r="F289" s="204">
        <v>288</v>
      </c>
      <c r="G289" s="204">
        <v>248</v>
      </c>
      <c r="H289" s="204">
        <v>259</v>
      </c>
      <c r="I289" s="204">
        <v>128</v>
      </c>
      <c r="J289" s="204">
        <v>136</v>
      </c>
      <c r="K289" s="204">
        <v>168</v>
      </c>
      <c r="L289" s="204">
        <v>179</v>
      </c>
      <c r="M289" s="331">
        <v>167</v>
      </c>
      <c r="N289" s="202">
        <v>-0.32823813354786807</v>
      </c>
    </row>
    <row r="290" spans="1:14" ht="15.75" customHeight="1">
      <c r="A290" s="198" t="s">
        <v>175</v>
      </c>
      <c r="B290" s="199" t="s">
        <v>176</v>
      </c>
      <c r="C290" s="199" t="s">
        <v>169</v>
      </c>
      <c r="D290" s="200" t="s">
        <v>162</v>
      </c>
      <c r="E290" s="215">
        <v>0</v>
      </c>
      <c r="F290" s="201">
        <v>0</v>
      </c>
      <c r="G290" s="201">
        <v>0</v>
      </c>
      <c r="H290" s="201">
        <v>0</v>
      </c>
      <c r="I290" s="201">
        <v>0</v>
      </c>
      <c r="J290" s="201">
        <v>0</v>
      </c>
      <c r="K290" s="201">
        <v>0</v>
      </c>
      <c r="L290" s="201">
        <v>0</v>
      </c>
      <c r="M290" s="330" t="s">
        <v>172</v>
      </c>
      <c r="N290" s="202">
        <v>0</v>
      </c>
    </row>
    <row r="291" spans="1:14" ht="15.75" customHeight="1">
      <c r="A291" s="198" t="s">
        <v>175</v>
      </c>
      <c r="B291" s="199" t="s">
        <v>176</v>
      </c>
      <c r="C291" s="199" t="s">
        <v>169</v>
      </c>
      <c r="D291" s="200" t="s">
        <v>163</v>
      </c>
      <c r="E291" s="215">
        <v>0</v>
      </c>
      <c r="F291" s="201">
        <v>1</v>
      </c>
      <c r="G291" s="201">
        <v>0</v>
      </c>
      <c r="H291" s="201">
        <v>0</v>
      </c>
      <c r="I291" s="201">
        <v>0</v>
      </c>
      <c r="J291" s="201">
        <v>0</v>
      </c>
      <c r="K291" s="201">
        <v>0</v>
      </c>
      <c r="L291" s="201">
        <v>2</v>
      </c>
      <c r="M291" s="330">
        <v>1</v>
      </c>
      <c r="N291" s="202">
        <v>0</v>
      </c>
    </row>
    <row r="292" spans="1:14" ht="15.75" customHeight="1">
      <c r="A292" s="198" t="s">
        <v>175</v>
      </c>
      <c r="B292" s="199" t="s">
        <v>176</v>
      </c>
      <c r="C292" s="199" t="s">
        <v>169</v>
      </c>
      <c r="D292" s="200" t="s">
        <v>164</v>
      </c>
      <c r="E292" s="215">
        <v>0</v>
      </c>
      <c r="F292" s="201">
        <v>1</v>
      </c>
      <c r="G292" s="201">
        <v>0</v>
      </c>
      <c r="H292" s="201">
        <v>0</v>
      </c>
      <c r="I292" s="201">
        <v>0</v>
      </c>
      <c r="J292" s="201">
        <v>0</v>
      </c>
      <c r="K292" s="201">
        <v>0</v>
      </c>
      <c r="L292" s="201">
        <v>2</v>
      </c>
      <c r="M292" s="330">
        <v>1</v>
      </c>
      <c r="N292" s="202">
        <v>0</v>
      </c>
    </row>
    <row r="293" spans="1:14" ht="15.75" customHeight="1">
      <c r="A293" s="198" t="s">
        <v>175</v>
      </c>
      <c r="B293" s="199" t="s">
        <v>176</v>
      </c>
      <c r="C293" s="199" t="s">
        <v>169</v>
      </c>
      <c r="D293" s="200" t="s">
        <v>165</v>
      </c>
      <c r="E293" s="215">
        <v>0</v>
      </c>
      <c r="F293" s="201">
        <v>31</v>
      </c>
      <c r="G293" s="201">
        <v>23</v>
      </c>
      <c r="H293" s="201">
        <v>24</v>
      </c>
      <c r="I293" s="201">
        <v>6</v>
      </c>
      <c r="J293" s="201">
        <v>10</v>
      </c>
      <c r="K293" s="201">
        <v>14</v>
      </c>
      <c r="L293" s="201">
        <v>5</v>
      </c>
      <c r="M293" s="330">
        <v>3</v>
      </c>
      <c r="N293" s="202">
        <v>0</v>
      </c>
    </row>
    <row r="294" spans="1:14" ht="15.75" customHeight="1">
      <c r="A294" s="198" t="s">
        <v>175</v>
      </c>
      <c r="B294" s="199" t="s">
        <v>176</v>
      </c>
      <c r="C294" s="199" t="s">
        <v>169</v>
      </c>
      <c r="D294" s="203" t="s">
        <v>91</v>
      </c>
      <c r="E294" s="216">
        <v>0</v>
      </c>
      <c r="F294" s="204">
        <v>32</v>
      </c>
      <c r="G294" s="204">
        <v>23</v>
      </c>
      <c r="H294" s="204">
        <v>24</v>
      </c>
      <c r="I294" s="204">
        <v>6</v>
      </c>
      <c r="J294" s="204">
        <v>10</v>
      </c>
      <c r="K294" s="204">
        <v>14</v>
      </c>
      <c r="L294" s="204">
        <v>7</v>
      </c>
      <c r="M294" s="331">
        <v>4</v>
      </c>
      <c r="N294" s="202">
        <v>0</v>
      </c>
    </row>
    <row r="295" spans="1:14" ht="15.75" customHeight="1">
      <c r="A295" s="198" t="s">
        <v>175</v>
      </c>
      <c r="B295" s="199" t="s">
        <v>176</v>
      </c>
      <c r="C295" s="199" t="s">
        <v>139</v>
      </c>
      <c r="D295" s="200" t="s">
        <v>162</v>
      </c>
      <c r="E295" s="215">
        <v>0.2</v>
      </c>
      <c r="F295" s="201">
        <v>0</v>
      </c>
      <c r="G295" s="201">
        <v>0</v>
      </c>
      <c r="H295" s="201">
        <v>0</v>
      </c>
      <c r="I295" s="201">
        <v>0</v>
      </c>
      <c r="J295" s="201">
        <v>0</v>
      </c>
      <c r="K295" s="201">
        <v>0</v>
      </c>
      <c r="L295" s="201">
        <v>0</v>
      </c>
      <c r="M295" s="330" t="s">
        <v>172</v>
      </c>
      <c r="N295" s="202">
        <v>-1</v>
      </c>
    </row>
    <row r="296" spans="1:14" ht="15.75" customHeight="1">
      <c r="A296" s="198" t="s">
        <v>175</v>
      </c>
      <c r="B296" s="199" t="s">
        <v>176</v>
      </c>
      <c r="C296" s="199" t="s">
        <v>139</v>
      </c>
      <c r="D296" s="200" t="s">
        <v>163</v>
      </c>
      <c r="E296" s="215">
        <v>1.9</v>
      </c>
      <c r="F296" s="201">
        <v>2</v>
      </c>
      <c r="G296" s="201">
        <v>2</v>
      </c>
      <c r="H296" s="201">
        <v>0</v>
      </c>
      <c r="I296" s="201">
        <v>0</v>
      </c>
      <c r="J296" s="201">
        <v>0</v>
      </c>
      <c r="K296" s="201">
        <v>0</v>
      </c>
      <c r="L296" s="201">
        <v>0</v>
      </c>
      <c r="M296" s="330">
        <v>2</v>
      </c>
      <c r="N296" s="202">
        <v>5.2631578947368474E-2</v>
      </c>
    </row>
    <row r="297" spans="1:14" ht="15.75" customHeight="1">
      <c r="A297" s="198" t="s">
        <v>175</v>
      </c>
      <c r="B297" s="199" t="s">
        <v>176</v>
      </c>
      <c r="C297" s="199" t="s">
        <v>139</v>
      </c>
      <c r="D297" s="200" t="s">
        <v>164</v>
      </c>
      <c r="E297" s="215">
        <v>1.7</v>
      </c>
      <c r="F297" s="201">
        <v>2</v>
      </c>
      <c r="G297" s="201">
        <v>2</v>
      </c>
      <c r="H297" s="201">
        <v>0</v>
      </c>
      <c r="I297" s="201">
        <v>0</v>
      </c>
      <c r="J297" s="201">
        <v>0</v>
      </c>
      <c r="K297" s="201">
        <v>0</v>
      </c>
      <c r="L297" s="201">
        <v>0</v>
      </c>
      <c r="M297" s="330">
        <v>2</v>
      </c>
      <c r="N297" s="202">
        <v>0.17647058823529416</v>
      </c>
    </row>
    <row r="298" spans="1:14" ht="15.75" customHeight="1">
      <c r="A298" s="198" t="s">
        <v>175</v>
      </c>
      <c r="B298" s="199" t="s">
        <v>176</v>
      </c>
      <c r="C298" s="199" t="s">
        <v>139</v>
      </c>
      <c r="D298" s="200" t="s">
        <v>165</v>
      </c>
      <c r="E298" s="215">
        <v>29.3</v>
      </c>
      <c r="F298" s="201">
        <v>13</v>
      </c>
      <c r="G298" s="201">
        <v>17</v>
      </c>
      <c r="H298" s="201">
        <v>22</v>
      </c>
      <c r="I298" s="201">
        <v>15</v>
      </c>
      <c r="J298" s="201">
        <v>15</v>
      </c>
      <c r="K298" s="201">
        <v>9</v>
      </c>
      <c r="L298" s="201">
        <v>11</v>
      </c>
      <c r="M298" s="330">
        <v>8</v>
      </c>
      <c r="N298" s="202">
        <v>-0.726962457337884</v>
      </c>
    </row>
    <row r="299" spans="1:14" ht="15.75" customHeight="1">
      <c r="A299" s="198" t="s">
        <v>175</v>
      </c>
      <c r="B299" s="199" t="s">
        <v>176</v>
      </c>
      <c r="C299" s="199" t="s">
        <v>139</v>
      </c>
      <c r="D299" s="203" t="s">
        <v>91</v>
      </c>
      <c r="E299" s="216">
        <v>31.2</v>
      </c>
      <c r="F299" s="204">
        <v>15</v>
      </c>
      <c r="G299" s="204">
        <v>19</v>
      </c>
      <c r="H299" s="204">
        <v>22</v>
      </c>
      <c r="I299" s="204">
        <v>15</v>
      </c>
      <c r="J299" s="204">
        <v>15</v>
      </c>
      <c r="K299" s="204">
        <v>9</v>
      </c>
      <c r="L299" s="204">
        <v>11</v>
      </c>
      <c r="M299" s="331">
        <v>10</v>
      </c>
      <c r="N299" s="202">
        <v>-0.67948717948717952</v>
      </c>
    </row>
    <row r="300" spans="1:14" ht="15.75" customHeight="1">
      <c r="A300" s="198" t="s">
        <v>175</v>
      </c>
      <c r="B300" s="199" t="s">
        <v>176</v>
      </c>
      <c r="C300" s="205" t="s">
        <v>91</v>
      </c>
      <c r="D300" s="203" t="s">
        <v>162</v>
      </c>
      <c r="E300" s="216">
        <v>5.2</v>
      </c>
      <c r="F300" s="204">
        <v>4</v>
      </c>
      <c r="G300" s="204">
        <v>5</v>
      </c>
      <c r="H300" s="204">
        <v>4</v>
      </c>
      <c r="I300" s="204">
        <v>4</v>
      </c>
      <c r="J300" s="204">
        <v>2</v>
      </c>
      <c r="K300" s="204">
        <v>3</v>
      </c>
      <c r="L300" s="204">
        <v>4</v>
      </c>
      <c r="M300" s="331">
        <v>1</v>
      </c>
      <c r="N300" s="202">
        <v>-0.80769230769230771</v>
      </c>
    </row>
    <row r="301" spans="1:14" ht="15.75" customHeight="1">
      <c r="A301" s="198" t="s">
        <v>175</v>
      </c>
      <c r="B301" s="199" t="s">
        <v>200</v>
      </c>
      <c r="C301" s="205" t="s">
        <v>91</v>
      </c>
      <c r="D301" s="203" t="s">
        <v>163</v>
      </c>
      <c r="E301" s="216">
        <v>186.9</v>
      </c>
      <c r="F301" s="204">
        <v>187</v>
      </c>
      <c r="G301" s="204">
        <v>163</v>
      </c>
      <c r="H301" s="204">
        <v>160</v>
      </c>
      <c r="I301" s="204">
        <v>115</v>
      </c>
      <c r="J301" s="204">
        <v>161</v>
      </c>
      <c r="K301" s="204">
        <v>169</v>
      </c>
      <c r="L301" s="204">
        <v>158</v>
      </c>
      <c r="M301" s="331">
        <v>154</v>
      </c>
      <c r="N301" s="202">
        <v>-0.17602996254681649</v>
      </c>
    </row>
    <row r="302" spans="1:14" ht="15.75" customHeight="1">
      <c r="A302" s="198" t="s">
        <v>175</v>
      </c>
      <c r="B302" s="199" t="s">
        <v>176</v>
      </c>
      <c r="C302" s="205" t="s">
        <v>91</v>
      </c>
      <c r="D302" s="203" t="s">
        <v>164</v>
      </c>
      <c r="E302" s="216">
        <v>176.8</v>
      </c>
      <c r="F302" s="204">
        <v>140</v>
      </c>
      <c r="G302" s="204">
        <v>147</v>
      </c>
      <c r="H302" s="204">
        <v>137</v>
      </c>
      <c r="I302" s="204">
        <v>98</v>
      </c>
      <c r="J302" s="204">
        <v>115</v>
      </c>
      <c r="K302" s="204">
        <v>116</v>
      </c>
      <c r="L302" s="204">
        <v>112</v>
      </c>
      <c r="M302" s="331">
        <v>102</v>
      </c>
      <c r="N302" s="202">
        <v>-0.42307692307692313</v>
      </c>
    </row>
    <row r="303" spans="1:14" ht="15.75" customHeight="1">
      <c r="A303" s="198" t="s">
        <v>175</v>
      </c>
      <c r="B303" s="199" t="s">
        <v>176</v>
      </c>
      <c r="C303" s="205" t="s">
        <v>91</v>
      </c>
      <c r="D303" s="203" t="s">
        <v>165</v>
      </c>
      <c r="E303" s="216">
        <v>829.5</v>
      </c>
      <c r="F303" s="204">
        <v>939</v>
      </c>
      <c r="G303" s="204">
        <v>872</v>
      </c>
      <c r="H303" s="204">
        <v>865</v>
      </c>
      <c r="I303" s="204">
        <v>560</v>
      </c>
      <c r="J303" s="204">
        <v>650</v>
      </c>
      <c r="K303" s="204">
        <v>705</v>
      </c>
      <c r="L303" s="204">
        <v>669</v>
      </c>
      <c r="M303" s="331">
        <v>622</v>
      </c>
      <c r="N303" s="202">
        <v>-0.25015069318866789</v>
      </c>
    </row>
    <row r="304" spans="1:14" ht="15.75" customHeight="1">
      <c r="A304" s="198" t="s">
        <v>175</v>
      </c>
      <c r="B304" s="199" t="s">
        <v>176</v>
      </c>
      <c r="C304" s="205" t="s">
        <v>91</v>
      </c>
      <c r="D304" s="203" t="s">
        <v>91</v>
      </c>
      <c r="E304" s="216">
        <v>1011.4</v>
      </c>
      <c r="F304" s="204">
        <v>1083</v>
      </c>
      <c r="G304" s="204">
        <v>1024</v>
      </c>
      <c r="H304" s="204">
        <v>1006</v>
      </c>
      <c r="I304" s="204">
        <v>662</v>
      </c>
      <c r="J304" s="204">
        <v>767</v>
      </c>
      <c r="K304" s="204">
        <v>824</v>
      </c>
      <c r="L304" s="204">
        <v>785</v>
      </c>
      <c r="M304" s="331">
        <v>725</v>
      </c>
      <c r="N304" s="202">
        <v>-0.28317184101245796</v>
      </c>
    </row>
    <row r="305" spans="1:14">
      <c r="A305" s="198" t="s">
        <v>175</v>
      </c>
      <c r="B305" s="199" t="s">
        <v>177</v>
      </c>
      <c r="C305" s="199" t="s">
        <v>161</v>
      </c>
      <c r="D305" s="200" t="s">
        <v>162</v>
      </c>
      <c r="E305" s="215">
        <v>0</v>
      </c>
      <c r="F305" s="201">
        <v>0</v>
      </c>
      <c r="G305" s="201">
        <v>0</v>
      </c>
      <c r="H305" s="201">
        <v>0</v>
      </c>
      <c r="I305" s="201">
        <v>0</v>
      </c>
      <c r="J305" s="201">
        <v>0</v>
      </c>
      <c r="K305" s="201">
        <v>0</v>
      </c>
      <c r="L305" s="201">
        <v>0</v>
      </c>
      <c r="M305" s="330" t="s">
        <v>172</v>
      </c>
      <c r="N305" s="202">
        <v>0</v>
      </c>
    </row>
    <row r="306" spans="1:14" ht="15.75" customHeight="1">
      <c r="A306" s="198" t="s">
        <v>175</v>
      </c>
      <c r="B306" s="199" t="s">
        <v>177</v>
      </c>
      <c r="C306" s="199" t="s">
        <v>161</v>
      </c>
      <c r="D306" s="200" t="s">
        <v>163</v>
      </c>
      <c r="E306" s="215">
        <v>1.8</v>
      </c>
      <c r="F306" s="201">
        <v>1</v>
      </c>
      <c r="G306" s="201">
        <v>4</v>
      </c>
      <c r="H306" s="201">
        <v>2</v>
      </c>
      <c r="I306" s="201">
        <v>0</v>
      </c>
      <c r="J306" s="201">
        <v>0</v>
      </c>
      <c r="K306" s="201">
        <v>2</v>
      </c>
      <c r="L306" s="201">
        <v>1</v>
      </c>
      <c r="M306" s="330">
        <v>1</v>
      </c>
      <c r="N306" s="202">
        <v>-0.44444444444444448</v>
      </c>
    </row>
    <row r="307" spans="1:14" ht="15.75" customHeight="1">
      <c r="A307" s="198" t="s">
        <v>175</v>
      </c>
      <c r="B307" s="199" t="s">
        <v>177</v>
      </c>
      <c r="C307" s="199" t="s">
        <v>161</v>
      </c>
      <c r="D307" s="200" t="s">
        <v>164</v>
      </c>
      <c r="E307" s="215">
        <v>1.8</v>
      </c>
      <c r="F307" s="201">
        <v>1</v>
      </c>
      <c r="G307" s="201">
        <v>4</v>
      </c>
      <c r="H307" s="201">
        <v>2</v>
      </c>
      <c r="I307" s="201">
        <v>0</v>
      </c>
      <c r="J307" s="201">
        <v>0</v>
      </c>
      <c r="K307" s="201">
        <v>2</v>
      </c>
      <c r="L307" s="201">
        <v>1</v>
      </c>
      <c r="M307" s="330">
        <v>1</v>
      </c>
      <c r="N307" s="202">
        <v>-0.44444444444444448</v>
      </c>
    </row>
    <row r="308" spans="1:14" ht="15.75" customHeight="1">
      <c r="A308" s="198" t="s">
        <v>175</v>
      </c>
      <c r="B308" s="199" t="s">
        <v>177</v>
      </c>
      <c r="C308" s="199" t="s">
        <v>161</v>
      </c>
      <c r="D308" s="200" t="s">
        <v>165</v>
      </c>
      <c r="E308" s="215">
        <v>21.4</v>
      </c>
      <c r="F308" s="201">
        <v>12</v>
      </c>
      <c r="G308" s="201">
        <v>15</v>
      </c>
      <c r="H308" s="201">
        <v>11</v>
      </c>
      <c r="I308" s="201">
        <v>2</v>
      </c>
      <c r="J308" s="201">
        <v>5</v>
      </c>
      <c r="K308" s="201">
        <v>5</v>
      </c>
      <c r="L308" s="201">
        <v>8</v>
      </c>
      <c r="M308" s="330">
        <v>5</v>
      </c>
      <c r="N308" s="202">
        <v>-0.76635514018691586</v>
      </c>
    </row>
    <row r="309" spans="1:14" ht="15.75" customHeight="1">
      <c r="A309" s="198" t="s">
        <v>175</v>
      </c>
      <c r="B309" s="199" t="s">
        <v>177</v>
      </c>
      <c r="C309" s="199" t="s">
        <v>161</v>
      </c>
      <c r="D309" s="203" t="s">
        <v>91</v>
      </c>
      <c r="E309" s="216">
        <v>23.3</v>
      </c>
      <c r="F309" s="204">
        <v>13</v>
      </c>
      <c r="G309" s="204">
        <v>19</v>
      </c>
      <c r="H309" s="204">
        <v>13</v>
      </c>
      <c r="I309" s="204">
        <v>2</v>
      </c>
      <c r="J309" s="204">
        <v>5</v>
      </c>
      <c r="K309" s="204">
        <v>7</v>
      </c>
      <c r="L309" s="204">
        <v>9</v>
      </c>
      <c r="M309" s="331">
        <v>6</v>
      </c>
      <c r="N309" s="202">
        <v>-0.74248927038626611</v>
      </c>
    </row>
    <row r="310" spans="1:14">
      <c r="A310" s="198" t="s">
        <v>175</v>
      </c>
      <c r="B310" s="199" t="s">
        <v>177</v>
      </c>
      <c r="C310" s="199" t="s">
        <v>134</v>
      </c>
      <c r="D310" s="200" t="s">
        <v>162</v>
      </c>
      <c r="E310" s="215">
        <v>0</v>
      </c>
      <c r="F310" s="201">
        <v>0</v>
      </c>
      <c r="G310" s="201">
        <v>0</v>
      </c>
      <c r="H310" s="201">
        <v>0</v>
      </c>
      <c r="I310" s="201">
        <v>0</v>
      </c>
      <c r="J310" s="201">
        <v>0</v>
      </c>
      <c r="K310" s="201">
        <v>0</v>
      </c>
      <c r="L310" s="201">
        <v>0</v>
      </c>
      <c r="M310" s="330" t="s">
        <v>172</v>
      </c>
      <c r="N310" s="202">
        <v>0</v>
      </c>
    </row>
    <row r="311" spans="1:14" ht="15.75" customHeight="1">
      <c r="A311" s="198" t="s">
        <v>175</v>
      </c>
      <c r="B311" s="199" t="s">
        <v>177</v>
      </c>
      <c r="C311" s="199" t="s">
        <v>134</v>
      </c>
      <c r="D311" s="200" t="s">
        <v>163</v>
      </c>
      <c r="E311" s="215">
        <v>1.2</v>
      </c>
      <c r="F311" s="201">
        <v>0</v>
      </c>
      <c r="G311" s="201">
        <v>3</v>
      </c>
      <c r="H311" s="201">
        <v>1</v>
      </c>
      <c r="I311" s="201">
        <v>0</v>
      </c>
      <c r="J311" s="201">
        <v>3</v>
      </c>
      <c r="K311" s="201">
        <v>2</v>
      </c>
      <c r="L311" s="201">
        <v>2</v>
      </c>
      <c r="M311" s="330">
        <v>1</v>
      </c>
      <c r="N311" s="202">
        <v>-0.16666666666666663</v>
      </c>
    </row>
    <row r="312" spans="1:14" ht="15.75" customHeight="1">
      <c r="A312" s="198" t="s">
        <v>175</v>
      </c>
      <c r="B312" s="199" t="s">
        <v>177</v>
      </c>
      <c r="C312" s="199" t="s">
        <v>134</v>
      </c>
      <c r="D312" s="200" t="s">
        <v>164</v>
      </c>
      <c r="E312" s="215">
        <v>1.2</v>
      </c>
      <c r="F312" s="201">
        <v>0</v>
      </c>
      <c r="G312" s="201">
        <v>3</v>
      </c>
      <c r="H312" s="201">
        <v>1</v>
      </c>
      <c r="I312" s="201">
        <v>0</v>
      </c>
      <c r="J312" s="201">
        <v>3</v>
      </c>
      <c r="K312" s="201">
        <v>2</v>
      </c>
      <c r="L312" s="201">
        <v>2</v>
      </c>
      <c r="M312" s="330">
        <v>1</v>
      </c>
      <c r="N312" s="202">
        <v>-0.16666666666666663</v>
      </c>
    </row>
    <row r="313" spans="1:14" ht="15.75" customHeight="1">
      <c r="A313" s="198" t="s">
        <v>175</v>
      </c>
      <c r="B313" s="199" t="s">
        <v>177</v>
      </c>
      <c r="C313" s="199" t="s">
        <v>134</v>
      </c>
      <c r="D313" s="200" t="s">
        <v>165</v>
      </c>
      <c r="E313" s="215">
        <v>31.5</v>
      </c>
      <c r="F313" s="201">
        <v>21</v>
      </c>
      <c r="G313" s="201">
        <v>12</v>
      </c>
      <c r="H313" s="201">
        <v>22</v>
      </c>
      <c r="I313" s="201">
        <v>8</v>
      </c>
      <c r="J313" s="201">
        <v>7</v>
      </c>
      <c r="K313" s="201">
        <v>16</v>
      </c>
      <c r="L313" s="201">
        <v>8</v>
      </c>
      <c r="M313" s="330">
        <v>9</v>
      </c>
      <c r="N313" s="202">
        <v>-0.7142857142857143</v>
      </c>
    </row>
    <row r="314" spans="1:14" ht="15.75" customHeight="1">
      <c r="A314" s="198" t="s">
        <v>175</v>
      </c>
      <c r="B314" s="199" t="s">
        <v>177</v>
      </c>
      <c r="C314" s="199" t="s">
        <v>134</v>
      </c>
      <c r="D314" s="203" t="s">
        <v>91</v>
      </c>
      <c r="E314" s="216">
        <v>32.700000000000003</v>
      </c>
      <c r="F314" s="204">
        <v>21</v>
      </c>
      <c r="G314" s="204">
        <v>15</v>
      </c>
      <c r="H314" s="204">
        <v>23</v>
      </c>
      <c r="I314" s="204">
        <v>8</v>
      </c>
      <c r="J314" s="204">
        <v>10</v>
      </c>
      <c r="K314" s="204">
        <v>18</v>
      </c>
      <c r="L314" s="204">
        <v>10</v>
      </c>
      <c r="M314" s="331">
        <v>10</v>
      </c>
      <c r="N314" s="202">
        <v>-0.6941896024464832</v>
      </c>
    </row>
    <row r="315" spans="1:14">
      <c r="A315" s="198" t="s">
        <v>175</v>
      </c>
      <c r="B315" s="199" t="s">
        <v>177</v>
      </c>
      <c r="C315" s="199" t="s">
        <v>166</v>
      </c>
      <c r="D315" s="200" t="s">
        <v>162</v>
      </c>
      <c r="E315" s="215">
        <v>0</v>
      </c>
      <c r="F315" s="201">
        <v>0</v>
      </c>
      <c r="G315" s="201">
        <v>0</v>
      </c>
      <c r="H315" s="201">
        <v>0</v>
      </c>
      <c r="I315" s="201">
        <v>0</v>
      </c>
      <c r="J315" s="201">
        <v>0</v>
      </c>
      <c r="K315" s="201">
        <v>0</v>
      </c>
      <c r="L315" s="201">
        <v>0</v>
      </c>
      <c r="M315" s="330" t="s">
        <v>172</v>
      </c>
      <c r="N315" s="202">
        <v>0</v>
      </c>
    </row>
    <row r="316" spans="1:14" ht="15.75" customHeight="1">
      <c r="A316" s="198" t="s">
        <v>175</v>
      </c>
      <c r="B316" s="199" t="s">
        <v>177</v>
      </c>
      <c r="C316" s="199" t="s">
        <v>166</v>
      </c>
      <c r="D316" s="200" t="s">
        <v>163</v>
      </c>
      <c r="E316" s="215">
        <v>0</v>
      </c>
      <c r="F316" s="201">
        <v>0</v>
      </c>
      <c r="G316" s="201">
        <v>1</v>
      </c>
      <c r="H316" s="201">
        <v>0</v>
      </c>
      <c r="I316" s="201">
        <v>0</v>
      </c>
      <c r="J316" s="201">
        <v>0</v>
      </c>
      <c r="K316" s="201">
        <v>0</v>
      </c>
      <c r="L316" s="201">
        <v>0</v>
      </c>
      <c r="M316" s="330">
        <v>0</v>
      </c>
      <c r="N316" s="202">
        <v>0</v>
      </c>
    </row>
    <row r="317" spans="1:14" ht="15.75" customHeight="1">
      <c r="A317" s="198" t="s">
        <v>175</v>
      </c>
      <c r="B317" s="199" t="s">
        <v>177</v>
      </c>
      <c r="C317" s="199" t="s">
        <v>166</v>
      </c>
      <c r="D317" s="200" t="s">
        <v>164</v>
      </c>
      <c r="E317" s="215">
        <v>0</v>
      </c>
      <c r="F317" s="201">
        <v>0</v>
      </c>
      <c r="G317" s="201">
        <v>1</v>
      </c>
      <c r="H317" s="201">
        <v>0</v>
      </c>
      <c r="I317" s="201">
        <v>0</v>
      </c>
      <c r="J317" s="201">
        <v>0</v>
      </c>
      <c r="K317" s="201">
        <v>0</v>
      </c>
      <c r="L317" s="201">
        <v>0</v>
      </c>
      <c r="M317" s="330" t="s">
        <v>172</v>
      </c>
      <c r="N317" s="202">
        <v>0</v>
      </c>
    </row>
    <row r="318" spans="1:14" ht="15.75" customHeight="1">
      <c r="A318" s="198" t="s">
        <v>175</v>
      </c>
      <c r="B318" s="199" t="s">
        <v>177</v>
      </c>
      <c r="C318" s="199" t="s">
        <v>166</v>
      </c>
      <c r="D318" s="200" t="s">
        <v>165</v>
      </c>
      <c r="E318" s="215">
        <v>7</v>
      </c>
      <c r="F318" s="201">
        <v>1</v>
      </c>
      <c r="G318" s="201">
        <v>1</v>
      </c>
      <c r="H318" s="201">
        <v>1</v>
      </c>
      <c r="I318" s="201">
        <v>1</v>
      </c>
      <c r="J318" s="201">
        <v>1</v>
      </c>
      <c r="K318" s="201">
        <v>1</v>
      </c>
      <c r="L318" s="201">
        <v>3</v>
      </c>
      <c r="M318" s="330">
        <v>1</v>
      </c>
      <c r="N318" s="202">
        <v>-0.8571428571428571</v>
      </c>
    </row>
    <row r="319" spans="1:14" ht="15.75" customHeight="1">
      <c r="A319" s="198" t="s">
        <v>175</v>
      </c>
      <c r="B319" s="199" t="s">
        <v>177</v>
      </c>
      <c r="C319" s="199" t="s">
        <v>166</v>
      </c>
      <c r="D319" s="203" t="s">
        <v>91</v>
      </c>
      <c r="E319" s="216">
        <v>7</v>
      </c>
      <c r="F319" s="204">
        <v>1</v>
      </c>
      <c r="G319" s="204">
        <v>2</v>
      </c>
      <c r="H319" s="204">
        <v>1</v>
      </c>
      <c r="I319" s="204">
        <v>1</v>
      </c>
      <c r="J319" s="204">
        <v>1</v>
      </c>
      <c r="K319" s="204">
        <v>1</v>
      </c>
      <c r="L319" s="204">
        <v>3</v>
      </c>
      <c r="M319" s="331">
        <v>1</v>
      </c>
      <c r="N319" s="202">
        <v>-0.8571428571428571</v>
      </c>
    </row>
    <row r="320" spans="1:14">
      <c r="A320" s="198" t="s">
        <v>175</v>
      </c>
      <c r="B320" s="199" t="s">
        <v>177</v>
      </c>
      <c r="C320" s="199" t="s">
        <v>133</v>
      </c>
      <c r="D320" s="200" t="s">
        <v>162</v>
      </c>
      <c r="E320" s="215">
        <v>0</v>
      </c>
      <c r="F320" s="201">
        <v>0</v>
      </c>
      <c r="G320" s="201">
        <v>1</v>
      </c>
      <c r="H320" s="201">
        <v>0</v>
      </c>
      <c r="I320" s="201">
        <v>0</v>
      </c>
      <c r="J320" s="201">
        <v>0</v>
      </c>
      <c r="K320" s="201">
        <v>0</v>
      </c>
      <c r="L320" s="201">
        <v>0</v>
      </c>
      <c r="M320" s="330" t="s">
        <v>172</v>
      </c>
      <c r="N320" s="202">
        <v>0</v>
      </c>
    </row>
    <row r="321" spans="1:14" ht="15.75" customHeight="1">
      <c r="A321" s="198" t="s">
        <v>175</v>
      </c>
      <c r="B321" s="199" t="s">
        <v>177</v>
      </c>
      <c r="C321" s="199" t="s">
        <v>133</v>
      </c>
      <c r="D321" s="200" t="s">
        <v>163</v>
      </c>
      <c r="E321" s="215">
        <v>9</v>
      </c>
      <c r="F321" s="201">
        <v>9</v>
      </c>
      <c r="G321" s="201">
        <v>16</v>
      </c>
      <c r="H321" s="201">
        <v>9</v>
      </c>
      <c r="I321" s="201">
        <v>9</v>
      </c>
      <c r="J321" s="201">
        <v>5</v>
      </c>
      <c r="K321" s="201">
        <v>8</v>
      </c>
      <c r="L321" s="201">
        <v>4</v>
      </c>
      <c r="M321" s="330">
        <v>9</v>
      </c>
      <c r="N321" s="202">
        <v>0</v>
      </c>
    </row>
    <row r="322" spans="1:14" ht="15.75" customHeight="1">
      <c r="A322" s="198" t="s">
        <v>175</v>
      </c>
      <c r="B322" s="199" t="s">
        <v>177</v>
      </c>
      <c r="C322" s="199" t="s">
        <v>133</v>
      </c>
      <c r="D322" s="200" t="s">
        <v>164</v>
      </c>
      <c r="E322" s="215">
        <v>9</v>
      </c>
      <c r="F322" s="201">
        <v>9</v>
      </c>
      <c r="G322" s="201">
        <v>15</v>
      </c>
      <c r="H322" s="201">
        <v>9</v>
      </c>
      <c r="I322" s="201">
        <v>9</v>
      </c>
      <c r="J322" s="201">
        <v>5</v>
      </c>
      <c r="K322" s="201">
        <v>8</v>
      </c>
      <c r="L322" s="201">
        <v>4</v>
      </c>
      <c r="M322" s="330">
        <v>9</v>
      </c>
      <c r="N322" s="202">
        <v>0</v>
      </c>
    </row>
    <row r="323" spans="1:14" ht="15.75" customHeight="1">
      <c r="A323" s="198" t="s">
        <v>175</v>
      </c>
      <c r="B323" s="199" t="s">
        <v>177</v>
      </c>
      <c r="C323" s="199" t="s">
        <v>133</v>
      </c>
      <c r="D323" s="200" t="s">
        <v>165</v>
      </c>
      <c r="E323" s="215">
        <v>59.2</v>
      </c>
      <c r="F323" s="201">
        <v>60</v>
      </c>
      <c r="G323" s="201">
        <v>54</v>
      </c>
      <c r="H323" s="201">
        <v>41</v>
      </c>
      <c r="I323" s="201">
        <v>19</v>
      </c>
      <c r="J323" s="201">
        <v>21</v>
      </c>
      <c r="K323" s="201">
        <v>18</v>
      </c>
      <c r="L323" s="201">
        <v>17</v>
      </c>
      <c r="M323" s="330">
        <v>17</v>
      </c>
      <c r="N323" s="202">
        <v>-0.71283783783783783</v>
      </c>
    </row>
    <row r="324" spans="1:14" ht="15.75" customHeight="1">
      <c r="A324" s="198" t="s">
        <v>175</v>
      </c>
      <c r="B324" s="199" t="s">
        <v>177</v>
      </c>
      <c r="C324" s="199" t="s">
        <v>133</v>
      </c>
      <c r="D324" s="203" t="s">
        <v>91</v>
      </c>
      <c r="E324" s="216">
        <v>68.2</v>
      </c>
      <c r="F324" s="204">
        <v>69</v>
      </c>
      <c r="G324" s="204">
        <v>70</v>
      </c>
      <c r="H324" s="204">
        <v>50</v>
      </c>
      <c r="I324" s="204">
        <v>28</v>
      </c>
      <c r="J324" s="204">
        <v>26</v>
      </c>
      <c r="K324" s="204">
        <v>26</v>
      </c>
      <c r="L324" s="204">
        <v>21</v>
      </c>
      <c r="M324" s="331">
        <v>26</v>
      </c>
      <c r="N324" s="202">
        <v>-0.61876832844574781</v>
      </c>
    </row>
    <row r="325" spans="1:14" ht="15.75" customHeight="1">
      <c r="A325" s="198" t="s">
        <v>175</v>
      </c>
      <c r="B325" s="199" t="s">
        <v>177</v>
      </c>
      <c r="C325" s="199" t="s">
        <v>167</v>
      </c>
      <c r="D325" s="200" t="s">
        <v>162</v>
      </c>
      <c r="E325" s="215">
        <v>0</v>
      </c>
      <c r="F325" s="201">
        <v>0</v>
      </c>
      <c r="G325" s="201">
        <v>0</v>
      </c>
      <c r="H325" s="201">
        <v>0</v>
      </c>
      <c r="I325" s="201">
        <v>0</v>
      </c>
      <c r="J325" s="201">
        <v>0</v>
      </c>
      <c r="K325" s="201">
        <v>0</v>
      </c>
      <c r="L325" s="201">
        <v>0</v>
      </c>
      <c r="M325" s="330" t="s">
        <v>172</v>
      </c>
      <c r="N325" s="202">
        <v>0</v>
      </c>
    </row>
    <row r="326" spans="1:14" ht="15.75" customHeight="1">
      <c r="A326" s="198" t="s">
        <v>175</v>
      </c>
      <c r="B326" s="199" t="s">
        <v>177</v>
      </c>
      <c r="C326" s="199" t="s">
        <v>167</v>
      </c>
      <c r="D326" s="200" t="s">
        <v>163</v>
      </c>
      <c r="E326" s="215">
        <v>0</v>
      </c>
      <c r="F326" s="201">
        <v>0</v>
      </c>
      <c r="G326" s="201">
        <v>0</v>
      </c>
      <c r="H326" s="201">
        <v>1</v>
      </c>
      <c r="I326" s="201">
        <v>4</v>
      </c>
      <c r="J326" s="201">
        <v>1</v>
      </c>
      <c r="K326" s="201">
        <v>2</v>
      </c>
      <c r="L326" s="201">
        <v>1</v>
      </c>
      <c r="M326" s="330">
        <v>0</v>
      </c>
      <c r="N326" s="202">
        <v>0</v>
      </c>
    </row>
    <row r="327" spans="1:14" ht="15.75" customHeight="1">
      <c r="A327" s="198" t="s">
        <v>175</v>
      </c>
      <c r="B327" s="199" t="s">
        <v>177</v>
      </c>
      <c r="C327" s="199" t="s">
        <v>167</v>
      </c>
      <c r="D327" s="200" t="s">
        <v>164</v>
      </c>
      <c r="E327" s="215">
        <v>0</v>
      </c>
      <c r="F327" s="201">
        <v>0</v>
      </c>
      <c r="G327" s="201">
        <v>0</v>
      </c>
      <c r="H327" s="201">
        <v>1</v>
      </c>
      <c r="I327" s="201">
        <v>4</v>
      </c>
      <c r="J327" s="201">
        <v>1</v>
      </c>
      <c r="K327" s="201">
        <v>2</v>
      </c>
      <c r="L327" s="201">
        <v>1</v>
      </c>
      <c r="M327" s="330" t="s">
        <v>172</v>
      </c>
      <c r="N327" s="202">
        <v>0</v>
      </c>
    </row>
    <row r="328" spans="1:14" ht="15.75" customHeight="1">
      <c r="A328" s="198" t="s">
        <v>175</v>
      </c>
      <c r="B328" s="199" t="s">
        <v>177</v>
      </c>
      <c r="C328" s="199" t="s">
        <v>167</v>
      </c>
      <c r="D328" s="200" t="s">
        <v>165</v>
      </c>
      <c r="E328" s="215">
        <v>1.2</v>
      </c>
      <c r="F328" s="201">
        <v>0</v>
      </c>
      <c r="G328" s="201">
        <v>1</v>
      </c>
      <c r="H328" s="201">
        <v>2</v>
      </c>
      <c r="I328" s="201">
        <v>0</v>
      </c>
      <c r="J328" s="201">
        <v>2</v>
      </c>
      <c r="K328" s="201">
        <v>2</v>
      </c>
      <c r="L328" s="201">
        <v>2</v>
      </c>
      <c r="M328" s="330">
        <v>3</v>
      </c>
      <c r="N328" s="202">
        <v>1.5</v>
      </c>
    </row>
    <row r="329" spans="1:14">
      <c r="A329" s="198" t="s">
        <v>175</v>
      </c>
      <c r="B329" s="199" t="s">
        <v>177</v>
      </c>
      <c r="C329" s="199" t="s">
        <v>167</v>
      </c>
      <c r="D329" s="203" t="s">
        <v>91</v>
      </c>
      <c r="E329" s="216">
        <v>1.2</v>
      </c>
      <c r="F329" s="204">
        <v>0</v>
      </c>
      <c r="G329" s="204">
        <v>1</v>
      </c>
      <c r="H329" s="204">
        <v>3</v>
      </c>
      <c r="I329" s="204">
        <v>4</v>
      </c>
      <c r="J329" s="204">
        <v>3</v>
      </c>
      <c r="K329" s="204">
        <v>4</v>
      </c>
      <c r="L329" s="204">
        <v>3</v>
      </c>
      <c r="M329" s="331">
        <v>3</v>
      </c>
      <c r="N329" s="202">
        <v>1.5</v>
      </c>
    </row>
    <row r="330" spans="1:14" ht="15.75" customHeight="1">
      <c r="A330" s="198" t="s">
        <v>175</v>
      </c>
      <c r="B330" s="199" t="s">
        <v>177</v>
      </c>
      <c r="C330" s="199" t="s">
        <v>168</v>
      </c>
      <c r="D330" s="200" t="s">
        <v>162</v>
      </c>
      <c r="E330" s="215">
        <v>1</v>
      </c>
      <c r="F330" s="201">
        <v>0</v>
      </c>
      <c r="G330" s="201">
        <v>0</v>
      </c>
      <c r="H330" s="201">
        <v>0</v>
      </c>
      <c r="I330" s="201">
        <v>0</v>
      </c>
      <c r="J330" s="201">
        <v>0</v>
      </c>
      <c r="K330" s="201">
        <v>0</v>
      </c>
      <c r="L330" s="201">
        <v>0</v>
      </c>
      <c r="M330" s="330" t="s">
        <v>172</v>
      </c>
      <c r="N330" s="202">
        <v>-1</v>
      </c>
    </row>
    <row r="331" spans="1:14" ht="15.75" customHeight="1">
      <c r="A331" s="198" t="s">
        <v>175</v>
      </c>
      <c r="B331" s="199" t="s">
        <v>177</v>
      </c>
      <c r="C331" s="199" t="s">
        <v>168</v>
      </c>
      <c r="D331" s="200" t="s">
        <v>163</v>
      </c>
      <c r="E331" s="215">
        <v>22.4</v>
      </c>
      <c r="F331" s="201">
        <v>15</v>
      </c>
      <c r="G331" s="201">
        <v>31</v>
      </c>
      <c r="H331" s="201">
        <v>31</v>
      </c>
      <c r="I331" s="201">
        <v>17</v>
      </c>
      <c r="J331" s="201">
        <v>20</v>
      </c>
      <c r="K331" s="201">
        <v>27</v>
      </c>
      <c r="L331" s="201">
        <v>18</v>
      </c>
      <c r="M331" s="330">
        <v>22</v>
      </c>
      <c r="N331" s="202">
        <v>-1.7857142857142794E-2</v>
      </c>
    </row>
    <row r="332" spans="1:14" ht="15.75" customHeight="1">
      <c r="A332" s="198" t="s">
        <v>175</v>
      </c>
      <c r="B332" s="199" t="s">
        <v>177</v>
      </c>
      <c r="C332" s="199" t="s">
        <v>168</v>
      </c>
      <c r="D332" s="200" t="s">
        <v>164</v>
      </c>
      <c r="E332" s="215">
        <v>21.4</v>
      </c>
      <c r="F332" s="201">
        <v>15</v>
      </c>
      <c r="G332" s="201">
        <v>31</v>
      </c>
      <c r="H332" s="201">
        <v>31</v>
      </c>
      <c r="I332" s="201">
        <v>17</v>
      </c>
      <c r="J332" s="201">
        <v>20</v>
      </c>
      <c r="K332" s="201">
        <v>27</v>
      </c>
      <c r="L332" s="201">
        <v>18</v>
      </c>
      <c r="M332" s="330">
        <v>22</v>
      </c>
      <c r="N332" s="202">
        <v>2.8037383177570162E-2</v>
      </c>
    </row>
    <row r="333" spans="1:14" ht="15.75" customHeight="1">
      <c r="A333" s="198" t="s">
        <v>175</v>
      </c>
      <c r="B333" s="199" t="s">
        <v>177</v>
      </c>
      <c r="C333" s="199" t="s">
        <v>168</v>
      </c>
      <c r="D333" s="200" t="s">
        <v>165</v>
      </c>
      <c r="E333" s="215">
        <v>116.2</v>
      </c>
      <c r="F333" s="201">
        <v>109</v>
      </c>
      <c r="G333" s="201">
        <v>73</v>
      </c>
      <c r="H333" s="201">
        <v>102</v>
      </c>
      <c r="I333" s="201">
        <v>33</v>
      </c>
      <c r="J333" s="201">
        <v>45</v>
      </c>
      <c r="K333" s="201">
        <v>71</v>
      </c>
      <c r="L333" s="201">
        <v>73</v>
      </c>
      <c r="M333" s="330">
        <v>81</v>
      </c>
      <c r="N333" s="202">
        <v>-0.30292598967297762</v>
      </c>
    </row>
    <row r="334" spans="1:14" ht="15.75" customHeight="1">
      <c r="A334" s="198" t="s">
        <v>175</v>
      </c>
      <c r="B334" s="199" t="s">
        <v>177</v>
      </c>
      <c r="C334" s="199" t="s">
        <v>168</v>
      </c>
      <c r="D334" s="203" t="s">
        <v>91</v>
      </c>
      <c r="E334" s="216">
        <v>138.6</v>
      </c>
      <c r="F334" s="204">
        <v>124</v>
      </c>
      <c r="G334" s="204">
        <v>104</v>
      </c>
      <c r="H334" s="204">
        <v>133</v>
      </c>
      <c r="I334" s="204">
        <v>50</v>
      </c>
      <c r="J334" s="204">
        <v>65</v>
      </c>
      <c r="K334" s="204">
        <v>98</v>
      </c>
      <c r="L334" s="204">
        <v>91</v>
      </c>
      <c r="M334" s="331">
        <v>103</v>
      </c>
      <c r="N334" s="202">
        <v>-0.25685425685425683</v>
      </c>
    </row>
    <row r="335" spans="1:14" ht="15.75" customHeight="1">
      <c r="A335" s="198" t="s">
        <v>175</v>
      </c>
      <c r="B335" s="199" t="s">
        <v>177</v>
      </c>
      <c r="C335" s="199" t="s">
        <v>131</v>
      </c>
      <c r="D335" s="200" t="s">
        <v>162</v>
      </c>
      <c r="E335" s="215">
        <v>0.8</v>
      </c>
      <c r="F335" s="201">
        <v>2</v>
      </c>
      <c r="G335" s="201">
        <v>0</v>
      </c>
      <c r="H335" s="201">
        <v>1</v>
      </c>
      <c r="I335" s="201">
        <v>0</v>
      </c>
      <c r="J335" s="201">
        <v>1</v>
      </c>
      <c r="K335" s="201">
        <v>0</v>
      </c>
      <c r="L335" s="201">
        <v>0</v>
      </c>
      <c r="M335" s="330">
        <v>1</v>
      </c>
      <c r="N335" s="202">
        <v>0.24999999999999994</v>
      </c>
    </row>
    <row r="336" spans="1:14" ht="15.75" customHeight="1">
      <c r="A336" s="198" t="s">
        <v>175</v>
      </c>
      <c r="B336" s="199" t="s">
        <v>177</v>
      </c>
      <c r="C336" s="199" t="s">
        <v>131</v>
      </c>
      <c r="D336" s="200" t="s">
        <v>163</v>
      </c>
      <c r="E336" s="215">
        <v>18.3</v>
      </c>
      <c r="F336" s="201">
        <v>26</v>
      </c>
      <c r="G336" s="201">
        <v>27</v>
      </c>
      <c r="H336" s="201">
        <v>32</v>
      </c>
      <c r="I336" s="201">
        <v>11</v>
      </c>
      <c r="J336" s="201">
        <v>11</v>
      </c>
      <c r="K336" s="201">
        <v>17</v>
      </c>
      <c r="L336" s="201">
        <v>13</v>
      </c>
      <c r="M336" s="330">
        <v>24</v>
      </c>
      <c r="N336" s="202">
        <v>0.31147540983606553</v>
      </c>
    </row>
    <row r="337" spans="1:14" ht="15.75" customHeight="1">
      <c r="A337" s="198" t="s">
        <v>175</v>
      </c>
      <c r="B337" s="199" t="s">
        <v>177</v>
      </c>
      <c r="C337" s="199" t="s">
        <v>131</v>
      </c>
      <c r="D337" s="200" t="s">
        <v>164</v>
      </c>
      <c r="E337" s="215">
        <v>17.5</v>
      </c>
      <c r="F337" s="201">
        <v>24</v>
      </c>
      <c r="G337" s="201">
        <v>27</v>
      </c>
      <c r="H337" s="201">
        <v>31</v>
      </c>
      <c r="I337" s="201">
        <v>11</v>
      </c>
      <c r="J337" s="201">
        <v>10</v>
      </c>
      <c r="K337" s="201">
        <v>17</v>
      </c>
      <c r="L337" s="201">
        <v>13</v>
      </c>
      <c r="M337" s="330">
        <v>23</v>
      </c>
      <c r="N337" s="202">
        <v>0.31428571428571428</v>
      </c>
    </row>
    <row r="338" spans="1:14" ht="15.75" customHeight="1">
      <c r="A338" s="198" t="s">
        <v>175</v>
      </c>
      <c r="B338" s="199" t="s">
        <v>177</v>
      </c>
      <c r="C338" s="199" t="s">
        <v>131</v>
      </c>
      <c r="D338" s="200" t="s">
        <v>165</v>
      </c>
      <c r="E338" s="215">
        <v>85.8</v>
      </c>
      <c r="F338" s="201">
        <v>78</v>
      </c>
      <c r="G338" s="201">
        <v>59</v>
      </c>
      <c r="H338" s="201">
        <v>72</v>
      </c>
      <c r="I338" s="201">
        <v>19</v>
      </c>
      <c r="J338" s="201">
        <v>25</v>
      </c>
      <c r="K338" s="201">
        <v>21</v>
      </c>
      <c r="L338" s="201">
        <v>38</v>
      </c>
      <c r="M338" s="330">
        <v>30</v>
      </c>
      <c r="N338" s="202">
        <v>-0.65034965034965031</v>
      </c>
    </row>
    <row r="339" spans="1:14" ht="15.75" customHeight="1">
      <c r="A339" s="198" t="s">
        <v>175</v>
      </c>
      <c r="B339" s="199" t="s">
        <v>177</v>
      </c>
      <c r="C339" s="199" t="s">
        <v>131</v>
      </c>
      <c r="D339" s="203" t="s">
        <v>91</v>
      </c>
      <c r="E339" s="216">
        <v>104.1</v>
      </c>
      <c r="F339" s="204">
        <v>104</v>
      </c>
      <c r="G339" s="204">
        <v>86</v>
      </c>
      <c r="H339" s="204">
        <v>104</v>
      </c>
      <c r="I339" s="204">
        <v>30</v>
      </c>
      <c r="J339" s="204">
        <v>36</v>
      </c>
      <c r="K339" s="204">
        <v>38</v>
      </c>
      <c r="L339" s="204">
        <v>51</v>
      </c>
      <c r="M339" s="331">
        <v>54</v>
      </c>
      <c r="N339" s="202">
        <v>-0.48126801152737747</v>
      </c>
    </row>
    <row r="340" spans="1:14" ht="15.75" customHeight="1">
      <c r="A340" s="198" t="s">
        <v>175</v>
      </c>
      <c r="B340" s="199" t="s">
        <v>177</v>
      </c>
      <c r="C340" s="199" t="s">
        <v>169</v>
      </c>
      <c r="D340" s="200" t="s">
        <v>162</v>
      </c>
      <c r="E340" s="215">
        <v>0</v>
      </c>
      <c r="F340" s="201">
        <v>0</v>
      </c>
      <c r="G340" s="201">
        <v>0</v>
      </c>
      <c r="H340" s="201">
        <v>0</v>
      </c>
      <c r="I340" s="201">
        <v>0</v>
      </c>
      <c r="J340" s="201">
        <v>0</v>
      </c>
      <c r="K340" s="201">
        <v>0</v>
      </c>
      <c r="L340" s="201">
        <v>0</v>
      </c>
      <c r="M340" s="330" t="s">
        <v>172</v>
      </c>
      <c r="N340" s="202">
        <v>0</v>
      </c>
    </row>
    <row r="341" spans="1:14" ht="15.75" customHeight="1">
      <c r="A341" s="198" t="s">
        <v>175</v>
      </c>
      <c r="B341" s="199" t="s">
        <v>177</v>
      </c>
      <c r="C341" s="199" t="s">
        <v>169</v>
      </c>
      <c r="D341" s="200" t="s">
        <v>163</v>
      </c>
      <c r="E341" s="215">
        <v>0</v>
      </c>
      <c r="F341" s="201">
        <v>0</v>
      </c>
      <c r="G341" s="201">
        <v>0</v>
      </c>
      <c r="H341" s="201">
        <v>0</v>
      </c>
      <c r="I341" s="201">
        <v>0</v>
      </c>
      <c r="J341" s="201">
        <v>0</v>
      </c>
      <c r="K341" s="201">
        <v>0</v>
      </c>
      <c r="L341" s="201">
        <v>0</v>
      </c>
      <c r="M341" s="330">
        <v>0</v>
      </c>
      <c r="N341" s="202">
        <v>0</v>
      </c>
    </row>
    <row r="342" spans="1:14" ht="15.75" customHeight="1">
      <c r="A342" s="198" t="s">
        <v>175</v>
      </c>
      <c r="B342" s="199" t="s">
        <v>177</v>
      </c>
      <c r="C342" s="199" t="s">
        <v>169</v>
      </c>
      <c r="D342" s="200" t="s">
        <v>164</v>
      </c>
      <c r="E342" s="215">
        <v>0</v>
      </c>
      <c r="F342" s="201">
        <v>0</v>
      </c>
      <c r="G342" s="201">
        <v>0</v>
      </c>
      <c r="H342" s="201">
        <v>0</v>
      </c>
      <c r="I342" s="201">
        <v>0</v>
      </c>
      <c r="J342" s="201">
        <v>0</v>
      </c>
      <c r="K342" s="201">
        <v>0</v>
      </c>
      <c r="L342" s="201">
        <v>0</v>
      </c>
      <c r="M342" s="330" t="s">
        <v>172</v>
      </c>
      <c r="N342" s="202">
        <v>0</v>
      </c>
    </row>
    <row r="343" spans="1:14" ht="15.75" customHeight="1">
      <c r="A343" s="198" t="s">
        <v>175</v>
      </c>
      <c r="B343" s="199" t="s">
        <v>177</v>
      </c>
      <c r="C343" s="199" t="s">
        <v>169</v>
      </c>
      <c r="D343" s="200" t="s">
        <v>165</v>
      </c>
      <c r="E343" s="215">
        <v>0</v>
      </c>
      <c r="F343" s="201">
        <v>1</v>
      </c>
      <c r="G343" s="201">
        <v>0</v>
      </c>
      <c r="H343" s="201">
        <v>0</v>
      </c>
      <c r="I343" s="201">
        <v>0</v>
      </c>
      <c r="J343" s="201">
        <v>1</v>
      </c>
      <c r="K343" s="201">
        <v>0</v>
      </c>
      <c r="L343" s="201">
        <v>2</v>
      </c>
      <c r="M343" s="330" t="s">
        <v>172</v>
      </c>
      <c r="N343" s="202">
        <v>0</v>
      </c>
    </row>
    <row r="344" spans="1:14" ht="15.75" customHeight="1">
      <c r="A344" s="198" t="s">
        <v>175</v>
      </c>
      <c r="B344" s="199" t="s">
        <v>177</v>
      </c>
      <c r="C344" s="199" t="s">
        <v>169</v>
      </c>
      <c r="D344" s="203" t="s">
        <v>91</v>
      </c>
      <c r="E344" s="216">
        <v>0</v>
      </c>
      <c r="F344" s="204">
        <v>1</v>
      </c>
      <c r="G344" s="204">
        <v>0</v>
      </c>
      <c r="H344" s="204">
        <v>0</v>
      </c>
      <c r="I344" s="204">
        <v>0</v>
      </c>
      <c r="J344" s="204">
        <v>1</v>
      </c>
      <c r="K344" s="204">
        <v>0</v>
      </c>
      <c r="L344" s="204">
        <v>2</v>
      </c>
      <c r="M344" s="331">
        <v>0</v>
      </c>
      <c r="N344" s="202">
        <v>0</v>
      </c>
    </row>
    <row r="345" spans="1:14" ht="15.75" customHeight="1">
      <c r="A345" s="198" t="s">
        <v>175</v>
      </c>
      <c r="B345" s="199" t="s">
        <v>177</v>
      </c>
      <c r="C345" s="199" t="s">
        <v>139</v>
      </c>
      <c r="D345" s="200" t="s">
        <v>162</v>
      </c>
      <c r="E345" s="215">
        <v>0</v>
      </c>
      <c r="F345" s="201">
        <v>0</v>
      </c>
      <c r="G345" s="201">
        <v>0</v>
      </c>
      <c r="H345" s="201">
        <v>0</v>
      </c>
      <c r="I345" s="201">
        <v>0</v>
      </c>
      <c r="J345" s="201">
        <v>0</v>
      </c>
      <c r="K345" s="201">
        <v>0</v>
      </c>
      <c r="L345" s="201">
        <v>0</v>
      </c>
      <c r="M345" s="330" t="s">
        <v>172</v>
      </c>
      <c r="N345" s="202">
        <v>0</v>
      </c>
    </row>
    <row r="346" spans="1:14" ht="15.75" customHeight="1">
      <c r="A346" s="198" t="s">
        <v>175</v>
      </c>
      <c r="B346" s="199" t="s">
        <v>177</v>
      </c>
      <c r="C346" s="199" t="s">
        <v>139</v>
      </c>
      <c r="D346" s="200" t="s">
        <v>163</v>
      </c>
      <c r="E346" s="215">
        <v>0.8</v>
      </c>
      <c r="F346" s="201">
        <v>3</v>
      </c>
      <c r="G346" s="201">
        <v>0</v>
      </c>
      <c r="H346" s="201">
        <v>0</v>
      </c>
      <c r="I346" s="201">
        <v>0</v>
      </c>
      <c r="J346" s="201">
        <v>0</v>
      </c>
      <c r="K346" s="201">
        <v>1</v>
      </c>
      <c r="L346" s="201">
        <v>3</v>
      </c>
      <c r="M346" s="330">
        <v>1</v>
      </c>
      <c r="N346" s="202">
        <v>0.24999999999999994</v>
      </c>
    </row>
    <row r="347" spans="1:14" ht="15.75" customHeight="1">
      <c r="A347" s="198" t="s">
        <v>175</v>
      </c>
      <c r="B347" s="199" t="s">
        <v>177</v>
      </c>
      <c r="C347" s="199" t="s">
        <v>139</v>
      </c>
      <c r="D347" s="200" t="s">
        <v>164</v>
      </c>
      <c r="E347" s="215">
        <v>0.8</v>
      </c>
      <c r="F347" s="201">
        <v>3</v>
      </c>
      <c r="G347" s="201">
        <v>0</v>
      </c>
      <c r="H347" s="201">
        <v>0</v>
      </c>
      <c r="I347" s="201">
        <v>0</v>
      </c>
      <c r="J347" s="201">
        <v>0</v>
      </c>
      <c r="K347" s="201">
        <v>1</v>
      </c>
      <c r="L347" s="201">
        <v>3</v>
      </c>
      <c r="M347" s="330">
        <v>1</v>
      </c>
      <c r="N347" s="202">
        <v>0.24999999999999994</v>
      </c>
    </row>
    <row r="348" spans="1:14" ht="15.75" customHeight="1">
      <c r="A348" s="198" t="s">
        <v>175</v>
      </c>
      <c r="B348" s="199" t="s">
        <v>177</v>
      </c>
      <c r="C348" s="199" t="s">
        <v>139</v>
      </c>
      <c r="D348" s="200" t="s">
        <v>165</v>
      </c>
      <c r="E348" s="215">
        <v>14.6</v>
      </c>
      <c r="F348" s="201">
        <v>30</v>
      </c>
      <c r="G348" s="201">
        <v>16</v>
      </c>
      <c r="H348" s="201">
        <v>16</v>
      </c>
      <c r="I348" s="201">
        <v>5</v>
      </c>
      <c r="J348" s="201">
        <v>5</v>
      </c>
      <c r="K348" s="201">
        <v>10</v>
      </c>
      <c r="L348" s="201">
        <v>5</v>
      </c>
      <c r="M348" s="330">
        <v>5</v>
      </c>
      <c r="N348" s="202">
        <v>-0.65753424657534243</v>
      </c>
    </row>
    <row r="349" spans="1:14" ht="15.75" customHeight="1">
      <c r="A349" s="198" t="s">
        <v>175</v>
      </c>
      <c r="B349" s="199" t="s">
        <v>177</v>
      </c>
      <c r="C349" s="199" t="s">
        <v>139</v>
      </c>
      <c r="D349" s="203" t="s">
        <v>91</v>
      </c>
      <c r="E349" s="216">
        <v>15.4</v>
      </c>
      <c r="F349" s="204">
        <v>33</v>
      </c>
      <c r="G349" s="204">
        <v>16</v>
      </c>
      <c r="H349" s="204">
        <v>16</v>
      </c>
      <c r="I349" s="204">
        <v>5</v>
      </c>
      <c r="J349" s="204">
        <v>5</v>
      </c>
      <c r="K349" s="204">
        <v>11</v>
      </c>
      <c r="L349" s="204">
        <v>8</v>
      </c>
      <c r="M349" s="331">
        <v>6</v>
      </c>
      <c r="N349" s="202">
        <v>-0.61038961038961037</v>
      </c>
    </row>
    <row r="350" spans="1:14" ht="15.75" customHeight="1">
      <c r="A350" s="198" t="s">
        <v>175</v>
      </c>
      <c r="B350" s="199" t="s">
        <v>177</v>
      </c>
      <c r="C350" s="205" t="s">
        <v>91</v>
      </c>
      <c r="D350" s="203" t="s">
        <v>162</v>
      </c>
      <c r="E350" s="216">
        <v>1.8</v>
      </c>
      <c r="F350" s="204">
        <v>2</v>
      </c>
      <c r="G350" s="204">
        <v>1</v>
      </c>
      <c r="H350" s="204">
        <v>1</v>
      </c>
      <c r="I350" s="204">
        <v>0</v>
      </c>
      <c r="J350" s="204">
        <v>1</v>
      </c>
      <c r="K350" s="204">
        <v>0</v>
      </c>
      <c r="L350" s="204">
        <v>0</v>
      </c>
      <c r="M350" s="331">
        <v>1</v>
      </c>
      <c r="N350" s="202">
        <v>-0.44444444444444448</v>
      </c>
    </row>
    <row r="351" spans="1:14" ht="15.75" customHeight="1">
      <c r="A351" s="198" t="s">
        <v>159</v>
      </c>
      <c r="B351" s="199" t="s">
        <v>179</v>
      </c>
      <c r="C351" s="205" t="s">
        <v>91</v>
      </c>
      <c r="D351" s="203" t="s">
        <v>163</v>
      </c>
      <c r="E351" s="214">
        <v>162.9</v>
      </c>
      <c r="F351" s="204">
        <v>162</v>
      </c>
      <c r="G351" s="204">
        <v>144</v>
      </c>
      <c r="H351" s="204">
        <v>141</v>
      </c>
      <c r="I351" s="204">
        <v>118</v>
      </c>
      <c r="J351" s="204">
        <v>122</v>
      </c>
      <c r="K351" s="204">
        <v>111</v>
      </c>
      <c r="L351" s="204">
        <v>118</v>
      </c>
      <c r="M351" s="331">
        <v>147</v>
      </c>
      <c r="N351" s="202">
        <v>-9.7605893186003712E-2</v>
      </c>
    </row>
    <row r="352" spans="1:14" ht="15.75" customHeight="1">
      <c r="A352" s="198" t="s">
        <v>175</v>
      </c>
      <c r="B352" s="199" t="s">
        <v>177</v>
      </c>
      <c r="C352" s="205" t="s">
        <v>91</v>
      </c>
      <c r="D352" s="203" t="s">
        <v>164</v>
      </c>
      <c r="E352" s="216">
        <v>51.7</v>
      </c>
      <c r="F352" s="204">
        <v>52</v>
      </c>
      <c r="G352" s="204">
        <v>81</v>
      </c>
      <c r="H352" s="204">
        <v>75</v>
      </c>
      <c r="I352" s="204">
        <v>41</v>
      </c>
      <c r="J352" s="204">
        <v>39</v>
      </c>
      <c r="K352" s="204">
        <v>59</v>
      </c>
      <c r="L352" s="204">
        <v>42</v>
      </c>
      <c r="M352" s="331">
        <v>57</v>
      </c>
      <c r="N352" s="202">
        <v>0.10251450676982586</v>
      </c>
    </row>
    <row r="353" spans="1:14" ht="15.75" customHeight="1">
      <c r="A353" s="198" t="s">
        <v>175</v>
      </c>
      <c r="B353" s="199" t="s">
        <v>177</v>
      </c>
      <c r="C353" s="205" t="s">
        <v>91</v>
      </c>
      <c r="D353" s="203" t="s">
        <v>165</v>
      </c>
      <c r="E353" s="216">
        <v>337</v>
      </c>
      <c r="F353" s="204">
        <v>312</v>
      </c>
      <c r="G353" s="204">
        <v>231</v>
      </c>
      <c r="H353" s="204">
        <v>267</v>
      </c>
      <c r="I353" s="204">
        <v>87</v>
      </c>
      <c r="J353" s="204">
        <v>112</v>
      </c>
      <c r="K353" s="204">
        <v>144</v>
      </c>
      <c r="L353" s="204">
        <v>156</v>
      </c>
      <c r="M353" s="331">
        <v>151</v>
      </c>
      <c r="N353" s="202">
        <v>-0.55192878338278928</v>
      </c>
    </row>
    <row r="354" spans="1:14" ht="15.75" customHeight="1">
      <c r="A354" s="198" t="s">
        <v>175</v>
      </c>
      <c r="B354" s="199" t="s">
        <v>177</v>
      </c>
      <c r="C354" s="205" t="s">
        <v>91</v>
      </c>
      <c r="D354" s="203" t="s">
        <v>91</v>
      </c>
      <c r="E354" s="216">
        <v>390.5</v>
      </c>
      <c r="F354" s="204">
        <v>366</v>
      </c>
      <c r="G354" s="204">
        <v>313</v>
      </c>
      <c r="H354" s="204">
        <v>343</v>
      </c>
      <c r="I354" s="204">
        <v>128</v>
      </c>
      <c r="J354" s="204">
        <v>152</v>
      </c>
      <c r="K354" s="204">
        <v>203</v>
      </c>
      <c r="L354" s="204">
        <v>198</v>
      </c>
      <c r="M354" s="331">
        <v>209</v>
      </c>
      <c r="N354" s="202">
        <v>-0.46478873239436619</v>
      </c>
    </row>
    <row r="355" spans="1:14">
      <c r="A355" s="198" t="s">
        <v>159</v>
      </c>
      <c r="B355" s="199" t="s">
        <v>178</v>
      </c>
      <c r="C355" s="199" t="s">
        <v>161</v>
      </c>
      <c r="D355" s="200" t="s">
        <v>162</v>
      </c>
      <c r="E355" s="213">
        <v>0</v>
      </c>
      <c r="F355" s="201">
        <v>0</v>
      </c>
      <c r="G355" s="201">
        <v>0</v>
      </c>
      <c r="H355" s="201">
        <v>0</v>
      </c>
      <c r="I355" s="201">
        <v>0</v>
      </c>
      <c r="J355" s="201">
        <v>0</v>
      </c>
      <c r="K355" s="201">
        <v>0</v>
      </c>
      <c r="L355" s="201">
        <v>0</v>
      </c>
      <c r="M355" s="330" t="s">
        <v>172</v>
      </c>
      <c r="N355" s="202">
        <v>0</v>
      </c>
    </row>
    <row r="356" spans="1:14" ht="15.75" customHeight="1">
      <c r="A356" s="198" t="s">
        <v>159</v>
      </c>
      <c r="B356" s="199" t="s">
        <v>178</v>
      </c>
      <c r="C356" s="199" t="s">
        <v>161</v>
      </c>
      <c r="D356" s="200" t="s">
        <v>163</v>
      </c>
      <c r="E356" s="213">
        <v>5.4</v>
      </c>
      <c r="F356" s="201">
        <v>5</v>
      </c>
      <c r="G356" s="201">
        <v>2</v>
      </c>
      <c r="H356" s="201">
        <v>8</v>
      </c>
      <c r="I356" s="201">
        <v>2</v>
      </c>
      <c r="J356" s="201">
        <v>2</v>
      </c>
      <c r="K356" s="201">
        <v>7</v>
      </c>
      <c r="L356" s="201">
        <v>5</v>
      </c>
      <c r="M356" s="330">
        <v>3</v>
      </c>
      <c r="N356" s="202">
        <v>-0.44444444444444448</v>
      </c>
    </row>
    <row r="357" spans="1:14" ht="15.75" customHeight="1">
      <c r="A357" s="198" t="s">
        <v>159</v>
      </c>
      <c r="B357" s="199" t="s">
        <v>178</v>
      </c>
      <c r="C357" s="199" t="s">
        <v>161</v>
      </c>
      <c r="D357" s="200" t="s">
        <v>164</v>
      </c>
      <c r="E357" s="213">
        <v>5.4</v>
      </c>
      <c r="F357" s="201">
        <v>5</v>
      </c>
      <c r="G357" s="201">
        <v>2</v>
      </c>
      <c r="H357" s="201">
        <v>8</v>
      </c>
      <c r="I357" s="201">
        <v>2</v>
      </c>
      <c r="J357" s="201">
        <v>2</v>
      </c>
      <c r="K357" s="201">
        <v>7</v>
      </c>
      <c r="L357" s="201">
        <v>5</v>
      </c>
      <c r="M357" s="330">
        <v>3</v>
      </c>
      <c r="N357" s="202">
        <v>-0.44444444444444448</v>
      </c>
    </row>
    <row r="358" spans="1:14" ht="15.75" customHeight="1">
      <c r="A358" s="198" t="s">
        <v>159</v>
      </c>
      <c r="B358" s="199" t="s">
        <v>178</v>
      </c>
      <c r="C358" s="199" t="s">
        <v>161</v>
      </c>
      <c r="D358" s="200" t="s">
        <v>165</v>
      </c>
      <c r="E358" s="213">
        <v>56</v>
      </c>
      <c r="F358" s="201">
        <v>67</v>
      </c>
      <c r="G358" s="201">
        <v>51</v>
      </c>
      <c r="H358" s="201">
        <v>30</v>
      </c>
      <c r="I358" s="201">
        <v>24</v>
      </c>
      <c r="J358" s="201">
        <v>23</v>
      </c>
      <c r="K358" s="201">
        <v>27</v>
      </c>
      <c r="L358" s="201">
        <v>33</v>
      </c>
      <c r="M358" s="330">
        <v>45</v>
      </c>
      <c r="N358" s="202">
        <v>-0.19642857142857142</v>
      </c>
    </row>
    <row r="359" spans="1:14" ht="15.75" customHeight="1">
      <c r="A359" s="198" t="s">
        <v>159</v>
      </c>
      <c r="B359" s="199" t="s">
        <v>178</v>
      </c>
      <c r="C359" s="199" t="s">
        <v>161</v>
      </c>
      <c r="D359" s="203" t="s">
        <v>91</v>
      </c>
      <c r="E359" s="214">
        <v>61.4</v>
      </c>
      <c r="F359" s="204">
        <v>72</v>
      </c>
      <c r="G359" s="204">
        <v>53</v>
      </c>
      <c r="H359" s="204">
        <v>38</v>
      </c>
      <c r="I359" s="204">
        <v>26</v>
      </c>
      <c r="J359" s="204">
        <v>25</v>
      </c>
      <c r="K359" s="204">
        <v>34</v>
      </c>
      <c r="L359" s="204">
        <v>38</v>
      </c>
      <c r="M359" s="331">
        <v>48</v>
      </c>
      <c r="N359" s="202">
        <v>-0.21824104234527686</v>
      </c>
    </row>
    <row r="360" spans="1:14">
      <c r="A360" s="198" t="s">
        <v>159</v>
      </c>
      <c r="B360" s="199" t="s">
        <v>178</v>
      </c>
      <c r="C360" s="199" t="s">
        <v>134</v>
      </c>
      <c r="D360" s="200" t="s">
        <v>162</v>
      </c>
      <c r="E360" s="213">
        <v>2</v>
      </c>
      <c r="F360" s="201">
        <v>0</v>
      </c>
      <c r="G360" s="201">
        <v>0</v>
      </c>
      <c r="H360" s="201">
        <v>1</v>
      </c>
      <c r="I360" s="201">
        <v>1</v>
      </c>
      <c r="J360" s="201">
        <v>1</v>
      </c>
      <c r="K360" s="201">
        <v>0</v>
      </c>
      <c r="L360" s="201">
        <v>0</v>
      </c>
      <c r="M360" s="330">
        <v>1</v>
      </c>
      <c r="N360" s="202">
        <v>-0.5</v>
      </c>
    </row>
    <row r="361" spans="1:14" ht="15.75" customHeight="1">
      <c r="A361" s="198" t="s">
        <v>159</v>
      </c>
      <c r="B361" s="199" t="s">
        <v>178</v>
      </c>
      <c r="C361" s="199" t="s">
        <v>134</v>
      </c>
      <c r="D361" s="200" t="s">
        <v>163</v>
      </c>
      <c r="E361" s="213">
        <v>46.7</v>
      </c>
      <c r="F361" s="201">
        <v>23</v>
      </c>
      <c r="G361" s="201">
        <v>18</v>
      </c>
      <c r="H361" s="201">
        <v>24</v>
      </c>
      <c r="I361" s="201">
        <v>25</v>
      </c>
      <c r="J361" s="201">
        <v>32</v>
      </c>
      <c r="K361" s="201">
        <v>28</v>
      </c>
      <c r="L361" s="201">
        <v>25</v>
      </c>
      <c r="M361" s="330">
        <v>31</v>
      </c>
      <c r="N361" s="202">
        <v>-0.33618843683083516</v>
      </c>
    </row>
    <row r="362" spans="1:14" ht="15.75" customHeight="1">
      <c r="A362" s="198" t="s">
        <v>159</v>
      </c>
      <c r="B362" s="199" t="s">
        <v>178</v>
      </c>
      <c r="C362" s="199" t="s">
        <v>134</v>
      </c>
      <c r="D362" s="200" t="s">
        <v>164</v>
      </c>
      <c r="E362" s="213">
        <v>44.7</v>
      </c>
      <c r="F362" s="201">
        <v>23</v>
      </c>
      <c r="G362" s="201">
        <v>18</v>
      </c>
      <c r="H362" s="201">
        <v>23</v>
      </c>
      <c r="I362" s="201">
        <v>24</v>
      </c>
      <c r="J362" s="201">
        <v>31</v>
      </c>
      <c r="K362" s="201">
        <v>28</v>
      </c>
      <c r="L362" s="201">
        <v>25</v>
      </c>
      <c r="M362" s="330">
        <v>30</v>
      </c>
      <c r="N362" s="202">
        <v>-0.32885906040268459</v>
      </c>
    </row>
    <row r="363" spans="1:14" ht="15.75" customHeight="1">
      <c r="A363" s="198" t="s">
        <v>159</v>
      </c>
      <c r="B363" s="199" t="s">
        <v>178</v>
      </c>
      <c r="C363" s="199" t="s">
        <v>134</v>
      </c>
      <c r="D363" s="200" t="s">
        <v>165</v>
      </c>
      <c r="E363" s="213">
        <v>580</v>
      </c>
      <c r="F363" s="201">
        <v>525</v>
      </c>
      <c r="G363" s="201">
        <v>470</v>
      </c>
      <c r="H363" s="201">
        <v>489</v>
      </c>
      <c r="I363" s="201">
        <v>455</v>
      </c>
      <c r="J363" s="201">
        <v>422</v>
      </c>
      <c r="K363" s="201">
        <v>414</v>
      </c>
      <c r="L363" s="201">
        <v>348</v>
      </c>
      <c r="M363" s="330">
        <v>317</v>
      </c>
      <c r="N363" s="202">
        <v>-0.45344827586206898</v>
      </c>
    </row>
    <row r="364" spans="1:14" ht="15.75" customHeight="1">
      <c r="A364" s="198" t="s">
        <v>159</v>
      </c>
      <c r="B364" s="199" t="s">
        <v>178</v>
      </c>
      <c r="C364" s="199" t="s">
        <v>134</v>
      </c>
      <c r="D364" s="203" t="s">
        <v>91</v>
      </c>
      <c r="E364" s="214">
        <v>626.70000000000005</v>
      </c>
      <c r="F364" s="204">
        <v>548</v>
      </c>
      <c r="G364" s="204">
        <v>488</v>
      </c>
      <c r="H364" s="204">
        <v>513</v>
      </c>
      <c r="I364" s="204">
        <v>480</v>
      </c>
      <c r="J364" s="204">
        <v>454</v>
      </c>
      <c r="K364" s="204">
        <v>442</v>
      </c>
      <c r="L364" s="204">
        <v>373</v>
      </c>
      <c r="M364" s="331">
        <v>348</v>
      </c>
      <c r="N364" s="202">
        <v>-0.44471038774533272</v>
      </c>
    </row>
    <row r="365" spans="1:14">
      <c r="A365" s="198" t="s">
        <v>159</v>
      </c>
      <c r="B365" s="199" t="s">
        <v>178</v>
      </c>
      <c r="C365" s="199" t="s">
        <v>166</v>
      </c>
      <c r="D365" s="200" t="s">
        <v>162</v>
      </c>
      <c r="E365" s="213">
        <v>0.2</v>
      </c>
      <c r="F365" s="201">
        <v>0</v>
      </c>
      <c r="G365" s="201">
        <v>0</v>
      </c>
      <c r="H365" s="201">
        <v>0</v>
      </c>
      <c r="I365" s="201">
        <v>0</v>
      </c>
      <c r="J365" s="201">
        <v>0</v>
      </c>
      <c r="K365" s="201">
        <v>0</v>
      </c>
      <c r="L365" s="201">
        <v>0</v>
      </c>
      <c r="M365" s="330" t="s">
        <v>172</v>
      </c>
      <c r="N365" s="202">
        <v>-1</v>
      </c>
    </row>
    <row r="366" spans="1:14" ht="15.75" customHeight="1">
      <c r="A366" s="198" t="s">
        <v>159</v>
      </c>
      <c r="B366" s="199" t="s">
        <v>178</v>
      </c>
      <c r="C366" s="199" t="s">
        <v>166</v>
      </c>
      <c r="D366" s="200" t="s">
        <v>163</v>
      </c>
      <c r="E366" s="213">
        <v>2.9</v>
      </c>
      <c r="F366" s="201">
        <v>1</v>
      </c>
      <c r="G366" s="201">
        <v>1</v>
      </c>
      <c r="H366" s="201">
        <v>3</v>
      </c>
      <c r="I366" s="201">
        <v>0</v>
      </c>
      <c r="J366" s="201">
        <v>1</v>
      </c>
      <c r="K366" s="201">
        <v>1</v>
      </c>
      <c r="L366" s="201">
        <v>4</v>
      </c>
      <c r="M366" s="330">
        <v>1</v>
      </c>
      <c r="N366" s="202">
        <v>-0.65517241379310343</v>
      </c>
    </row>
    <row r="367" spans="1:14" ht="15.75" customHeight="1">
      <c r="A367" s="198" t="s">
        <v>159</v>
      </c>
      <c r="B367" s="199" t="s">
        <v>178</v>
      </c>
      <c r="C367" s="199" t="s">
        <v>166</v>
      </c>
      <c r="D367" s="200" t="s">
        <v>164</v>
      </c>
      <c r="E367" s="213">
        <v>2.7</v>
      </c>
      <c r="F367" s="201">
        <v>1</v>
      </c>
      <c r="G367" s="201">
        <v>1</v>
      </c>
      <c r="H367" s="201">
        <v>3</v>
      </c>
      <c r="I367" s="201">
        <v>0</v>
      </c>
      <c r="J367" s="201">
        <v>1</v>
      </c>
      <c r="K367" s="201">
        <v>1</v>
      </c>
      <c r="L367" s="201">
        <v>4</v>
      </c>
      <c r="M367" s="330">
        <v>1</v>
      </c>
      <c r="N367" s="202">
        <v>-0.62962962962962965</v>
      </c>
    </row>
    <row r="368" spans="1:14" ht="15.75" customHeight="1">
      <c r="A368" s="198" t="s">
        <v>159</v>
      </c>
      <c r="B368" s="199" t="s">
        <v>178</v>
      </c>
      <c r="C368" s="199" t="s">
        <v>166</v>
      </c>
      <c r="D368" s="200" t="s">
        <v>165</v>
      </c>
      <c r="E368" s="213">
        <v>24.4</v>
      </c>
      <c r="F368" s="201">
        <v>21</v>
      </c>
      <c r="G368" s="201">
        <v>15</v>
      </c>
      <c r="H368" s="201">
        <v>23</v>
      </c>
      <c r="I368" s="201">
        <v>18</v>
      </c>
      <c r="J368" s="201">
        <v>26</v>
      </c>
      <c r="K368" s="201">
        <v>25</v>
      </c>
      <c r="L368" s="201">
        <v>21</v>
      </c>
      <c r="M368" s="330">
        <v>23</v>
      </c>
      <c r="N368" s="202">
        <v>-5.7377049180327815E-2</v>
      </c>
    </row>
    <row r="369" spans="1:14" ht="15.75" customHeight="1">
      <c r="A369" s="198" t="s">
        <v>159</v>
      </c>
      <c r="B369" s="199" t="s">
        <v>178</v>
      </c>
      <c r="C369" s="199" t="s">
        <v>166</v>
      </c>
      <c r="D369" s="203" t="s">
        <v>91</v>
      </c>
      <c r="E369" s="214">
        <v>27.3</v>
      </c>
      <c r="F369" s="204">
        <v>22</v>
      </c>
      <c r="G369" s="204">
        <v>16</v>
      </c>
      <c r="H369" s="204">
        <v>26</v>
      </c>
      <c r="I369" s="204">
        <v>18</v>
      </c>
      <c r="J369" s="204">
        <v>27</v>
      </c>
      <c r="K369" s="204">
        <v>26</v>
      </c>
      <c r="L369" s="204">
        <v>25</v>
      </c>
      <c r="M369" s="331">
        <v>24</v>
      </c>
      <c r="N369" s="202">
        <v>-0.12087912087912091</v>
      </c>
    </row>
    <row r="370" spans="1:14">
      <c r="A370" s="198" t="s">
        <v>159</v>
      </c>
      <c r="B370" s="199" t="s">
        <v>178</v>
      </c>
      <c r="C370" s="199" t="s">
        <v>133</v>
      </c>
      <c r="D370" s="200" t="s">
        <v>162</v>
      </c>
      <c r="E370" s="213">
        <v>1.8</v>
      </c>
      <c r="F370" s="201">
        <v>2</v>
      </c>
      <c r="G370" s="201">
        <v>2</v>
      </c>
      <c r="H370" s="201">
        <v>4</v>
      </c>
      <c r="I370" s="201">
        <v>0</v>
      </c>
      <c r="J370" s="201">
        <v>1</v>
      </c>
      <c r="K370" s="201">
        <v>1</v>
      </c>
      <c r="L370" s="201">
        <v>1</v>
      </c>
      <c r="M370" s="330" t="s">
        <v>172</v>
      </c>
      <c r="N370" s="202">
        <v>-1</v>
      </c>
    </row>
    <row r="371" spans="1:14" ht="15.75" customHeight="1">
      <c r="A371" s="198" t="s">
        <v>159</v>
      </c>
      <c r="B371" s="199" t="s">
        <v>178</v>
      </c>
      <c r="C371" s="199" t="s">
        <v>133</v>
      </c>
      <c r="D371" s="200" t="s">
        <v>163</v>
      </c>
      <c r="E371" s="213">
        <v>39.1</v>
      </c>
      <c r="F371" s="201">
        <v>39</v>
      </c>
      <c r="G371" s="201">
        <v>38</v>
      </c>
      <c r="H371" s="201">
        <v>56</v>
      </c>
      <c r="I371" s="201">
        <v>47</v>
      </c>
      <c r="J371" s="201">
        <v>49</v>
      </c>
      <c r="K371" s="201">
        <v>47</v>
      </c>
      <c r="L371" s="201">
        <v>36</v>
      </c>
      <c r="M371" s="330">
        <v>44</v>
      </c>
      <c r="N371" s="202">
        <v>0.12531969309462912</v>
      </c>
    </row>
    <row r="372" spans="1:14" ht="15.75" customHeight="1">
      <c r="A372" s="198" t="s">
        <v>159</v>
      </c>
      <c r="B372" s="199" t="s">
        <v>178</v>
      </c>
      <c r="C372" s="199" t="s">
        <v>133</v>
      </c>
      <c r="D372" s="200" t="s">
        <v>164</v>
      </c>
      <c r="E372" s="213">
        <v>37.299999999999997</v>
      </c>
      <c r="F372" s="201">
        <v>37</v>
      </c>
      <c r="G372" s="201">
        <v>36</v>
      </c>
      <c r="H372" s="201">
        <v>52</v>
      </c>
      <c r="I372" s="201">
        <v>47</v>
      </c>
      <c r="J372" s="201">
        <v>48</v>
      </c>
      <c r="K372" s="201">
        <v>46</v>
      </c>
      <c r="L372" s="201">
        <v>35</v>
      </c>
      <c r="M372" s="330">
        <v>44</v>
      </c>
      <c r="N372" s="202">
        <v>0.17962466487935666</v>
      </c>
    </row>
    <row r="373" spans="1:14" ht="15.75" customHeight="1">
      <c r="A373" s="198" t="s">
        <v>159</v>
      </c>
      <c r="B373" s="199" t="s">
        <v>178</v>
      </c>
      <c r="C373" s="199" t="s">
        <v>133</v>
      </c>
      <c r="D373" s="200" t="s">
        <v>165</v>
      </c>
      <c r="E373" s="213">
        <v>130</v>
      </c>
      <c r="F373" s="201">
        <v>129</v>
      </c>
      <c r="G373" s="201">
        <v>129</v>
      </c>
      <c r="H373" s="201">
        <v>139</v>
      </c>
      <c r="I373" s="201">
        <v>169</v>
      </c>
      <c r="J373" s="201">
        <v>219</v>
      </c>
      <c r="K373" s="201">
        <v>182</v>
      </c>
      <c r="L373" s="201">
        <v>421</v>
      </c>
      <c r="M373" s="330">
        <v>266</v>
      </c>
      <c r="N373" s="202">
        <v>1.0461538461538462</v>
      </c>
    </row>
    <row r="374" spans="1:14" ht="15.75" customHeight="1">
      <c r="A374" s="198" t="s">
        <v>159</v>
      </c>
      <c r="B374" s="199" t="s">
        <v>178</v>
      </c>
      <c r="C374" s="199" t="s">
        <v>133</v>
      </c>
      <c r="D374" s="203" t="s">
        <v>91</v>
      </c>
      <c r="E374" s="214">
        <v>169.1</v>
      </c>
      <c r="F374" s="204">
        <v>168</v>
      </c>
      <c r="G374" s="204">
        <v>167</v>
      </c>
      <c r="H374" s="204">
        <v>195</v>
      </c>
      <c r="I374" s="204">
        <v>216</v>
      </c>
      <c r="J374" s="204">
        <v>268</v>
      </c>
      <c r="K374" s="204">
        <v>229</v>
      </c>
      <c r="L374" s="204">
        <v>457</v>
      </c>
      <c r="M374" s="331">
        <v>310</v>
      </c>
      <c r="N374" s="202">
        <v>0.83323477232406862</v>
      </c>
    </row>
    <row r="375" spans="1:14" ht="15.75" customHeight="1">
      <c r="A375" s="198" t="s">
        <v>159</v>
      </c>
      <c r="B375" s="199" t="s">
        <v>178</v>
      </c>
      <c r="C375" s="199" t="s">
        <v>167</v>
      </c>
      <c r="D375" s="200" t="s">
        <v>162</v>
      </c>
      <c r="E375" s="213">
        <v>0</v>
      </c>
      <c r="F375" s="201">
        <v>0</v>
      </c>
      <c r="G375" s="201">
        <v>0</v>
      </c>
      <c r="H375" s="201">
        <v>0</v>
      </c>
      <c r="I375" s="201">
        <v>0</v>
      </c>
      <c r="J375" s="201">
        <v>0</v>
      </c>
      <c r="K375" s="201">
        <v>0</v>
      </c>
      <c r="L375" s="201">
        <v>0</v>
      </c>
      <c r="M375" s="330" t="s">
        <v>172</v>
      </c>
      <c r="N375" s="202">
        <v>0</v>
      </c>
    </row>
    <row r="376" spans="1:14" ht="15.75" customHeight="1">
      <c r="A376" s="198" t="s">
        <v>159</v>
      </c>
      <c r="B376" s="199" t="s">
        <v>178</v>
      </c>
      <c r="C376" s="199" t="s">
        <v>167</v>
      </c>
      <c r="D376" s="200" t="s">
        <v>163</v>
      </c>
      <c r="E376" s="213">
        <v>0.7</v>
      </c>
      <c r="F376" s="201">
        <v>2</v>
      </c>
      <c r="G376" s="201">
        <v>0</v>
      </c>
      <c r="H376" s="201">
        <v>0</v>
      </c>
      <c r="I376" s="201">
        <v>8</v>
      </c>
      <c r="J376" s="201">
        <v>4</v>
      </c>
      <c r="K376" s="201">
        <v>6</v>
      </c>
      <c r="L376" s="201">
        <v>6</v>
      </c>
      <c r="M376" s="330">
        <v>4</v>
      </c>
      <c r="N376" s="202">
        <v>4.7142857142857144</v>
      </c>
    </row>
    <row r="377" spans="1:14" ht="15.75" customHeight="1">
      <c r="A377" s="198" t="s">
        <v>159</v>
      </c>
      <c r="B377" s="199" t="s">
        <v>178</v>
      </c>
      <c r="C377" s="199" t="s">
        <v>167</v>
      </c>
      <c r="D377" s="200" t="s">
        <v>164</v>
      </c>
      <c r="E377" s="213">
        <v>0.7</v>
      </c>
      <c r="F377" s="201">
        <v>2</v>
      </c>
      <c r="G377" s="201">
        <v>0</v>
      </c>
      <c r="H377" s="201">
        <v>0</v>
      </c>
      <c r="I377" s="201">
        <v>8</v>
      </c>
      <c r="J377" s="201">
        <v>4</v>
      </c>
      <c r="K377" s="201">
        <v>6</v>
      </c>
      <c r="L377" s="201">
        <v>6</v>
      </c>
      <c r="M377" s="330">
        <v>4</v>
      </c>
      <c r="N377" s="202">
        <v>4.7142857142857144</v>
      </c>
    </row>
    <row r="378" spans="1:14" ht="15.75" customHeight="1">
      <c r="A378" s="198" t="s">
        <v>159</v>
      </c>
      <c r="B378" s="199" t="s">
        <v>178</v>
      </c>
      <c r="C378" s="199" t="s">
        <v>167</v>
      </c>
      <c r="D378" s="200" t="s">
        <v>165</v>
      </c>
      <c r="E378" s="213">
        <v>5.6</v>
      </c>
      <c r="F378" s="201">
        <v>0</v>
      </c>
      <c r="G378" s="201">
        <v>3</v>
      </c>
      <c r="H378" s="201">
        <v>3</v>
      </c>
      <c r="I378" s="201">
        <v>20</v>
      </c>
      <c r="J378" s="201">
        <v>12</v>
      </c>
      <c r="K378" s="201">
        <v>14</v>
      </c>
      <c r="L378" s="201">
        <v>11</v>
      </c>
      <c r="M378" s="330">
        <v>11</v>
      </c>
      <c r="N378" s="202">
        <v>0.96428571428571441</v>
      </c>
    </row>
    <row r="379" spans="1:14" ht="15.75" customHeight="1">
      <c r="A379" s="198" t="s">
        <v>159</v>
      </c>
      <c r="B379" s="199" t="s">
        <v>178</v>
      </c>
      <c r="C379" s="199" t="s">
        <v>167</v>
      </c>
      <c r="D379" s="203" t="s">
        <v>91</v>
      </c>
      <c r="E379" s="214">
        <v>6.3</v>
      </c>
      <c r="F379" s="204">
        <v>2</v>
      </c>
      <c r="G379" s="204">
        <v>3</v>
      </c>
      <c r="H379" s="204">
        <v>3</v>
      </c>
      <c r="I379" s="204">
        <v>28</v>
      </c>
      <c r="J379" s="204">
        <v>16</v>
      </c>
      <c r="K379" s="204">
        <v>20</v>
      </c>
      <c r="L379" s="204">
        <v>17</v>
      </c>
      <c r="M379" s="331">
        <v>15</v>
      </c>
      <c r="N379" s="202">
        <v>1.3809523809523809</v>
      </c>
    </row>
    <row r="380" spans="1:14" ht="15.75" customHeight="1">
      <c r="A380" s="198" t="s">
        <v>159</v>
      </c>
      <c r="B380" s="199" t="s">
        <v>178</v>
      </c>
      <c r="C380" s="199" t="s">
        <v>168</v>
      </c>
      <c r="D380" s="200" t="s">
        <v>162</v>
      </c>
      <c r="E380" s="213">
        <v>0.4</v>
      </c>
      <c r="F380" s="201">
        <v>0</v>
      </c>
      <c r="G380" s="201">
        <v>0</v>
      </c>
      <c r="H380" s="201">
        <v>0</v>
      </c>
      <c r="I380" s="201">
        <v>0</v>
      </c>
      <c r="J380" s="201">
        <v>0</v>
      </c>
      <c r="K380" s="201">
        <v>1</v>
      </c>
      <c r="L380" s="201">
        <v>0</v>
      </c>
      <c r="M380" s="330" t="s">
        <v>172</v>
      </c>
      <c r="N380" s="202">
        <v>-1</v>
      </c>
    </row>
    <row r="381" spans="1:14" ht="15.75" customHeight="1">
      <c r="A381" s="198" t="s">
        <v>159</v>
      </c>
      <c r="B381" s="199" t="s">
        <v>178</v>
      </c>
      <c r="C381" s="199" t="s">
        <v>168</v>
      </c>
      <c r="D381" s="200" t="s">
        <v>163</v>
      </c>
      <c r="E381" s="213">
        <v>18.8</v>
      </c>
      <c r="F381" s="201">
        <v>15</v>
      </c>
      <c r="G381" s="201">
        <v>11</v>
      </c>
      <c r="H381" s="201">
        <v>20</v>
      </c>
      <c r="I381" s="201">
        <v>22</v>
      </c>
      <c r="J381" s="201">
        <v>19</v>
      </c>
      <c r="K381" s="201">
        <v>26</v>
      </c>
      <c r="L381" s="201">
        <v>23</v>
      </c>
      <c r="M381" s="330">
        <v>22</v>
      </c>
      <c r="N381" s="202">
        <v>0.17021276595744678</v>
      </c>
    </row>
    <row r="382" spans="1:14" ht="15.75" customHeight="1">
      <c r="A382" s="198" t="s">
        <v>159</v>
      </c>
      <c r="B382" s="199" t="s">
        <v>178</v>
      </c>
      <c r="C382" s="199" t="s">
        <v>168</v>
      </c>
      <c r="D382" s="200" t="s">
        <v>164</v>
      </c>
      <c r="E382" s="213">
        <v>18.399999999999999</v>
      </c>
      <c r="F382" s="201">
        <v>15</v>
      </c>
      <c r="G382" s="201">
        <v>11</v>
      </c>
      <c r="H382" s="201">
        <v>20</v>
      </c>
      <c r="I382" s="201">
        <v>22</v>
      </c>
      <c r="J382" s="201">
        <v>19</v>
      </c>
      <c r="K382" s="201">
        <v>25</v>
      </c>
      <c r="L382" s="201">
        <v>23</v>
      </c>
      <c r="M382" s="330">
        <v>22</v>
      </c>
      <c r="N382" s="202">
        <v>0.19565217391304357</v>
      </c>
    </row>
    <row r="383" spans="1:14" ht="15.75" customHeight="1">
      <c r="A383" s="198" t="s">
        <v>159</v>
      </c>
      <c r="B383" s="199" t="s">
        <v>178</v>
      </c>
      <c r="C383" s="199" t="s">
        <v>168</v>
      </c>
      <c r="D383" s="200" t="s">
        <v>165</v>
      </c>
      <c r="E383" s="213">
        <v>87.8</v>
      </c>
      <c r="F383" s="201">
        <v>54</v>
      </c>
      <c r="G383" s="201">
        <v>79</v>
      </c>
      <c r="H383" s="201">
        <v>66</v>
      </c>
      <c r="I383" s="201">
        <v>92</v>
      </c>
      <c r="J383" s="201">
        <v>105</v>
      </c>
      <c r="K383" s="201">
        <v>100</v>
      </c>
      <c r="L383" s="201">
        <v>90</v>
      </c>
      <c r="M383" s="330">
        <v>82</v>
      </c>
      <c r="N383" s="202">
        <v>-6.6059225512528449E-2</v>
      </c>
    </row>
    <row r="384" spans="1:14" ht="15.75" customHeight="1">
      <c r="A384" s="198" t="s">
        <v>159</v>
      </c>
      <c r="B384" s="199" t="s">
        <v>178</v>
      </c>
      <c r="C384" s="199" t="s">
        <v>168</v>
      </c>
      <c r="D384" s="203" t="s">
        <v>91</v>
      </c>
      <c r="E384" s="214">
        <v>106.6</v>
      </c>
      <c r="F384" s="204">
        <v>69</v>
      </c>
      <c r="G384" s="204">
        <v>90</v>
      </c>
      <c r="H384" s="204">
        <v>86</v>
      </c>
      <c r="I384" s="204">
        <v>114</v>
      </c>
      <c r="J384" s="204">
        <v>124</v>
      </c>
      <c r="K384" s="204">
        <v>126</v>
      </c>
      <c r="L384" s="204">
        <v>113</v>
      </c>
      <c r="M384" s="331">
        <v>104</v>
      </c>
      <c r="N384" s="202">
        <v>-2.4390243902438973E-2</v>
      </c>
    </row>
    <row r="385" spans="1:14" ht="15.75" customHeight="1">
      <c r="A385" s="198" t="s">
        <v>159</v>
      </c>
      <c r="B385" s="199" t="s">
        <v>178</v>
      </c>
      <c r="C385" s="199" t="s">
        <v>131</v>
      </c>
      <c r="D385" s="200" t="s">
        <v>162</v>
      </c>
      <c r="E385" s="213">
        <v>4</v>
      </c>
      <c r="F385" s="201">
        <v>3</v>
      </c>
      <c r="G385" s="201">
        <v>2</v>
      </c>
      <c r="H385" s="201">
        <v>3</v>
      </c>
      <c r="I385" s="201">
        <v>1</v>
      </c>
      <c r="J385" s="201">
        <v>2</v>
      </c>
      <c r="K385" s="201">
        <v>0</v>
      </c>
      <c r="L385" s="201">
        <v>3</v>
      </c>
      <c r="M385" s="330" t="s">
        <v>172</v>
      </c>
      <c r="N385" s="202">
        <v>-1</v>
      </c>
    </row>
    <row r="386" spans="1:14" ht="15.75" customHeight="1">
      <c r="A386" s="198" t="s">
        <v>159</v>
      </c>
      <c r="B386" s="199" t="s">
        <v>178</v>
      </c>
      <c r="C386" s="199" t="s">
        <v>131</v>
      </c>
      <c r="D386" s="200" t="s">
        <v>163</v>
      </c>
      <c r="E386" s="213">
        <v>55.2</v>
      </c>
      <c r="F386" s="201">
        <v>41</v>
      </c>
      <c r="G386" s="201">
        <v>40</v>
      </c>
      <c r="H386" s="201">
        <v>52</v>
      </c>
      <c r="I386" s="201">
        <v>42</v>
      </c>
      <c r="J386" s="201">
        <v>55</v>
      </c>
      <c r="K386" s="201">
        <v>52</v>
      </c>
      <c r="L386" s="201">
        <v>55</v>
      </c>
      <c r="M386" s="330">
        <v>51</v>
      </c>
      <c r="N386" s="202">
        <v>-7.6086956521739177E-2</v>
      </c>
    </row>
    <row r="387" spans="1:14" ht="15.75" customHeight="1">
      <c r="A387" s="198" t="s">
        <v>159</v>
      </c>
      <c r="B387" s="199" t="s">
        <v>178</v>
      </c>
      <c r="C387" s="199" t="s">
        <v>131</v>
      </c>
      <c r="D387" s="200" t="s">
        <v>164</v>
      </c>
      <c r="E387" s="213">
        <v>51.2</v>
      </c>
      <c r="F387" s="201">
        <v>38</v>
      </c>
      <c r="G387" s="201">
        <v>38</v>
      </c>
      <c r="H387" s="201">
        <v>49</v>
      </c>
      <c r="I387" s="201">
        <v>41</v>
      </c>
      <c r="J387" s="201">
        <v>53</v>
      </c>
      <c r="K387" s="201">
        <v>52</v>
      </c>
      <c r="L387" s="201">
        <v>52</v>
      </c>
      <c r="M387" s="330">
        <v>51</v>
      </c>
      <c r="N387" s="202">
        <v>-3.9062500000000555E-3</v>
      </c>
    </row>
    <row r="388" spans="1:14" ht="15.75" customHeight="1">
      <c r="A388" s="198" t="s">
        <v>159</v>
      </c>
      <c r="B388" s="199" t="s">
        <v>178</v>
      </c>
      <c r="C388" s="199" t="s">
        <v>131</v>
      </c>
      <c r="D388" s="200" t="s">
        <v>165</v>
      </c>
      <c r="E388" s="213">
        <v>176.1</v>
      </c>
      <c r="F388" s="201">
        <v>221</v>
      </c>
      <c r="G388" s="201">
        <v>173</v>
      </c>
      <c r="H388" s="201">
        <v>190</v>
      </c>
      <c r="I388" s="201">
        <v>141</v>
      </c>
      <c r="J388" s="201">
        <v>128</v>
      </c>
      <c r="K388" s="201">
        <v>143</v>
      </c>
      <c r="L388" s="201">
        <v>153</v>
      </c>
      <c r="M388" s="330">
        <v>134</v>
      </c>
      <c r="N388" s="202">
        <v>-0.23906871095968196</v>
      </c>
    </row>
    <row r="389" spans="1:14" ht="15.75" customHeight="1">
      <c r="A389" s="198" t="s">
        <v>159</v>
      </c>
      <c r="B389" s="199" t="s">
        <v>178</v>
      </c>
      <c r="C389" s="199" t="s">
        <v>131</v>
      </c>
      <c r="D389" s="203" t="s">
        <v>91</v>
      </c>
      <c r="E389" s="214">
        <v>231.3</v>
      </c>
      <c r="F389" s="204">
        <v>262</v>
      </c>
      <c r="G389" s="204">
        <v>213</v>
      </c>
      <c r="H389" s="204">
        <v>242</v>
      </c>
      <c r="I389" s="204">
        <v>183</v>
      </c>
      <c r="J389" s="204">
        <v>183</v>
      </c>
      <c r="K389" s="204">
        <v>195</v>
      </c>
      <c r="L389" s="204">
        <v>208</v>
      </c>
      <c r="M389" s="331">
        <v>185</v>
      </c>
      <c r="N389" s="202">
        <v>-0.20017293558149593</v>
      </c>
    </row>
    <row r="390" spans="1:14">
      <c r="A390" s="198" t="s">
        <v>159</v>
      </c>
      <c r="B390" s="199" t="s">
        <v>178</v>
      </c>
      <c r="C390" s="199" t="s">
        <v>169</v>
      </c>
      <c r="D390" s="200" t="s">
        <v>162</v>
      </c>
      <c r="E390" s="213">
        <v>0</v>
      </c>
      <c r="F390" s="201">
        <v>0</v>
      </c>
      <c r="G390" s="201">
        <v>0</v>
      </c>
      <c r="H390" s="201">
        <v>0</v>
      </c>
      <c r="I390" s="201">
        <v>0</v>
      </c>
      <c r="J390" s="201">
        <v>0</v>
      </c>
      <c r="K390" s="201">
        <v>0</v>
      </c>
      <c r="L390" s="201">
        <v>0</v>
      </c>
      <c r="M390" s="330" t="s">
        <v>172</v>
      </c>
      <c r="N390" s="202">
        <v>0</v>
      </c>
    </row>
    <row r="391" spans="1:14" ht="15.75" customHeight="1">
      <c r="A391" s="198" t="s">
        <v>159</v>
      </c>
      <c r="B391" s="199" t="s">
        <v>178</v>
      </c>
      <c r="C391" s="199" t="s">
        <v>169</v>
      </c>
      <c r="D391" s="200" t="s">
        <v>163</v>
      </c>
      <c r="E391" s="213">
        <v>0</v>
      </c>
      <c r="F391" s="201">
        <v>0</v>
      </c>
      <c r="G391" s="201">
        <v>1</v>
      </c>
      <c r="H391" s="201">
        <v>0</v>
      </c>
      <c r="I391" s="201">
        <v>0</v>
      </c>
      <c r="J391" s="201">
        <v>0</v>
      </c>
      <c r="K391" s="201">
        <v>1</v>
      </c>
      <c r="L391" s="201">
        <v>0</v>
      </c>
      <c r="M391" s="330">
        <v>0</v>
      </c>
      <c r="N391" s="202">
        <v>0</v>
      </c>
    </row>
    <row r="392" spans="1:14" ht="15.75" customHeight="1">
      <c r="A392" s="198" t="s">
        <v>159</v>
      </c>
      <c r="B392" s="199" t="s">
        <v>178</v>
      </c>
      <c r="C392" s="199" t="s">
        <v>169</v>
      </c>
      <c r="D392" s="200" t="s">
        <v>164</v>
      </c>
      <c r="E392" s="213">
        <v>0</v>
      </c>
      <c r="F392" s="201">
        <v>0</v>
      </c>
      <c r="G392" s="201">
        <v>1</v>
      </c>
      <c r="H392" s="201">
        <v>0</v>
      </c>
      <c r="I392" s="201">
        <v>0</v>
      </c>
      <c r="J392" s="201">
        <v>0</v>
      </c>
      <c r="K392" s="201">
        <v>1</v>
      </c>
      <c r="L392" s="201">
        <v>0</v>
      </c>
      <c r="M392" s="330" t="s">
        <v>172</v>
      </c>
      <c r="N392" s="202">
        <v>0</v>
      </c>
    </row>
    <row r="393" spans="1:14" ht="15.75" customHeight="1">
      <c r="A393" s="198" t="s">
        <v>159</v>
      </c>
      <c r="B393" s="199" t="s">
        <v>178</v>
      </c>
      <c r="C393" s="199" t="s">
        <v>169</v>
      </c>
      <c r="D393" s="200" t="s">
        <v>165</v>
      </c>
      <c r="E393" s="213">
        <v>0</v>
      </c>
      <c r="F393" s="201">
        <v>12</v>
      </c>
      <c r="G393" s="201">
        <v>9</v>
      </c>
      <c r="H393" s="201">
        <v>6</v>
      </c>
      <c r="I393" s="201">
        <v>1</v>
      </c>
      <c r="J393" s="201">
        <v>4</v>
      </c>
      <c r="K393" s="201">
        <v>8</v>
      </c>
      <c r="L393" s="201">
        <v>19</v>
      </c>
      <c r="M393" s="330">
        <v>7</v>
      </c>
      <c r="N393" s="202">
        <v>0</v>
      </c>
    </row>
    <row r="394" spans="1:14" ht="15.75" customHeight="1">
      <c r="A394" s="198" t="s">
        <v>159</v>
      </c>
      <c r="B394" s="199" t="s">
        <v>178</v>
      </c>
      <c r="C394" s="199" t="s">
        <v>169</v>
      </c>
      <c r="D394" s="203" t="s">
        <v>91</v>
      </c>
      <c r="E394" s="214">
        <v>0</v>
      </c>
      <c r="F394" s="204">
        <v>12</v>
      </c>
      <c r="G394" s="204">
        <v>10</v>
      </c>
      <c r="H394" s="204">
        <v>6</v>
      </c>
      <c r="I394" s="204">
        <v>1</v>
      </c>
      <c r="J394" s="204">
        <v>4</v>
      </c>
      <c r="K394" s="204">
        <v>9</v>
      </c>
      <c r="L394" s="204">
        <v>19</v>
      </c>
      <c r="M394" s="331">
        <v>7</v>
      </c>
      <c r="N394" s="202">
        <v>0</v>
      </c>
    </row>
    <row r="395" spans="1:14" ht="15.75" customHeight="1">
      <c r="A395" s="198" t="s">
        <v>159</v>
      </c>
      <c r="B395" s="199" t="s">
        <v>178</v>
      </c>
      <c r="C395" s="199" t="s">
        <v>139</v>
      </c>
      <c r="D395" s="200" t="s">
        <v>162</v>
      </c>
      <c r="E395" s="213">
        <v>0</v>
      </c>
      <c r="F395" s="201">
        <v>0</v>
      </c>
      <c r="G395" s="201">
        <v>0</v>
      </c>
      <c r="H395" s="201">
        <v>0</v>
      </c>
      <c r="I395" s="201">
        <v>0</v>
      </c>
      <c r="J395" s="201">
        <v>0</v>
      </c>
      <c r="K395" s="201">
        <v>0</v>
      </c>
      <c r="L395" s="201">
        <v>0</v>
      </c>
      <c r="M395" s="330" t="s">
        <v>172</v>
      </c>
      <c r="N395" s="202">
        <v>0</v>
      </c>
    </row>
    <row r="396" spans="1:14" ht="15.75" customHeight="1">
      <c r="A396" s="198" t="s">
        <v>159</v>
      </c>
      <c r="B396" s="199" t="s">
        <v>178</v>
      </c>
      <c r="C396" s="199" t="s">
        <v>139</v>
      </c>
      <c r="D396" s="200" t="s">
        <v>163</v>
      </c>
      <c r="E396" s="213">
        <v>1.4</v>
      </c>
      <c r="F396" s="201">
        <v>0</v>
      </c>
      <c r="G396" s="201">
        <v>0</v>
      </c>
      <c r="H396" s="201">
        <v>1</v>
      </c>
      <c r="I396" s="201">
        <v>1</v>
      </c>
      <c r="J396" s="201">
        <v>0</v>
      </c>
      <c r="K396" s="201">
        <v>0</v>
      </c>
      <c r="L396" s="201">
        <v>0</v>
      </c>
      <c r="M396" s="330">
        <v>0</v>
      </c>
      <c r="N396" s="202">
        <v>-1</v>
      </c>
    </row>
    <row r="397" spans="1:14" ht="15.75" customHeight="1">
      <c r="A397" s="198" t="s">
        <v>159</v>
      </c>
      <c r="B397" s="199" t="s">
        <v>178</v>
      </c>
      <c r="C397" s="199" t="s">
        <v>139</v>
      </c>
      <c r="D397" s="200" t="s">
        <v>164</v>
      </c>
      <c r="E397" s="213">
        <v>1.4</v>
      </c>
      <c r="F397" s="201">
        <v>0</v>
      </c>
      <c r="G397" s="201">
        <v>0</v>
      </c>
      <c r="H397" s="201">
        <v>1</v>
      </c>
      <c r="I397" s="201">
        <v>1</v>
      </c>
      <c r="J397" s="201">
        <v>0</v>
      </c>
      <c r="K397" s="201">
        <v>0</v>
      </c>
      <c r="L397" s="201">
        <v>0</v>
      </c>
      <c r="M397" s="330" t="s">
        <v>172</v>
      </c>
      <c r="N397" s="202">
        <v>-1</v>
      </c>
    </row>
    <row r="398" spans="1:14" ht="15.75" customHeight="1">
      <c r="A398" s="198" t="s">
        <v>159</v>
      </c>
      <c r="B398" s="199" t="s">
        <v>178</v>
      </c>
      <c r="C398" s="199" t="s">
        <v>139</v>
      </c>
      <c r="D398" s="200" t="s">
        <v>165</v>
      </c>
      <c r="E398" s="213">
        <v>14.8</v>
      </c>
      <c r="F398" s="201">
        <v>2</v>
      </c>
      <c r="G398" s="201">
        <v>9</v>
      </c>
      <c r="H398" s="201">
        <v>17</v>
      </c>
      <c r="I398" s="201">
        <v>18</v>
      </c>
      <c r="J398" s="201">
        <v>11</v>
      </c>
      <c r="K398" s="201">
        <v>10</v>
      </c>
      <c r="L398" s="201">
        <v>10</v>
      </c>
      <c r="M398" s="330">
        <v>7</v>
      </c>
      <c r="N398" s="202">
        <v>-0.52702702702702708</v>
      </c>
    </row>
    <row r="399" spans="1:14" ht="15.75" customHeight="1">
      <c r="A399" s="198" t="s">
        <v>159</v>
      </c>
      <c r="B399" s="199" t="s">
        <v>178</v>
      </c>
      <c r="C399" s="199" t="s">
        <v>139</v>
      </c>
      <c r="D399" s="203" t="s">
        <v>91</v>
      </c>
      <c r="E399" s="214">
        <v>16.2</v>
      </c>
      <c r="F399" s="204">
        <v>2</v>
      </c>
      <c r="G399" s="204">
        <v>9</v>
      </c>
      <c r="H399" s="204">
        <v>18</v>
      </c>
      <c r="I399" s="204">
        <v>19</v>
      </c>
      <c r="J399" s="204">
        <v>11</v>
      </c>
      <c r="K399" s="204">
        <v>10</v>
      </c>
      <c r="L399" s="204">
        <v>10</v>
      </c>
      <c r="M399" s="331">
        <v>7</v>
      </c>
      <c r="N399" s="202">
        <v>-0.5679012345679012</v>
      </c>
    </row>
    <row r="400" spans="1:14" ht="15.75" customHeight="1">
      <c r="A400" s="198" t="s">
        <v>159</v>
      </c>
      <c r="B400" s="199" t="s">
        <v>178</v>
      </c>
      <c r="C400" s="205" t="s">
        <v>91</v>
      </c>
      <c r="D400" s="203" t="s">
        <v>162</v>
      </c>
      <c r="E400" s="214">
        <v>8.4</v>
      </c>
      <c r="F400" s="204">
        <v>5</v>
      </c>
      <c r="G400" s="204">
        <v>4</v>
      </c>
      <c r="H400" s="204">
        <v>8</v>
      </c>
      <c r="I400" s="204">
        <v>2</v>
      </c>
      <c r="J400" s="204">
        <v>4</v>
      </c>
      <c r="K400" s="204">
        <v>2</v>
      </c>
      <c r="L400" s="204">
        <v>4</v>
      </c>
      <c r="M400" s="331">
        <v>1</v>
      </c>
      <c r="N400" s="202">
        <v>-0.88095238095238093</v>
      </c>
    </row>
    <row r="401" spans="1:14" ht="15.75" customHeight="1">
      <c r="A401" s="198" t="s">
        <v>175</v>
      </c>
      <c r="B401" s="199" t="s">
        <v>190</v>
      </c>
      <c r="C401" s="205" t="s">
        <v>91</v>
      </c>
      <c r="D401" s="203" t="s">
        <v>163</v>
      </c>
      <c r="E401" s="216">
        <v>152.80000000000001</v>
      </c>
      <c r="F401" s="204">
        <v>116</v>
      </c>
      <c r="G401" s="204">
        <v>126</v>
      </c>
      <c r="H401" s="204">
        <v>113</v>
      </c>
      <c r="I401" s="204">
        <v>73</v>
      </c>
      <c r="J401" s="204">
        <v>85</v>
      </c>
      <c r="K401" s="204">
        <v>115</v>
      </c>
      <c r="L401" s="204">
        <v>125</v>
      </c>
      <c r="M401" s="331">
        <v>132</v>
      </c>
      <c r="N401" s="202">
        <v>-0.13612565445026184</v>
      </c>
    </row>
    <row r="402" spans="1:14" ht="15.75" customHeight="1">
      <c r="A402" s="198" t="s">
        <v>159</v>
      </c>
      <c r="B402" s="199" t="s">
        <v>178</v>
      </c>
      <c r="C402" s="205" t="s">
        <v>91</v>
      </c>
      <c r="D402" s="203" t="s">
        <v>164</v>
      </c>
      <c r="E402" s="214">
        <v>161.9</v>
      </c>
      <c r="F402" s="204">
        <v>121</v>
      </c>
      <c r="G402" s="204">
        <v>107</v>
      </c>
      <c r="H402" s="204">
        <v>156</v>
      </c>
      <c r="I402" s="204">
        <v>145</v>
      </c>
      <c r="J402" s="204">
        <v>158</v>
      </c>
      <c r="K402" s="204">
        <v>166</v>
      </c>
      <c r="L402" s="204">
        <v>150</v>
      </c>
      <c r="M402" s="331">
        <v>155</v>
      </c>
      <c r="N402" s="202">
        <v>-4.2618900555898738E-2</v>
      </c>
    </row>
    <row r="403" spans="1:14" ht="15.75" customHeight="1">
      <c r="A403" s="198" t="s">
        <v>159</v>
      </c>
      <c r="B403" s="199" t="s">
        <v>178</v>
      </c>
      <c r="C403" s="205" t="s">
        <v>91</v>
      </c>
      <c r="D403" s="203" t="s">
        <v>165</v>
      </c>
      <c r="E403" s="214">
        <v>1074.7</v>
      </c>
      <c r="F403" s="204">
        <v>1031</v>
      </c>
      <c r="G403" s="204">
        <v>938</v>
      </c>
      <c r="H403" s="204">
        <v>963</v>
      </c>
      <c r="I403" s="204">
        <v>938</v>
      </c>
      <c r="J403" s="204">
        <v>950</v>
      </c>
      <c r="K403" s="204">
        <v>923</v>
      </c>
      <c r="L403" s="204">
        <v>1106</v>
      </c>
      <c r="M403" s="331">
        <v>892</v>
      </c>
      <c r="N403" s="202">
        <v>-0.17000093049223042</v>
      </c>
    </row>
    <row r="404" spans="1:14" ht="15.75" customHeight="1">
      <c r="A404" s="198" t="s">
        <v>159</v>
      </c>
      <c r="B404" s="199" t="s">
        <v>178</v>
      </c>
      <c r="C404" s="205" t="s">
        <v>91</v>
      </c>
      <c r="D404" s="203" t="s">
        <v>91</v>
      </c>
      <c r="E404" s="214">
        <v>1244.9000000000001</v>
      </c>
      <c r="F404" s="204">
        <v>1157</v>
      </c>
      <c r="G404" s="204">
        <v>1049</v>
      </c>
      <c r="H404" s="204">
        <v>1127</v>
      </c>
      <c r="I404" s="204">
        <v>1085</v>
      </c>
      <c r="J404" s="204">
        <v>1112</v>
      </c>
      <c r="K404" s="204">
        <v>1091</v>
      </c>
      <c r="L404" s="204">
        <v>1260</v>
      </c>
      <c r="M404" s="331">
        <v>1048</v>
      </c>
      <c r="N404" s="202">
        <v>-0.15816531448309107</v>
      </c>
    </row>
    <row r="405" spans="1:14">
      <c r="A405" s="198" t="s">
        <v>159</v>
      </c>
      <c r="B405" s="199" t="s">
        <v>179</v>
      </c>
      <c r="C405" s="199" t="s">
        <v>161</v>
      </c>
      <c r="D405" s="200" t="s">
        <v>162</v>
      </c>
      <c r="E405" s="213">
        <v>0</v>
      </c>
      <c r="F405" s="201">
        <v>0</v>
      </c>
      <c r="G405" s="201">
        <v>0</v>
      </c>
      <c r="H405" s="201">
        <v>0</v>
      </c>
      <c r="I405" s="201">
        <v>0</v>
      </c>
      <c r="J405" s="201">
        <v>0</v>
      </c>
      <c r="K405" s="201">
        <v>0</v>
      </c>
      <c r="L405" s="201">
        <v>0</v>
      </c>
      <c r="M405" s="330" t="s">
        <v>172</v>
      </c>
      <c r="N405" s="202">
        <v>0</v>
      </c>
    </row>
    <row r="406" spans="1:14" ht="15.75" customHeight="1">
      <c r="A406" s="198" t="s">
        <v>159</v>
      </c>
      <c r="B406" s="199" t="s">
        <v>179</v>
      </c>
      <c r="C406" s="199" t="s">
        <v>161</v>
      </c>
      <c r="D406" s="200" t="s">
        <v>163</v>
      </c>
      <c r="E406" s="213">
        <v>5.8</v>
      </c>
      <c r="F406" s="201">
        <v>9</v>
      </c>
      <c r="G406" s="201">
        <v>5</v>
      </c>
      <c r="H406" s="201">
        <v>2</v>
      </c>
      <c r="I406" s="201">
        <v>2</v>
      </c>
      <c r="J406" s="201">
        <v>2</v>
      </c>
      <c r="K406" s="201">
        <v>4</v>
      </c>
      <c r="L406" s="201">
        <v>3</v>
      </c>
      <c r="M406" s="330">
        <v>5</v>
      </c>
      <c r="N406" s="202">
        <v>-0.13793103448275859</v>
      </c>
    </row>
    <row r="407" spans="1:14" ht="15.75" customHeight="1">
      <c r="A407" s="198" t="s">
        <v>159</v>
      </c>
      <c r="B407" s="199" t="s">
        <v>179</v>
      </c>
      <c r="C407" s="199" t="s">
        <v>161</v>
      </c>
      <c r="D407" s="200" t="s">
        <v>164</v>
      </c>
      <c r="E407" s="213">
        <v>5.8</v>
      </c>
      <c r="F407" s="201">
        <v>9</v>
      </c>
      <c r="G407" s="201">
        <v>5</v>
      </c>
      <c r="H407" s="201">
        <v>2</v>
      </c>
      <c r="I407" s="201">
        <v>2</v>
      </c>
      <c r="J407" s="201">
        <v>2</v>
      </c>
      <c r="K407" s="201">
        <v>4</v>
      </c>
      <c r="L407" s="201">
        <v>3</v>
      </c>
      <c r="M407" s="330">
        <v>5</v>
      </c>
      <c r="N407" s="202">
        <v>-0.13793103448275859</v>
      </c>
    </row>
    <row r="408" spans="1:14" ht="15.75" customHeight="1">
      <c r="A408" s="198" t="s">
        <v>159</v>
      </c>
      <c r="B408" s="199" t="s">
        <v>179</v>
      </c>
      <c r="C408" s="199" t="s">
        <v>161</v>
      </c>
      <c r="D408" s="200" t="s">
        <v>165</v>
      </c>
      <c r="E408" s="213">
        <v>50.6</v>
      </c>
      <c r="F408" s="201">
        <v>62</v>
      </c>
      <c r="G408" s="201">
        <v>57</v>
      </c>
      <c r="H408" s="201">
        <v>38</v>
      </c>
      <c r="I408" s="201">
        <v>17</v>
      </c>
      <c r="J408" s="201">
        <v>36</v>
      </c>
      <c r="K408" s="201">
        <v>27</v>
      </c>
      <c r="L408" s="201">
        <v>42</v>
      </c>
      <c r="M408" s="330">
        <v>19</v>
      </c>
      <c r="N408" s="202">
        <v>-0.624505928853755</v>
      </c>
    </row>
    <row r="409" spans="1:14" ht="15.75" customHeight="1">
      <c r="A409" s="198" t="s">
        <v>159</v>
      </c>
      <c r="B409" s="199" t="s">
        <v>179</v>
      </c>
      <c r="C409" s="199" t="s">
        <v>161</v>
      </c>
      <c r="D409" s="203" t="s">
        <v>91</v>
      </c>
      <c r="E409" s="214">
        <v>56.4</v>
      </c>
      <c r="F409" s="204">
        <v>71</v>
      </c>
      <c r="G409" s="204">
        <v>62</v>
      </c>
      <c r="H409" s="204">
        <v>40</v>
      </c>
      <c r="I409" s="204">
        <v>19</v>
      </c>
      <c r="J409" s="204">
        <v>38</v>
      </c>
      <c r="K409" s="204">
        <v>31</v>
      </c>
      <c r="L409" s="204">
        <v>45</v>
      </c>
      <c r="M409" s="331">
        <v>24</v>
      </c>
      <c r="N409" s="202">
        <v>-0.57446808510638292</v>
      </c>
    </row>
    <row r="410" spans="1:14">
      <c r="A410" s="198" t="s">
        <v>159</v>
      </c>
      <c r="B410" s="199" t="s">
        <v>179</v>
      </c>
      <c r="C410" s="199" t="s">
        <v>134</v>
      </c>
      <c r="D410" s="200" t="s">
        <v>162</v>
      </c>
      <c r="E410" s="213">
        <v>1</v>
      </c>
      <c r="F410" s="201">
        <v>1</v>
      </c>
      <c r="G410" s="201">
        <v>0</v>
      </c>
      <c r="H410" s="201">
        <v>2</v>
      </c>
      <c r="I410" s="201">
        <v>0</v>
      </c>
      <c r="J410" s="201">
        <v>0</v>
      </c>
      <c r="K410" s="201">
        <v>1</v>
      </c>
      <c r="L410" s="201">
        <v>0</v>
      </c>
      <c r="M410" s="330">
        <v>1</v>
      </c>
      <c r="N410" s="202">
        <v>0</v>
      </c>
    </row>
    <row r="411" spans="1:14" ht="15.75" customHeight="1">
      <c r="A411" s="198" t="s">
        <v>159</v>
      </c>
      <c r="B411" s="199" t="s">
        <v>179</v>
      </c>
      <c r="C411" s="199" t="s">
        <v>134</v>
      </c>
      <c r="D411" s="200" t="s">
        <v>163</v>
      </c>
      <c r="E411" s="213">
        <v>32.200000000000003</v>
      </c>
      <c r="F411" s="201">
        <v>33</v>
      </c>
      <c r="G411" s="201">
        <v>19</v>
      </c>
      <c r="H411" s="201">
        <v>21</v>
      </c>
      <c r="I411" s="201">
        <v>19</v>
      </c>
      <c r="J411" s="201">
        <v>16</v>
      </c>
      <c r="K411" s="201">
        <v>17</v>
      </c>
      <c r="L411" s="201">
        <v>12</v>
      </c>
      <c r="M411" s="330">
        <v>19</v>
      </c>
      <c r="N411" s="202">
        <v>-0.40993788819875782</v>
      </c>
    </row>
    <row r="412" spans="1:14" ht="15.75" customHeight="1">
      <c r="A412" s="198" t="s">
        <v>159</v>
      </c>
      <c r="B412" s="199" t="s">
        <v>179</v>
      </c>
      <c r="C412" s="199" t="s">
        <v>134</v>
      </c>
      <c r="D412" s="200" t="s">
        <v>164</v>
      </c>
      <c r="E412" s="213">
        <v>31.2</v>
      </c>
      <c r="F412" s="201">
        <v>32</v>
      </c>
      <c r="G412" s="201">
        <v>19</v>
      </c>
      <c r="H412" s="201">
        <v>19</v>
      </c>
      <c r="I412" s="201">
        <v>19</v>
      </c>
      <c r="J412" s="201">
        <v>16</v>
      </c>
      <c r="K412" s="201">
        <v>16</v>
      </c>
      <c r="L412" s="201">
        <v>12</v>
      </c>
      <c r="M412" s="330">
        <v>18</v>
      </c>
      <c r="N412" s="202">
        <v>-0.42307692307692307</v>
      </c>
    </row>
    <row r="413" spans="1:14" ht="15.75" customHeight="1">
      <c r="A413" s="198" t="s">
        <v>159</v>
      </c>
      <c r="B413" s="199" t="s">
        <v>179</v>
      </c>
      <c r="C413" s="199" t="s">
        <v>134</v>
      </c>
      <c r="D413" s="200" t="s">
        <v>165</v>
      </c>
      <c r="E413" s="213">
        <v>539.6</v>
      </c>
      <c r="F413" s="201">
        <v>495</v>
      </c>
      <c r="G413" s="201">
        <v>512</v>
      </c>
      <c r="H413" s="201">
        <v>511</v>
      </c>
      <c r="I413" s="201">
        <v>432</v>
      </c>
      <c r="J413" s="201">
        <v>404</v>
      </c>
      <c r="K413" s="201">
        <v>392</v>
      </c>
      <c r="L413" s="201">
        <v>332</v>
      </c>
      <c r="M413" s="330">
        <v>248</v>
      </c>
      <c r="N413" s="202">
        <v>-0.54040029651593779</v>
      </c>
    </row>
    <row r="414" spans="1:14" ht="15.75" customHeight="1">
      <c r="A414" s="198" t="s">
        <v>159</v>
      </c>
      <c r="B414" s="199" t="s">
        <v>179</v>
      </c>
      <c r="C414" s="199" t="s">
        <v>134</v>
      </c>
      <c r="D414" s="203" t="s">
        <v>91</v>
      </c>
      <c r="E414" s="214">
        <v>571.9</v>
      </c>
      <c r="F414" s="204">
        <v>528</v>
      </c>
      <c r="G414" s="204">
        <v>531</v>
      </c>
      <c r="H414" s="204">
        <v>532</v>
      </c>
      <c r="I414" s="204">
        <v>451</v>
      </c>
      <c r="J414" s="204">
        <v>420</v>
      </c>
      <c r="K414" s="204">
        <v>409</v>
      </c>
      <c r="L414" s="204">
        <v>344</v>
      </c>
      <c r="M414" s="331">
        <v>267</v>
      </c>
      <c r="N414" s="202">
        <v>-0.53313516349012058</v>
      </c>
    </row>
    <row r="415" spans="1:14">
      <c r="A415" s="198" t="s">
        <v>159</v>
      </c>
      <c r="B415" s="199" t="s">
        <v>179</v>
      </c>
      <c r="C415" s="199" t="s">
        <v>166</v>
      </c>
      <c r="D415" s="200" t="s">
        <v>162</v>
      </c>
      <c r="E415" s="213">
        <v>0</v>
      </c>
      <c r="F415" s="201">
        <v>0</v>
      </c>
      <c r="G415" s="201">
        <v>0</v>
      </c>
      <c r="H415" s="201">
        <v>0</v>
      </c>
      <c r="I415" s="201">
        <v>0</v>
      </c>
      <c r="J415" s="201">
        <v>0</v>
      </c>
      <c r="K415" s="201">
        <v>0</v>
      </c>
      <c r="L415" s="201">
        <v>0</v>
      </c>
      <c r="M415" s="330" t="s">
        <v>172</v>
      </c>
      <c r="N415" s="202">
        <v>0</v>
      </c>
    </row>
    <row r="416" spans="1:14" ht="15.75" customHeight="1">
      <c r="A416" s="198" t="s">
        <v>159</v>
      </c>
      <c r="B416" s="199" t="s">
        <v>179</v>
      </c>
      <c r="C416" s="199" t="s">
        <v>166</v>
      </c>
      <c r="D416" s="200" t="s">
        <v>163</v>
      </c>
      <c r="E416" s="213">
        <v>2.2999999999999998</v>
      </c>
      <c r="F416" s="201">
        <v>1</v>
      </c>
      <c r="G416" s="201">
        <v>1</v>
      </c>
      <c r="H416" s="201">
        <v>2</v>
      </c>
      <c r="I416" s="201">
        <v>0</v>
      </c>
      <c r="J416" s="201">
        <v>2</v>
      </c>
      <c r="K416" s="201">
        <v>1</v>
      </c>
      <c r="L416" s="201">
        <v>0</v>
      </c>
      <c r="M416" s="330">
        <v>1</v>
      </c>
      <c r="N416" s="202">
        <v>-0.56521739130434778</v>
      </c>
    </row>
    <row r="417" spans="1:14" ht="15.75" customHeight="1">
      <c r="A417" s="198" t="s">
        <v>159</v>
      </c>
      <c r="B417" s="199" t="s">
        <v>179</v>
      </c>
      <c r="C417" s="199" t="s">
        <v>166</v>
      </c>
      <c r="D417" s="200" t="s">
        <v>164</v>
      </c>
      <c r="E417" s="213">
        <v>2.2999999999999998</v>
      </c>
      <c r="F417" s="201">
        <v>1</v>
      </c>
      <c r="G417" s="201">
        <v>1</v>
      </c>
      <c r="H417" s="201">
        <v>2</v>
      </c>
      <c r="I417" s="201">
        <v>0</v>
      </c>
      <c r="J417" s="201">
        <v>2</v>
      </c>
      <c r="K417" s="201">
        <v>1</v>
      </c>
      <c r="L417" s="201">
        <v>0</v>
      </c>
      <c r="M417" s="330">
        <v>1</v>
      </c>
      <c r="N417" s="202">
        <v>-0.56521739130434778</v>
      </c>
    </row>
    <row r="418" spans="1:14" ht="15.75" customHeight="1">
      <c r="A418" s="198" t="s">
        <v>159</v>
      </c>
      <c r="B418" s="199" t="s">
        <v>179</v>
      </c>
      <c r="C418" s="199" t="s">
        <v>166</v>
      </c>
      <c r="D418" s="200" t="s">
        <v>165</v>
      </c>
      <c r="E418" s="213">
        <v>33.6</v>
      </c>
      <c r="F418" s="201">
        <v>24</v>
      </c>
      <c r="G418" s="201">
        <v>24</v>
      </c>
      <c r="H418" s="201">
        <v>29</v>
      </c>
      <c r="I418" s="201">
        <v>21</v>
      </c>
      <c r="J418" s="201">
        <v>21</v>
      </c>
      <c r="K418" s="201">
        <v>21</v>
      </c>
      <c r="L418" s="201">
        <v>21</v>
      </c>
      <c r="M418" s="330">
        <v>10</v>
      </c>
      <c r="N418" s="202">
        <v>-0.70238095238095244</v>
      </c>
    </row>
    <row r="419" spans="1:14" ht="15.75" customHeight="1">
      <c r="A419" s="198" t="s">
        <v>159</v>
      </c>
      <c r="B419" s="199" t="s">
        <v>179</v>
      </c>
      <c r="C419" s="199" t="s">
        <v>166</v>
      </c>
      <c r="D419" s="203" t="s">
        <v>91</v>
      </c>
      <c r="E419" s="214">
        <v>35.799999999999997</v>
      </c>
      <c r="F419" s="204">
        <v>25</v>
      </c>
      <c r="G419" s="204">
        <v>25</v>
      </c>
      <c r="H419" s="204">
        <v>31</v>
      </c>
      <c r="I419" s="204">
        <v>21</v>
      </c>
      <c r="J419" s="204">
        <v>23</v>
      </c>
      <c r="K419" s="204">
        <v>22</v>
      </c>
      <c r="L419" s="204">
        <v>21</v>
      </c>
      <c r="M419" s="331">
        <v>11</v>
      </c>
      <c r="N419" s="202">
        <v>-0.6927374301675977</v>
      </c>
    </row>
    <row r="420" spans="1:14">
      <c r="A420" s="198" t="s">
        <v>159</v>
      </c>
      <c r="B420" s="199" t="s">
        <v>179</v>
      </c>
      <c r="C420" s="199" t="s">
        <v>133</v>
      </c>
      <c r="D420" s="200" t="s">
        <v>162</v>
      </c>
      <c r="E420" s="213">
        <v>0.6</v>
      </c>
      <c r="F420" s="201">
        <v>1</v>
      </c>
      <c r="G420" s="201">
        <v>1</v>
      </c>
      <c r="H420" s="201">
        <v>0</v>
      </c>
      <c r="I420" s="201">
        <v>2</v>
      </c>
      <c r="J420" s="201">
        <v>0</v>
      </c>
      <c r="K420" s="201">
        <v>0</v>
      </c>
      <c r="L420" s="201">
        <v>2</v>
      </c>
      <c r="M420" s="330">
        <v>1</v>
      </c>
      <c r="N420" s="202">
        <v>0.66666666666666674</v>
      </c>
    </row>
    <row r="421" spans="1:14" ht="15.75" customHeight="1">
      <c r="A421" s="198" t="s">
        <v>159</v>
      </c>
      <c r="B421" s="199" t="s">
        <v>179</v>
      </c>
      <c r="C421" s="199" t="s">
        <v>133</v>
      </c>
      <c r="D421" s="200" t="s">
        <v>163</v>
      </c>
      <c r="E421" s="213">
        <v>44.1</v>
      </c>
      <c r="F421" s="201">
        <v>43</v>
      </c>
      <c r="G421" s="201">
        <v>42</v>
      </c>
      <c r="H421" s="201">
        <v>41</v>
      </c>
      <c r="I421" s="201">
        <v>27</v>
      </c>
      <c r="J421" s="201">
        <v>36</v>
      </c>
      <c r="K421" s="201">
        <v>26</v>
      </c>
      <c r="L421" s="201">
        <v>29</v>
      </c>
      <c r="M421" s="330">
        <v>32</v>
      </c>
      <c r="N421" s="202">
        <v>-0.2743764172335601</v>
      </c>
    </row>
    <row r="422" spans="1:14" ht="15.75" customHeight="1">
      <c r="A422" s="198" t="s">
        <v>159</v>
      </c>
      <c r="B422" s="199" t="s">
        <v>179</v>
      </c>
      <c r="C422" s="199" t="s">
        <v>133</v>
      </c>
      <c r="D422" s="200" t="s">
        <v>164</v>
      </c>
      <c r="E422" s="213">
        <v>43.5</v>
      </c>
      <c r="F422" s="201">
        <v>42</v>
      </c>
      <c r="G422" s="201">
        <v>41</v>
      </c>
      <c r="H422" s="201">
        <v>41</v>
      </c>
      <c r="I422" s="201">
        <v>25</v>
      </c>
      <c r="J422" s="201">
        <v>36</v>
      </c>
      <c r="K422" s="201">
        <v>26</v>
      </c>
      <c r="L422" s="201">
        <v>27</v>
      </c>
      <c r="M422" s="330">
        <v>31</v>
      </c>
      <c r="N422" s="202">
        <v>-0.28735632183908044</v>
      </c>
    </row>
    <row r="423" spans="1:14" ht="15.75" customHeight="1">
      <c r="A423" s="198" t="s">
        <v>159</v>
      </c>
      <c r="B423" s="199" t="s">
        <v>179</v>
      </c>
      <c r="C423" s="199" t="s">
        <v>133</v>
      </c>
      <c r="D423" s="200" t="s">
        <v>165</v>
      </c>
      <c r="E423" s="213">
        <v>154.80000000000001</v>
      </c>
      <c r="F423" s="201">
        <v>202</v>
      </c>
      <c r="G423" s="201">
        <v>148</v>
      </c>
      <c r="H423" s="201">
        <v>188</v>
      </c>
      <c r="I423" s="201">
        <v>170</v>
      </c>
      <c r="J423" s="201">
        <v>216</v>
      </c>
      <c r="K423" s="201">
        <v>223</v>
      </c>
      <c r="L423" s="201">
        <v>220</v>
      </c>
      <c r="M423" s="330">
        <v>169</v>
      </c>
      <c r="N423" s="202">
        <v>9.1731266149870719E-2</v>
      </c>
    </row>
    <row r="424" spans="1:14" ht="15.75" customHeight="1">
      <c r="A424" s="198" t="s">
        <v>159</v>
      </c>
      <c r="B424" s="199" t="s">
        <v>179</v>
      </c>
      <c r="C424" s="199" t="s">
        <v>133</v>
      </c>
      <c r="D424" s="203" t="s">
        <v>91</v>
      </c>
      <c r="E424" s="214">
        <v>198.9</v>
      </c>
      <c r="F424" s="204">
        <v>245</v>
      </c>
      <c r="G424" s="204">
        <v>190</v>
      </c>
      <c r="H424" s="204">
        <v>229</v>
      </c>
      <c r="I424" s="204">
        <v>197</v>
      </c>
      <c r="J424" s="204">
        <v>252</v>
      </c>
      <c r="K424" s="204">
        <v>249</v>
      </c>
      <c r="L424" s="204">
        <v>249</v>
      </c>
      <c r="M424" s="331">
        <v>201</v>
      </c>
      <c r="N424" s="202">
        <v>1.0558069381598765E-2</v>
      </c>
    </row>
    <row r="425" spans="1:14" ht="15.75" customHeight="1">
      <c r="A425" s="198" t="s">
        <v>159</v>
      </c>
      <c r="B425" s="199" t="s">
        <v>179</v>
      </c>
      <c r="C425" s="199" t="s">
        <v>167</v>
      </c>
      <c r="D425" s="200" t="s">
        <v>162</v>
      </c>
      <c r="E425" s="213">
        <v>0.2</v>
      </c>
      <c r="F425" s="201">
        <v>0</v>
      </c>
      <c r="G425" s="201">
        <v>0</v>
      </c>
      <c r="H425" s="201">
        <v>0</v>
      </c>
      <c r="I425" s="201">
        <v>0</v>
      </c>
      <c r="J425" s="201">
        <v>0</v>
      </c>
      <c r="K425" s="201">
        <v>0</v>
      </c>
      <c r="L425" s="201">
        <v>0</v>
      </c>
      <c r="M425" s="330" t="s">
        <v>172</v>
      </c>
      <c r="N425" s="202">
        <v>-1</v>
      </c>
    </row>
    <row r="426" spans="1:14" ht="15.75" customHeight="1">
      <c r="A426" s="198" t="s">
        <v>159</v>
      </c>
      <c r="B426" s="199" t="s">
        <v>179</v>
      </c>
      <c r="C426" s="199" t="s">
        <v>167</v>
      </c>
      <c r="D426" s="200" t="s">
        <v>163</v>
      </c>
      <c r="E426" s="213">
        <v>1</v>
      </c>
      <c r="F426" s="201">
        <v>1</v>
      </c>
      <c r="G426" s="201">
        <v>0</v>
      </c>
      <c r="H426" s="201">
        <v>0</v>
      </c>
      <c r="I426" s="201">
        <v>3</v>
      </c>
      <c r="J426" s="201">
        <v>3</v>
      </c>
      <c r="K426" s="201">
        <v>2</v>
      </c>
      <c r="L426" s="201">
        <v>6</v>
      </c>
      <c r="M426" s="330">
        <v>2</v>
      </c>
      <c r="N426" s="202">
        <v>1</v>
      </c>
    </row>
    <row r="427" spans="1:14" ht="15.75" customHeight="1">
      <c r="A427" s="198" t="s">
        <v>159</v>
      </c>
      <c r="B427" s="199" t="s">
        <v>179</v>
      </c>
      <c r="C427" s="199" t="s">
        <v>167</v>
      </c>
      <c r="D427" s="200" t="s">
        <v>164</v>
      </c>
      <c r="E427" s="213">
        <v>0.8</v>
      </c>
      <c r="F427" s="201">
        <v>1</v>
      </c>
      <c r="G427" s="201">
        <v>0</v>
      </c>
      <c r="H427" s="201">
        <v>0</v>
      </c>
      <c r="I427" s="201">
        <v>3</v>
      </c>
      <c r="J427" s="201">
        <v>3</v>
      </c>
      <c r="K427" s="201">
        <v>2</v>
      </c>
      <c r="L427" s="201">
        <v>6</v>
      </c>
      <c r="M427" s="330">
        <v>2</v>
      </c>
      <c r="N427" s="202">
        <v>1.4999999999999998</v>
      </c>
    </row>
    <row r="428" spans="1:14" ht="15.75" customHeight="1">
      <c r="A428" s="198" t="s">
        <v>159</v>
      </c>
      <c r="B428" s="199" t="s">
        <v>179</v>
      </c>
      <c r="C428" s="199" t="s">
        <v>167</v>
      </c>
      <c r="D428" s="200" t="s">
        <v>165</v>
      </c>
      <c r="E428" s="213">
        <v>4.3</v>
      </c>
      <c r="F428" s="201">
        <v>11</v>
      </c>
      <c r="G428" s="201">
        <v>3</v>
      </c>
      <c r="H428" s="201">
        <v>14</v>
      </c>
      <c r="I428" s="201">
        <v>7</v>
      </c>
      <c r="J428" s="201">
        <v>13</v>
      </c>
      <c r="K428" s="201">
        <v>5</v>
      </c>
      <c r="L428" s="201">
        <v>6</v>
      </c>
      <c r="M428" s="330">
        <v>11</v>
      </c>
      <c r="N428" s="202">
        <v>1.558139534883721</v>
      </c>
    </row>
    <row r="429" spans="1:14" ht="15.75" customHeight="1">
      <c r="A429" s="198" t="s">
        <v>159</v>
      </c>
      <c r="B429" s="199" t="s">
        <v>179</v>
      </c>
      <c r="C429" s="199" t="s">
        <v>167</v>
      </c>
      <c r="D429" s="203" t="s">
        <v>91</v>
      </c>
      <c r="E429" s="214">
        <v>5.2</v>
      </c>
      <c r="F429" s="204">
        <v>12</v>
      </c>
      <c r="G429" s="204">
        <v>3</v>
      </c>
      <c r="H429" s="204">
        <v>14</v>
      </c>
      <c r="I429" s="204">
        <v>10</v>
      </c>
      <c r="J429" s="204">
        <v>16</v>
      </c>
      <c r="K429" s="204">
        <v>7</v>
      </c>
      <c r="L429" s="204">
        <v>12</v>
      </c>
      <c r="M429" s="331">
        <v>13</v>
      </c>
      <c r="N429" s="202">
        <v>1.5</v>
      </c>
    </row>
    <row r="430" spans="1:14">
      <c r="A430" s="198" t="s">
        <v>159</v>
      </c>
      <c r="B430" s="199" t="s">
        <v>179</v>
      </c>
      <c r="C430" s="199" t="s">
        <v>168</v>
      </c>
      <c r="D430" s="200" t="s">
        <v>162</v>
      </c>
      <c r="E430" s="213">
        <v>0.2</v>
      </c>
      <c r="F430" s="201">
        <v>2</v>
      </c>
      <c r="G430" s="201">
        <v>0</v>
      </c>
      <c r="H430" s="201">
        <v>0</v>
      </c>
      <c r="I430" s="201">
        <v>0</v>
      </c>
      <c r="J430" s="201">
        <v>0</v>
      </c>
      <c r="K430" s="201">
        <v>0</v>
      </c>
      <c r="L430" s="201">
        <v>0</v>
      </c>
      <c r="M430" s="330" t="s">
        <v>172</v>
      </c>
      <c r="N430" s="202">
        <v>-1</v>
      </c>
    </row>
    <row r="431" spans="1:14" ht="15.75" customHeight="1">
      <c r="A431" s="198" t="s">
        <v>159</v>
      </c>
      <c r="B431" s="199" t="s">
        <v>179</v>
      </c>
      <c r="C431" s="199" t="s">
        <v>168</v>
      </c>
      <c r="D431" s="200" t="s">
        <v>163</v>
      </c>
      <c r="E431" s="213">
        <v>19.100000000000001</v>
      </c>
      <c r="F431" s="201">
        <v>20</v>
      </c>
      <c r="G431" s="201">
        <v>19</v>
      </c>
      <c r="H431" s="201">
        <v>20</v>
      </c>
      <c r="I431" s="201">
        <v>18</v>
      </c>
      <c r="J431" s="201">
        <v>20</v>
      </c>
      <c r="K431" s="201">
        <v>21</v>
      </c>
      <c r="L431" s="201">
        <v>26</v>
      </c>
      <c r="M431" s="330">
        <v>36</v>
      </c>
      <c r="N431" s="202">
        <v>0.88481675392670145</v>
      </c>
    </row>
    <row r="432" spans="1:14" ht="15.75" customHeight="1">
      <c r="A432" s="198" t="s">
        <v>159</v>
      </c>
      <c r="B432" s="199" t="s">
        <v>179</v>
      </c>
      <c r="C432" s="199" t="s">
        <v>168</v>
      </c>
      <c r="D432" s="200" t="s">
        <v>164</v>
      </c>
      <c r="E432" s="213">
        <v>18.899999999999999</v>
      </c>
      <c r="F432" s="201">
        <v>18</v>
      </c>
      <c r="G432" s="201">
        <v>19</v>
      </c>
      <c r="H432" s="201">
        <v>20</v>
      </c>
      <c r="I432" s="201">
        <v>18</v>
      </c>
      <c r="J432" s="201">
        <v>20</v>
      </c>
      <c r="K432" s="201">
        <v>21</v>
      </c>
      <c r="L432" s="201">
        <v>26</v>
      </c>
      <c r="M432" s="330">
        <v>36</v>
      </c>
      <c r="N432" s="202">
        <v>0.90476190476190488</v>
      </c>
    </row>
    <row r="433" spans="1:14" ht="15.75" customHeight="1">
      <c r="A433" s="198" t="s">
        <v>159</v>
      </c>
      <c r="B433" s="199" t="s">
        <v>179</v>
      </c>
      <c r="C433" s="199" t="s">
        <v>168</v>
      </c>
      <c r="D433" s="200" t="s">
        <v>165</v>
      </c>
      <c r="E433" s="213">
        <v>100.6</v>
      </c>
      <c r="F433" s="201">
        <v>82</v>
      </c>
      <c r="G433" s="201">
        <v>101</v>
      </c>
      <c r="H433" s="201">
        <v>99</v>
      </c>
      <c r="I433" s="201">
        <v>90</v>
      </c>
      <c r="J433" s="201">
        <v>110</v>
      </c>
      <c r="K433" s="201">
        <v>104</v>
      </c>
      <c r="L433" s="201">
        <v>116</v>
      </c>
      <c r="M433" s="330">
        <v>105</v>
      </c>
      <c r="N433" s="202">
        <v>4.3737574552683955E-2</v>
      </c>
    </row>
    <row r="434" spans="1:14" ht="15.75" customHeight="1">
      <c r="A434" s="198" t="s">
        <v>159</v>
      </c>
      <c r="B434" s="199" t="s">
        <v>179</v>
      </c>
      <c r="C434" s="199" t="s">
        <v>168</v>
      </c>
      <c r="D434" s="203" t="s">
        <v>91</v>
      </c>
      <c r="E434" s="214">
        <v>119.8</v>
      </c>
      <c r="F434" s="204">
        <v>102</v>
      </c>
      <c r="G434" s="204">
        <v>120</v>
      </c>
      <c r="H434" s="204">
        <v>119</v>
      </c>
      <c r="I434" s="204">
        <v>108</v>
      </c>
      <c r="J434" s="204">
        <v>130</v>
      </c>
      <c r="K434" s="204">
        <v>125</v>
      </c>
      <c r="L434" s="204">
        <v>142</v>
      </c>
      <c r="M434" s="331">
        <v>141</v>
      </c>
      <c r="N434" s="202">
        <v>0.17696160267111855</v>
      </c>
    </row>
    <row r="435" spans="1:14" ht="15.75" customHeight="1">
      <c r="A435" s="198" t="s">
        <v>159</v>
      </c>
      <c r="B435" s="199" t="s">
        <v>179</v>
      </c>
      <c r="C435" s="199" t="s">
        <v>131</v>
      </c>
      <c r="D435" s="200" t="s">
        <v>162</v>
      </c>
      <c r="E435" s="213">
        <v>2.4</v>
      </c>
      <c r="F435" s="201">
        <v>3</v>
      </c>
      <c r="G435" s="201">
        <v>4</v>
      </c>
      <c r="H435" s="201">
        <v>2</v>
      </c>
      <c r="I435" s="201">
        <v>3</v>
      </c>
      <c r="J435" s="201">
        <v>3</v>
      </c>
      <c r="K435" s="201">
        <v>2</v>
      </c>
      <c r="L435" s="201">
        <v>2</v>
      </c>
      <c r="M435" s="330">
        <v>4</v>
      </c>
      <c r="N435" s="202">
        <v>0.66666666666666674</v>
      </c>
    </row>
    <row r="436" spans="1:14" ht="15.75" customHeight="1">
      <c r="A436" s="198" t="s">
        <v>159</v>
      </c>
      <c r="B436" s="199" t="s">
        <v>179</v>
      </c>
      <c r="C436" s="199" t="s">
        <v>131</v>
      </c>
      <c r="D436" s="200" t="s">
        <v>163</v>
      </c>
      <c r="E436" s="213">
        <v>56.9</v>
      </c>
      <c r="F436" s="201">
        <v>53</v>
      </c>
      <c r="G436" s="201">
        <v>57</v>
      </c>
      <c r="H436" s="201">
        <v>54</v>
      </c>
      <c r="I436" s="201">
        <v>49</v>
      </c>
      <c r="J436" s="201">
        <v>42</v>
      </c>
      <c r="K436" s="201">
        <v>40</v>
      </c>
      <c r="L436" s="201">
        <v>42</v>
      </c>
      <c r="M436" s="330">
        <v>51</v>
      </c>
      <c r="N436" s="202">
        <v>-0.10369068541300525</v>
      </c>
    </row>
    <row r="437" spans="1:14" ht="15.75" customHeight="1">
      <c r="A437" s="198" t="s">
        <v>159</v>
      </c>
      <c r="B437" s="199" t="s">
        <v>179</v>
      </c>
      <c r="C437" s="199" t="s">
        <v>131</v>
      </c>
      <c r="D437" s="200" t="s">
        <v>164</v>
      </c>
      <c r="E437" s="213">
        <v>54.5</v>
      </c>
      <c r="F437" s="201">
        <v>50</v>
      </c>
      <c r="G437" s="201">
        <v>53</v>
      </c>
      <c r="H437" s="201">
        <v>52</v>
      </c>
      <c r="I437" s="201">
        <v>46</v>
      </c>
      <c r="J437" s="201">
        <v>39</v>
      </c>
      <c r="K437" s="201">
        <v>38</v>
      </c>
      <c r="L437" s="201">
        <v>40</v>
      </c>
      <c r="M437" s="330">
        <v>47</v>
      </c>
      <c r="N437" s="202">
        <v>-0.13761467889908258</v>
      </c>
    </row>
    <row r="438" spans="1:14" ht="15.75" customHeight="1">
      <c r="A438" s="198" t="s">
        <v>159</v>
      </c>
      <c r="B438" s="199" t="s">
        <v>179</v>
      </c>
      <c r="C438" s="199" t="s">
        <v>131</v>
      </c>
      <c r="D438" s="200" t="s">
        <v>165</v>
      </c>
      <c r="E438" s="213">
        <v>164</v>
      </c>
      <c r="F438" s="201">
        <v>199</v>
      </c>
      <c r="G438" s="201">
        <v>143</v>
      </c>
      <c r="H438" s="201">
        <v>147</v>
      </c>
      <c r="I438" s="201">
        <v>118</v>
      </c>
      <c r="J438" s="201">
        <v>124</v>
      </c>
      <c r="K438" s="201">
        <v>134</v>
      </c>
      <c r="L438" s="201">
        <v>109</v>
      </c>
      <c r="M438" s="330">
        <v>144</v>
      </c>
      <c r="N438" s="202">
        <v>-0.12195121951219512</v>
      </c>
    </row>
    <row r="439" spans="1:14" ht="15.75" customHeight="1">
      <c r="A439" s="198" t="s">
        <v>159</v>
      </c>
      <c r="B439" s="199" t="s">
        <v>179</v>
      </c>
      <c r="C439" s="199" t="s">
        <v>131</v>
      </c>
      <c r="D439" s="203" t="s">
        <v>91</v>
      </c>
      <c r="E439" s="214">
        <v>220.9</v>
      </c>
      <c r="F439" s="204">
        <v>252</v>
      </c>
      <c r="G439" s="204">
        <v>200</v>
      </c>
      <c r="H439" s="204">
        <v>201</v>
      </c>
      <c r="I439" s="204">
        <v>167</v>
      </c>
      <c r="J439" s="204">
        <v>166</v>
      </c>
      <c r="K439" s="204">
        <v>174</v>
      </c>
      <c r="L439" s="204">
        <v>151</v>
      </c>
      <c r="M439" s="331">
        <v>195</v>
      </c>
      <c r="N439" s="202">
        <v>-0.11724762335898599</v>
      </c>
    </row>
    <row r="440" spans="1:14" ht="15.75" customHeight="1">
      <c r="A440" s="198" t="s">
        <v>159</v>
      </c>
      <c r="B440" s="199" t="s">
        <v>179</v>
      </c>
      <c r="C440" s="199" t="s">
        <v>169</v>
      </c>
      <c r="D440" s="200" t="s">
        <v>162</v>
      </c>
      <c r="E440" s="213">
        <v>0</v>
      </c>
      <c r="F440" s="201">
        <v>0</v>
      </c>
      <c r="G440" s="201">
        <v>0</v>
      </c>
      <c r="H440" s="201">
        <v>0</v>
      </c>
      <c r="I440" s="201">
        <v>0</v>
      </c>
      <c r="J440" s="201">
        <v>0</v>
      </c>
      <c r="K440" s="201">
        <v>0</v>
      </c>
      <c r="L440" s="201">
        <v>0</v>
      </c>
      <c r="M440" s="330" t="s">
        <v>172</v>
      </c>
      <c r="N440" s="202">
        <v>0</v>
      </c>
    </row>
    <row r="441" spans="1:14" ht="15.75" customHeight="1">
      <c r="A441" s="198" t="s">
        <v>159</v>
      </c>
      <c r="B441" s="199" t="s">
        <v>179</v>
      </c>
      <c r="C441" s="199" t="s">
        <v>169</v>
      </c>
      <c r="D441" s="200" t="s">
        <v>163</v>
      </c>
      <c r="E441" s="213">
        <v>0</v>
      </c>
      <c r="F441" s="201">
        <v>2</v>
      </c>
      <c r="G441" s="201">
        <v>1</v>
      </c>
      <c r="H441" s="201">
        <v>0</v>
      </c>
      <c r="I441" s="201">
        <v>0</v>
      </c>
      <c r="J441" s="201">
        <v>1</v>
      </c>
      <c r="K441" s="201">
        <v>0</v>
      </c>
      <c r="L441" s="201">
        <v>0</v>
      </c>
      <c r="M441" s="330">
        <v>1</v>
      </c>
      <c r="N441" s="202">
        <v>0</v>
      </c>
    </row>
    <row r="442" spans="1:14" ht="15.75" customHeight="1">
      <c r="A442" s="198" t="s">
        <v>159</v>
      </c>
      <c r="B442" s="199" t="s">
        <v>179</v>
      </c>
      <c r="C442" s="199" t="s">
        <v>169</v>
      </c>
      <c r="D442" s="200" t="s">
        <v>164</v>
      </c>
      <c r="E442" s="213">
        <v>0</v>
      </c>
      <c r="F442" s="201">
        <v>2</v>
      </c>
      <c r="G442" s="201">
        <v>1</v>
      </c>
      <c r="H442" s="201">
        <v>0</v>
      </c>
      <c r="I442" s="201">
        <v>0</v>
      </c>
      <c r="J442" s="201">
        <v>1</v>
      </c>
      <c r="K442" s="201">
        <v>0</v>
      </c>
      <c r="L442" s="201">
        <v>0</v>
      </c>
      <c r="M442" s="330">
        <v>1</v>
      </c>
      <c r="N442" s="202">
        <v>0</v>
      </c>
    </row>
    <row r="443" spans="1:14" ht="15.75" customHeight="1">
      <c r="A443" s="198" t="s">
        <v>159</v>
      </c>
      <c r="B443" s="199" t="s">
        <v>179</v>
      </c>
      <c r="C443" s="199" t="s">
        <v>169</v>
      </c>
      <c r="D443" s="200" t="s">
        <v>165</v>
      </c>
      <c r="E443" s="213">
        <v>0</v>
      </c>
      <c r="F443" s="201">
        <v>22</v>
      </c>
      <c r="G443" s="201">
        <v>28</v>
      </c>
      <c r="H443" s="201">
        <v>17</v>
      </c>
      <c r="I443" s="201">
        <v>2</v>
      </c>
      <c r="J443" s="201">
        <v>11</v>
      </c>
      <c r="K443" s="201">
        <v>6</v>
      </c>
      <c r="L443" s="201">
        <v>6</v>
      </c>
      <c r="M443" s="330">
        <v>3</v>
      </c>
      <c r="N443" s="202">
        <v>0</v>
      </c>
    </row>
    <row r="444" spans="1:14" ht="15.75" customHeight="1">
      <c r="A444" s="198" t="s">
        <v>159</v>
      </c>
      <c r="B444" s="199" t="s">
        <v>179</v>
      </c>
      <c r="C444" s="199" t="s">
        <v>169</v>
      </c>
      <c r="D444" s="203" t="s">
        <v>91</v>
      </c>
      <c r="E444" s="214">
        <v>0</v>
      </c>
      <c r="F444" s="204">
        <v>24</v>
      </c>
      <c r="G444" s="204">
        <v>29</v>
      </c>
      <c r="H444" s="204">
        <v>17</v>
      </c>
      <c r="I444" s="204">
        <v>2</v>
      </c>
      <c r="J444" s="204">
        <v>12</v>
      </c>
      <c r="K444" s="204">
        <v>6</v>
      </c>
      <c r="L444" s="204">
        <v>6</v>
      </c>
      <c r="M444" s="331">
        <v>4</v>
      </c>
      <c r="N444" s="202">
        <v>0</v>
      </c>
    </row>
    <row r="445" spans="1:14" ht="15.75" customHeight="1">
      <c r="A445" s="198" t="s">
        <v>159</v>
      </c>
      <c r="B445" s="199" t="s">
        <v>179</v>
      </c>
      <c r="C445" s="199" t="s">
        <v>139</v>
      </c>
      <c r="D445" s="200" t="s">
        <v>162</v>
      </c>
      <c r="E445" s="213">
        <v>0</v>
      </c>
      <c r="F445" s="201">
        <v>0</v>
      </c>
      <c r="G445" s="201">
        <v>0</v>
      </c>
      <c r="H445" s="201">
        <v>0</v>
      </c>
      <c r="I445" s="201">
        <v>0</v>
      </c>
      <c r="J445" s="201">
        <v>0</v>
      </c>
      <c r="K445" s="201">
        <v>0</v>
      </c>
      <c r="L445" s="201">
        <v>0</v>
      </c>
      <c r="M445" s="330" t="s">
        <v>172</v>
      </c>
      <c r="N445" s="202">
        <v>0</v>
      </c>
    </row>
    <row r="446" spans="1:14" ht="15.75" customHeight="1">
      <c r="A446" s="198" t="s">
        <v>159</v>
      </c>
      <c r="B446" s="199" t="s">
        <v>179</v>
      </c>
      <c r="C446" s="199" t="s">
        <v>139</v>
      </c>
      <c r="D446" s="200" t="s">
        <v>163</v>
      </c>
      <c r="E446" s="213">
        <v>1.5</v>
      </c>
      <c r="F446" s="201">
        <v>0</v>
      </c>
      <c r="G446" s="201">
        <v>0</v>
      </c>
      <c r="H446" s="201">
        <v>1</v>
      </c>
      <c r="I446" s="201">
        <v>0</v>
      </c>
      <c r="J446" s="201">
        <v>0</v>
      </c>
      <c r="K446" s="201">
        <v>0</v>
      </c>
      <c r="L446" s="201">
        <v>0</v>
      </c>
      <c r="M446" s="330">
        <v>0</v>
      </c>
      <c r="N446" s="202">
        <v>-1</v>
      </c>
    </row>
    <row r="447" spans="1:14" ht="15.75" customHeight="1">
      <c r="A447" s="198" t="s">
        <v>159</v>
      </c>
      <c r="B447" s="199" t="s">
        <v>179</v>
      </c>
      <c r="C447" s="199" t="s">
        <v>139</v>
      </c>
      <c r="D447" s="200" t="s">
        <v>164</v>
      </c>
      <c r="E447" s="213">
        <v>1.5</v>
      </c>
      <c r="F447" s="201">
        <v>0</v>
      </c>
      <c r="G447" s="201">
        <v>0</v>
      </c>
      <c r="H447" s="201">
        <v>1</v>
      </c>
      <c r="I447" s="201">
        <v>0</v>
      </c>
      <c r="J447" s="201">
        <v>0</v>
      </c>
      <c r="K447" s="201">
        <v>0</v>
      </c>
      <c r="L447" s="201">
        <v>0</v>
      </c>
      <c r="M447" s="330" t="s">
        <v>172</v>
      </c>
      <c r="N447" s="202">
        <v>-1</v>
      </c>
    </row>
    <row r="448" spans="1:14" ht="15.75" customHeight="1">
      <c r="A448" s="198" t="s">
        <v>159</v>
      </c>
      <c r="B448" s="199" t="s">
        <v>179</v>
      </c>
      <c r="C448" s="199" t="s">
        <v>139</v>
      </c>
      <c r="D448" s="200" t="s">
        <v>165</v>
      </c>
      <c r="E448" s="213">
        <v>22.3</v>
      </c>
      <c r="F448" s="201">
        <v>7</v>
      </c>
      <c r="G448" s="201">
        <v>3</v>
      </c>
      <c r="H448" s="201">
        <v>13</v>
      </c>
      <c r="I448" s="201">
        <v>12</v>
      </c>
      <c r="J448" s="201">
        <v>8</v>
      </c>
      <c r="K448" s="201">
        <v>12</v>
      </c>
      <c r="L448" s="201">
        <v>4</v>
      </c>
      <c r="M448" s="330">
        <v>6</v>
      </c>
      <c r="N448" s="202">
        <v>-0.73094170403587444</v>
      </c>
    </row>
    <row r="449" spans="1:14" ht="15.75" customHeight="1">
      <c r="A449" s="198" t="s">
        <v>159</v>
      </c>
      <c r="B449" s="199" t="s">
        <v>179</v>
      </c>
      <c r="C449" s="199" t="s">
        <v>139</v>
      </c>
      <c r="D449" s="203" t="s">
        <v>91</v>
      </c>
      <c r="E449" s="214">
        <v>23.8</v>
      </c>
      <c r="F449" s="204">
        <v>7</v>
      </c>
      <c r="G449" s="204">
        <v>3</v>
      </c>
      <c r="H449" s="204">
        <v>14</v>
      </c>
      <c r="I449" s="204">
        <v>12</v>
      </c>
      <c r="J449" s="204">
        <v>8</v>
      </c>
      <c r="K449" s="204">
        <v>12</v>
      </c>
      <c r="L449" s="204">
        <v>4</v>
      </c>
      <c r="M449" s="331">
        <v>6</v>
      </c>
      <c r="N449" s="202">
        <v>-0.74789915966386555</v>
      </c>
    </row>
    <row r="450" spans="1:14" ht="15.75" customHeight="1">
      <c r="A450" s="198" t="s">
        <v>159</v>
      </c>
      <c r="B450" s="199" t="s">
        <v>179</v>
      </c>
      <c r="C450" s="205" t="s">
        <v>91</v>
      </c>
      <c r="D450" s="203" t="s">
        <v>162</v>
      </c>
      <c r="E450" s="214">
        <v>4.4000000000000004</v>
      </c>
      <c r="F450" s="204">
        <v>7</v>
      </c>
      <c r="G450" s="204">
        <v>5</v>
      </c>
      <c r="H450" s="204">
        <v>4</v>
      </c>
      <c r="I450" s="204">
        <v>5</v>
      </c>
      <c r="J450" s="204">
        <v>3</v>
      </c>
      <c r="K450" s="204">
        <v>3</v>
      </c>
      <c r="L450" s="204">
        <v>4</v>
      </c>
      <c r="M450" s="331">
        <v>6</v>
      </c>
      <c r="N450" s="202">
        <v>0.36363636363636354</v>
      </c>
    </row>
    <row r="451" spans="1:14" ht="15.75" customHeight="1">
      <c r="A451" s="198" t="s">
        <v>175</v>
      </c>
      <c r="B451" s="199" t="s">
        <v>193</v>
      </c>
      <c r="C451" s="205" t="s">
        <v>91</v>
      </c>
      <c r="D451" s="203" t="s">
        <v>163</v>
      </c>
      <c r="E451" s="216">
        <v>165.7</v>
      </c>
      <c r="F451" s="204">
        <v>120</v>
      </c>
      <c r="G451" s="204">
        <v>107</v>
      </c>
      <c r="H451" s="204">
        <v>119</v>
      </c>
      <c r="I451" s="204">
        <v>116</v>
      </c>
      <c r="J451" s="204">
        <v>109</v>
      </c>
      <c r="K451" s="204">
        <v>114</v>
      </c>
      <c r="L451" s="204">
        <v>105</v>
      </c>
      <c r="M451" s="331">
        <v>130</v>
      </c>
      <c r="N451" s="202">
        <v>-0.21544960772480382</v>
      </c>
    </row>
    <row r="452" spans="1:14" ht="15.75" customHeight="1">
      <c r="A452" s="198" t="s">
        <v>159</v>
      </c>
      <c r="B452" s="199" t="s">
        <v>179</v>
      </c>
      <c r="C452" s="205" t="s">
        <v>91</v>
      </c>
      <c r="D452" s="203" t="s">
        <v>164</v>
      </c>
      <c r="E452" s="214">
        <v>158.5</v>
      </c>
      <c r="F452" s="204">
        <v>155</v>
      </c>
      <c r="G452" s="204">
        <v>139</v>
      </c>
      <c r="H452" s="204">
        <v>137</v>
      </c>
      <c r="I452" s="204">
        <v>113</v>
      </c>
      <c r="J452" s="204">
        <v>119</v>
      </c>
      <c r="K452" s="204">
        <v>108</v>
      </c>
      <c r="L452" s="204">
        <v>114</v>
      </c>
      <c r="M452" s="331">
        <v>141</v>
      </c>
      <c r="N452" s="202">
        <v>-0.11041009463722397</v>
      </c>
    </row>
    <row r="453" spans="1:14" ht="15.75" customHeight="1">
      <c r="A453" s="198" t="s">
        <v>159</v>
      </c>
      <c r="B453" s="199" t="s">
        <v>179</v>
      </c>
      <c r="C453" s="205" t="s">
        <v>91</v>
      </c>
      <c r="D453" s="203" t="s">
        <v>165</v>
      </c>
      <c r="E453" s="214">
        <v>1069.8</v>
      </c>
      <c r="F453" s="204">
        <v>1104</v>
      </c>
      <c r="G453" s="204">
        <v>1019</v>
      </c>
      <c r="H453" s="204">
        <v>1056</v>
      </c>
      <c r="I453" s="204">
        <v>869</v>
      </c>
      <c r="J453" s="204">
        <v>943</v>
      </c>
      <c r="K453" s="204">
        <v>924</v>
      </c>
      <c r="L453" s="204">
        <v>856</v>
      </c>
      <c r="M453" s="331">
        <v>715</v>
      </c>
      <c r="N453" s="202">
        <v>-0.33165077584595248</v>
      </c>
    </row>
    <row r="454" spans="1:14" ht="15.75" customHeight="1">
      <c r="A454" s="198" t="s">
        <v>159</v>
      </c>
      <c r="B454" s="199" t="s">
        <v>179</v>
      </c>
      <c r="C454" s="205" t="s">
        <v>91</v>
      </c>
      <c r="D454" s="203" t="s">
        <v>91</v>
      </c>
      <c r="E454" s="214">
        <v>1232.7</v>
      </c>
      <c r="F454" s="204">
        <v>1266</v>
      </c>
      <c r="G454" s="204">
        <v>1163</v>
      </c>
      <c r="H454" s="204">
        <v>1197</v>
      </c>
      <c r="I454" s="204">
        <v>987</v>
      </c>
      <c r="J454" s="204">
        <v>1065</v>
      </c>
      <c r="K454" s="204">
        <v>1035</v>
      </c>
      <c r="L454" s="204">
        <v>974</v>
      </c>
      <c r="M454" s="331">
        <v>862</v>
      </c>
      <c r="N454" s="202">
        <v>-0.30072199237446257</v>
      </c>
    </row>
    <row r="455" spans="1:14">
      <c r="A455" s="198" t="s">
        <v>159</v>
      </c>
      <c r="B455" s="199" t="s">
        <v>180</v>
      </c>
      <c r="C455" s="199" t="s">
        <v>161</v>
      </c>
      <c r="D455" s="200" t="s">
        <v>162</v>
      </c>
      <c r="E455" s="213">
        <v>0</v>
      </c>
      <c r="F455" s="201">
        <v>0</v>
      </c>
      <c r="G455" s="201">
        <v>0</v>
      </c>
      <c r="H455" s="201">
        <v>0</v>
      </c>
      <c r="I455" s="201">
        <v>0</v>
      </c>
      <c r="J455" s="201">
        <v>0</v>
      </c>
      <c r="K455" s="201">
        <v>0</v>
      </c>
      <c r="L455" s="201">
        <v>0</v>
      </c>
      <c r="M455" s="330" t="s">
        <v>172</v>
      </c>
      <c r="N455" s="202">
        <v>0</v>
      </c>
    </row>
    <row r="456" spans="1:14" ht="15.75" customHeight="1">
      <c r="A456" s="198" t="s">
        <v>159</v>
      </c>
      <c r="B456" s="199" t="s">
        <v>180</v>
      </c>
      <c r="C456" s="199" t="s">
        <v>161</v>
      </c>
      <c r="D456" s="200" t="s">
        <v>163</v>
      </c>
      <c r="E456" s="213">
        <v>5.6</v>
      </c>
      <c r="F456" s="201">
        <v>3</v>
      </c>
      <c r="G456" s="201">
        <v>1</v>
      </c>
      <c r="H456" s="201">
        <v>1</v>
      </c>
      <c r="I456" s="201">
        <v>2</v>
      </c>
      <c r="J456" s="201">
        <v>2</v>
      </c>
      <c r="K456" s="201">
        <v>1</v>
      </c>
      <c r="L456" s="201">
        <v>2</v>
      </c>
      <c r="M456" s="330">
        <v>3</v>
      </c>
      <c r="N456" s="202">
        <v>-0.46428571428571425</v>
      </c>
    </row>
    <row r="457" spans="1:14" ht="15.75" customHeight="1">
      <c r="A457" s="198" t="s">
        <v>159</v>
      </c>
      <c r="B457" s="199" t="s">
        <v>180</v>
      </c>
      <c r="C457" s="199" t="s">
        <v>161</v>
      </c>
      <c r="D457" s="200" t="s">
        <v>164</v>
      </c>
      <c r="E457" s="213">
        <v>5.6</v>
      </c>
      <c r="F457" s="201">
        <v>3</v>
      </c>
      <c r="G457" s="201">
        <v>1</v>
      </c>
      <c r="H457" s="201">
        <v>1</v>
      </c>
      <c r="I457" s="201">
        <v>2</v>
      </c>
      <c r="J457" s="201">
        <v>2</v>
      </c>
      <c r="K457" s="201">
        <v>1</v>
      </c>
      <c r="L457" s="201">
        <v>2</v>
      </c>
      <c r="M457" s="330">
        <v>3</v>
      </c>
      <c r="N457" s="202">
        <v>-0.46428571428571425</v>
      </c>
    </row>
    <row r="458" spans="1:14" ht="15.75" customHeight="1">
      <c r="A458" s="198" t="s">
        <v>159</v>
      </c>
      <c r="B458" s="199" t="s">
        <v>180</v>
      </c>
      <c r="C458" s="199" t="s">
        <v>161</v>
      </c>
      <c r="D458" s="200" t="s">
        <v>165</v>
      </c>
      <c r="E458" s="213">
        <v>44.2</v>
      </c>
      <c r="F458" s="201">
        <v>59</v>
      </c>
      <c r="G458" s="201">
        <v>54</v>
      </c>
      <c r="H458" s="201">
        <v>41</v>
      </c>
      <c r="I458" s="201">
        <v>18</v>
      </c>
      <c r="J458" s="201">
        <v>42</v>
      </c>
      <c r="K458" s="201">
        <v>50</v>
      </c>
      <c r="L458" s="201">
        <v>40</v>
      </c>
      <c r="M458" s="330">
        <v>27</v>
      </c>
      <c r="N458" s="202">
        <v>-0.38914027149321273</v>
      </c>
    </row>
    <row r="459" spans="1:14" ht="15.75" customHeight="1">
      <c r="A459" s="198" t="s">
        <v>159</v>
      </c>
      <c r="B459" s="199" t="s">
        <v>180</v>
      </c>
      <c r="C459" s="199" t="s">
        <v>161</v>
      </c>
      <c r="D459" s="203" t="s">
        <v>91</v>
      </c>
      <c r="E459" s="214">
        <v>49.8</v>
      </c>
      <c r="F459" s="204">
        <v>62</v>
      </c>
      <c r="G459" s="204">
        <v>55</v>
      </c>
      <c r="H459" s="204">
        <v>42</v>
      </c>
      <c r="I459" s="204">
        <v>20</v>
      </c>
      <c r="J459" s="204">
        <v>44</v>
      </c>
      <c r="K459" s="204">
        <v>51</v>
      </c>
      <c r="L459" s="204">
        <v>42</v>
      </c>
      <c r="M459" s="331">
        <v>30</v>
      </c>
      <c r="N459" s="202">
        <v>-0.39759036144578308</v>
      </c>
    </row>
    <row r="460" spans="1:14">
      <c r="A460" s="198" t="s">
        <v>159</v>
      </c>
      <c r="B460" s="199" t="s">
        <v>180</v>
      </c>
      <c r="C460" s="199" t="s">
        <v>134</v>
      </c>
      <c r="D460" s="200" t="s">
        <v>162</v>
      </c>
      <c r="E460" s="213">
        <v>1.8</v>
      </c>
      <c r="F460" s="201">
        <v>3</v>
      </c>
      <c r="G460" s="201">
        <v>2</v>
      </c>
      <c r="H460" s="201">
        <v>0</v>
      </c>
      <c r="I460" s="201">
        <v>1</v>
      </c>
      <c r="J460" s="201">
        <v>0</v>
      </c>
      <c r="K460" s="201">
        <v>3</v>
      </c>
      <c r="L460" s="201">
        <v>3</v>
      </c>
      <c r="M460" s="330">
        <v>1</v>
      </c>
      <c r="N460" s="202">
        <v>-0.44444444444444448</v>
      </c>
    </row>
    <row r="461" spans="1:14" ht="15.75" customHeight="1">
      <c r="A461" s="198" t="s">
        <v>159</v>
      </c>
      <c r="B461" s="199" t="s">
        <v>180</v>
      </c>
      <c r="C461" s="199" t="s">
        <v>134</v>
      </c>
      <c r="D461" s="200" t="s">
        <v>163</v>
      </c>
      <c r="E461" s="213">
        <v>47.4</v>
      </c>
      <c r="F461" s="201">
        <v>31</v>
      </c>
      <c r="G461" s="201">
        <v>34</v>
      </c>
      <c r="H461" s="201">
        <v>35</v>
      </c>
      <c r="I461" s="201">
        <v>25</v>
      </c>
      <c r="J461" s="201">
        <v>27</v>
      </c>
      <c r="K461" s="201">
        <v>37</v>
      </c>
      <c r="L461" s="201">
        <v>25</v>
      </c>
      <c r="M461" s="330">
        <v>31</v>
      </c>
      <c r="N461" s="202">
        <v>-0.34599156118143459</v>
      </c>
    </row>
    <row r="462" spans="1:14" ht="15.75" customHeight="1">
      <c r="A462" s="198" t="s">
        <v>159</v>
      </c>
      <c r="B462" s="199" t="s">
        <v>180</v>
      </c>
      <c r="C462" s="199" t="s">
        <v>134</v>
      </c>
      <c r="D462" s="200" t="s">
        <v>164</v>
      </c>
      <c r="E462" s="213">
        <v>45.6</v>
      </c>
      <c r="F462" s="201">
        <v>28</v>
      </c>
      <c r="G462" s="201">
        <v>32</v>
      </c>
      <c r="H462" s="201">
        <v>35</v>
      </c>
      <c r="I462" s="201">
        <v>24</v>
      </c>
      <c r="J462" s="201">
        <v>27</v>
      </c>
      <c r="K462" s="201">
        <v>34</v>
      </c>
      <c r="L462" s="201">
        <v>22</v>
      </c>
      <c r="M462" s="330">
        <v>30</v>
      </c>
      <c r="N462" s="202">
        <v>-0.34210526315789475</v>
      </c>
    </row>
    <row r="463" spans="1:14" ht="15.75" customHeight="1">
      <c r="A463" s="198" t="s">
        <v>159</v>
      </c>
      <c r="B463" s="199" t="s">
        <v>180</v>
      </c>
      <c r="C463" s="199" t="s">
        <v>134</v>
      </c>
      <c r="D463" s="200" t="s">
        <v>165</v>
      </c>
      <c r="E463" s="213">
        <v>634.1</v>
      </c>
      <c r="F463" s="201">
        <v>637</v>
      </c>
      <c r="G463" s="201">
        <v>625</v>
      </c>
      <c r="H463" s="201">
        <v>635</v>
      </c>
      <c r="I463" s="201">
        <v>543</v>
      </c>
      <c r="J463" s="201">
        <v>572</v>
      </c>
      <c r="K463" s="201">
        <v>531</v>
      </c>
      <c r="L463" s="201">
        <v>504</v>
      </c>
      <c r="M463" s="330">
        <v>441</v>
      </c>
      <c r="N463" s="202">
        <v>-0.30452609998422964</v>
      </c>
    </row>
    <row r="464" spans="1:14" ht="15.75" customHeight="1">
      <c r="A464" s="198" t="s">
        <v>159</v>
      </c>
      <c r="B464" s="199" t="s">
        <v>180</v>
      </c>
      <c r="C464" s="199" t="s">
        <v>134</v>
      </c>
      <c r="D464" s="203" t="s">
        <v>91</v>
      </c>
      <c r="E464" s="214">
        <v>681.5</v>
      </c>
      <c r="F464" s="204">
        <v>668</v>
      </c>
      <c r="G464" s="204">
        <v>659</v>
      </c>
      <c r="H464" s="204">
        <v>670</v>
      </c>
      <c r="I464" s="204">
        <v>568</v>
      </c>
      <c r="J464" s="204">
        <v>599</v>
      </c>
      <c r="K464" s="204">
        <v>568</v>
      </c>
      <c r="L464" s="204">
        <v>529</v>
      </c>
      <c r="M464" s="331">
        <v>472</v>
      </c>
      <c r="N464" s="202">
        <v>-0.30741012472487161</v>
      </c>
    </row>
    <row r="465" spans="1:14">
      <c r="A465" s="198" t="s">
        <v>159</v>
      </c>
      <c r="B465" s="199" t="s">
        <v>180</v>
      </c>
      <c r="C465" s="199" t="s">
        <v>166</v>
      </c>
      <c r="D465" s="200" t="s">
        <v>162</v>
      </c>
      <c r="E465" s="213">
        <v>0.4</v>
      </c>
      <c r="F465" s="201">
        <v>0</v>
      </c>
      <c r="G465" s="201">
        <v>0</v>
      </c>
      <c r="H465" s="201">
        <v>0</v>
      </c>
      <c r="I465" s="201">
        <v>0</v>
      </c>
      <c r="J465" s="201">
        <v>0</v>
      </c>
      <c r="K465" s="201">
        <v>0</v>
      </c>
      <c r="L465" s="201">
        <v>0</v>
      </c>
      <c r="M465" s="330" t="s">
        <v>172</v>
      </c>
      <c r="N465" s="202">
        <v>-1</v>
      </c>
    </row>
    <row r="466" spans="1:14" ht="15.75" customHeight="1">
      <c r="A466" s="198" t="s">
        <v>159</v>
      </c>
      <c r="B466" s="199" t="s">
        <v>180</v>
      </c>
      <c r="C466" s="199" t="s">
        <v>166</v>
      </c>
      <c r="D466" s="200" t="s">
        <v>163</v>
      </c>
      <c r="E466" s="213">
        <v>4.4000000000000004</v>
      </c>
      <c r="F466" s="201">
        <v>1</v>
      </c>
      <c r="G466" s="201">
        <v>4</v>
      </c>
      <c r="H466" s="201">
        <v>6</v>
      </c>
      <c r="I466" s="201">
        <v>0</v>
      </c>
      <c r="J466" s="201">
        <v>1</v>
      </c>
      <c r="K466" s="201">
        <v>2</v>
      </c>
      <c r="L466" s="201">
        <v>1</v>
      </c>
      <c r="M466" s="330">
        <v>1</v>
      </c>
      <c r="N466" s="202">
        <v>-0.77272727272727271</v>
      </c>
    </row>
    <row r="467" spans="1:14" ht="15.75" customHeight="1">
      <c r="A467" s="198" t="s">
        <v>159</v>
      </c>
      <c r="B467" s="199" t="s">
        <v>180</v>
      </c>
      <c r="C467" s="199" t="s">
        <v>166</v>
      </c>
      <c r="D467" s="200" t="s">
        <v>164</v>
      </c>
      <c r="E467" s="213">
        <v>4</v>
      </c>
      <c r="F467" s="201">
        <v>1</v>
      </c>
      <c r="G467" s="201">
        <v>4</v>
      </c>
      <c r="H467" s="201">
        <v>6</v>
      </c>
      <c r="I467" s="201">
        <v>0</v>
      </c>
      <c r="J467" s="201">
        <v>1</v>
      </c>
      <c r="K467" s="201">
        <v>2</v>
      </c>
      <c r="L467" s="201">
        <v>1</v>
      </c>
      <c r="M467" s="330">
        <v>1</v>
      </c>
      <c r="N467" s="202">
        <v>-0.75</v>
      </c>
    </row>
    <row r="468" spans="1:14" ht="15.75" customHeight="1">
      <c r="A468" s="198" t="s">
        <v>159</v>
      </c>
      <c r="B468" s="199" t="s">
        <v>180</v>
      </c>
      <c r="C468" s="199" t="s">
        <v>166</v>
      </c>
      <c r="D468" s="200" t="s">
        <v>165</v>
      </c>
      <c r="E468" s="213">
        <v>30.7</v>
      </c>
      <c r="F468" s="201">
        <v>29</v>
      </c>
      <c r="G468" s="201">
        <v>37</v>
      </c>
      <c r="H468" s="201">
        <v>32</v>
      </c>
      <c r="I468" s="201">
        <v>30</v>
      </c>
      <c r="J468" s="201">
        <v>34</v>
      </c>
      <c r="K468" s="201">
        <v>34</v>
      </c>
      <c r="L468" s="201">
        <v>32</v>
      </c>
      <c r="M468" s="330">
        <v>23</v>
      </c>
      <c r="N468" s="202">
        <v>-0.250814332247557</v>
      </c>
    </row>
    <row r="469" spans="1:14" ht="15.75" customHeight="1">
      <c r="A469" s="198" t="s">
        <v>159</v>
      </c>
      <c r="B469" s="199" t="s">
        <v>180</v>
      </c>
      <c r="C469" s="199" t="s">
        <v>166</v>
      </c>
      <c r="D469" s="203" t="s">
        <v>91</v>
      </c>
      <c r="E469" s="214">
        <v>35.200000000000003</v>
      </c>
      <c r="F469" s="204">
        <v>30</v>
      </c>
      <c r="G469" s="204">
        <v>41</v>
      </c>
      <c r="H469" s="204">
        <v>38</v>
      </c>
      <c r="I469" s="204">
        <v>30</v>
      </c>
      <c r="J469" s="204">
        <v>35</v>
      </c>
      <c r="K469" s="204">
        <v>36</v>
      </c>
      <c r="L469" s="204">
        <v>33</v>
      </c>
      <c r="M469" s="331">
        <v>24</v>
      </c>
      <c r="N469" s="202">
        <v>-0.31818181818181823</v>
      </c>
    </row>
    <row r="470" spans="1:14" ht="15.75" customHeight="1">
      <c r="A470" s="198" t="s">
        <v>159</v>
      </c>
      <c r="B470" s="199" t="s">
        <v>180</v>
      </c>
      <c r="C470" s="199" t="s">
        <v>133</v>
      </c>
      <c r="D470" s="200" t="s">
        <v>162</v>
      </c>
      <c r="E470" s="213">
        <v>1.6</v>
      </c>
      <c r="F470" s="201">
        <v>3</v>
      </c>
      <c r="G470" s="201">
        <v>1</v>
      </c>
      <c r="H470" s="201">
        <v>1</v>
      </c>
      <c r="I470" s="201">
        <v>0</v>
      </c>
      <c r="J470" s="201">
        <v>0</v>
      </c>
      <c r="K470" s="201">
        <v>1</v>
      </c>
      <c r="L470" s="201">
        <v>2</v>
      </c>
      <c r="M470" s="330">
        <v>1</v>
      </c>
      <c r="N470" s="202">
        <v>-0.37500000000000006</v>
      </c>
    </row>
    <row r="471" spans="1:14" ht="15.75" customHeight="1">
      <c r="A471" s="198" t="s">
        <v>159</v>
      </c>
      <c r="B471" s="199" t="s">
        <v>180</v>
      </c>
      <c r="C471" s="199" t="s">
        <v>133</v>
      </c>
      <c r="D471" s="200" t="s">
        <v>163</v>
      </c>
      <c r="E471" s="213">
        <v>24.3</v>
      </c>
      <c r="F471" s="201">
        <v>42</v>
      </c>
      <c r="G471" s="201">
        <v>33</v>
      </c>
      <c r="H471" s="201">
        <v>21</v>
      </c>
      <c r="I471" s="201">
        <v>21</v>
      </c>
      <c r="J471" s="201">
        <v>21</v>
      </c>
      <c r="K471" s="201">
        <v>29</v>
      </c>
      <c r="L471" s="201">
        <v>21</v>
      </c>
      <c r="M471" s="330">
        <v>33</v>
      </c>
      <c r="N471" s="202">
        <v>0.35802469135802467</v>
      </c>
    </row>
    <row r="472" spans="1:14" ht="15.75" customHeight="1">
      <c r="A472" s="198" t="s">
        <v>159</v>
      </c>
      <c r="B472" s="199" t="s">
        <v>180</v>
      </c>
      <c r="C472" s="199" t="s">
        <v>133</v>
      </c>
      <c r="D472" s="200" t="s">
        <v>164</v>
      </c>
      <c r="E472" s="213">
        <v>22.7</v>
      </c>
      <c r="F472" s="201">
        <v>39</v>
      </c>
      <c r="G472" s="201">
        <v>32</v>
      </c>
      <c r="H472" s="201">
        <v>20</v>
      </c>
      <c r="I472" s="201">
        <v>21</v>
      </c>
      <c r="J472" s="201">
        <v>21</v>
      </c>
      <c r="K472" s="201">
        <v>28</v>
      </c>
      <c r="L472" s="201">
        <v>19</v>
      </c>
      <c r="M472" s="330">
        <v>32</v>
      </c>
      <c r="N472" s="202">
        <v>0.40969162995594716</v>
      </c>
    </row>
    <row r="473" spans="1:14" ht="15.75" customHeight="1">
      <c r="A473" s="198" t="s">
        <v>159</v>
      </c>
      <c r="B473" s="199" t="s">
        <v>180</v>
      </c>
      <c r="C473" s="199" t="s">
        <v>133</v>
      </c>
      <c r="D473" s="200" t="s">
        <v>165</v>
      </c>
      <c r="E473" s="213">
        <v>78.400000000000006</v>
      </c>
      <c r="F473" s="201">
        <v>92</v>
      </c>
      <c r="G473" s="201">
        <v>80</v>
      </c>
      <c r="H473" s="201">
        <v>114</v>
      </c>
      <c r="I473" s="201">
        <v>119</v>
      </c>
      <c r="J473" s="201">
        <v>158</v>
      </c>
      <c r="K473" s="201">
        <v>230</v>
      </c>
      <c r="L473" s="201">
        <v>277</v>
      </c>
      <c r="M473" s="330">
        <v>226</v>
      </c>
      <c r="N473" s="202">
        <v>1.8826530612244896</v>
      </c>
    </row>
    <row r="474" spans="1:14" ht="15.75" customHeight="1">
      <c r="A474" s="198" t="s">
        <v>159</v>
      </c>
      <c r="B474" s="199" t="s">
        <v>180</v>
      </c>
      <c r="C474" s="199" t="s">
        <v>133</v>
      </c>
      <c r="D474" s="203" t="s">
        <v>91</v>
      </c>
      <c r="E474" s="214">
        <v>102.7</v>
      </c>
      <c r="F474" s="204">
        <v>134</v>
      </c>
      <c r="G474" s="204">
        <v>113</v>
      </c>
      <c r="H474" s="204">
        <v>135</v>
      </c>
      <c r="I474" s="204">
        <v>140</v>
      </c>
      <c r="J474" s="204">
        <v>179</v>
      </c>
      <c r="K474" s="204">
        <v>259</v>
      </c>
      <c r="L474" s="204">
        <v>298</v>
      </c>
      <c r="M474" s="331">
        <v>259</v>
      </c>
      <c r="N474" s="202">
        <v>1.5219084712755599</v>
      </c>
    </row>
    <row r="475" spans="1:14" ht="15.75" customHeight="1">
      <c r="A475" s="198" t="s">
        <v>159</v>
      </c>
      <c r="B475" s="199" t="s">
        <v>180</v>
      </c>
      <c r="C475" s="199" t="s">
        <v>167</v>
      </c>
      <c r="D475" s="200" t="s">
        <v>162</v>
      </c>
      <c r="E475" s="213">
        <v>0.2</v>
      </c>
      <c r="F475" s="201">
        <v>0</v>
      </c>
      <c r="G475" s="201">
        <v>1</v>
      </c>
      <c r="H475" s="201">
        <v>0</v>
      </c>
      <c r="I475" s="201">
        <v>0</v>
      </c>
      <c r="J475" s="201">
        <v>0</v>
      </c>
      <c r="K475" s="201">
        <v>0</v>
      </c>
      <c r="L475" s="201">
        <v>0</v>
      </c>
      <c r="M475" s="330" t="s">
        <v>172</v>
      </c>
      <c r="N475" s="202">
        <v>-1</v>
      </c>
    </row>
    <row r="476" spans="1:14" ht="15.75" customHeight="1">
      <c r="A476" s="198" t="s">
        <v>159</v>
      </c>
      <c r="B476" s="199" t="s">
        <v>180</v>
      </c>
      <c r="C476" s="199" t="s">
        <v>167</v>
      </c>
      <c r="D476" s="200" t="s">
        <v>163</v>
      </c>
      <c r="E476" s="213">
        <v>1.5</v>
      </c>
      <c r="F476" s="201">
        <v>1</v>
      </c>
      <c r="G476" s="201">
        <v>1</v>
      </c>
      <c r="H476" s="201">
        <v>0</v>
      </c>
      <c r="I476" s="201">
        <v>0</v>
      </c>
      <c r="J476" s="201">
        <v>2</v>
      </c>
      <c r="K476" s="201">
        <v>2</v>
      </c>
      <c r="L476" s="201">
        <v>1</v>
      </c>
      <c r="M476" s="330">
        <v>2</v>
      </c>
      <c r="N476" s="202">
        <v>0.33333333333333331</v>
      </c>
    </row>
    <row r="477" spans="1:14" ht="15.75" customHeight="1">
      <c r="A477" s="198" t="s">
        <v>159</v>
      </c>
      <c r="B477" s="199" t="s">
        <v>180</v>
      </c>
      <c r="C477" s="199" t="s">
        <v>167</v>
      </c>
      <c r="D477" s="200" t="s">
        <v>164</v>
      </c>
      <c r="E477" s="213">
        <v>1.3</v>
      </c>
      <c r="F477" s="201">
        <v>1</v>
      </c>
      <c r="G477" s="201">
        <v>0</v>
      </c>
      <c r="H477" s="201">
        <v>0</v>
      </c>
      <c r="I477" s="201">
        <v>0</v>
      </c>
      <c r="J477" s="201">
        <v>2</v>
      </c>
      <c r="K477" s="201">
        <v>2</v>
      </c>
      <c r="L477" s="201">
        <v>1</v>
      </c>
      <c r="M477" s="330">
        <v>2</v>
      </c>
      <c r="N477" s="202">
        <v>0.53846153846153844</v>
      </c>
    </row>
    <row r="478" spans="1:14" ht="15.75" customHeight="1">
      <c r="A478" s="198" t="s">
        <v>159</v>
      </c>
      <c r="B478" s="199" t="s">
        <v>180</v>
      </c>
      <c r="C478" s="199" t="s">
        <v>167</v>
      </c>
      <c r="D478" s="200" t="s">
        <v>165</v>
      </c>
      <c r="E478" s="213">
        <v>6.2</v>
      </c>
      <c r="F478" s="201">
        <v>3</v>
      </c>
      <c r="G478" s="201">
        <v>2</v>
      </c>
      <c r="H478" s="201">
        <v>2</v>
      </c>
      <c r="I478" s="201">
        <v>4</v>
      </c>
      <c r="J478" s="201">
        <v>14</v>
      </c>
      <c r="K478" s="201">
        <v>12</v>
      </c>
      <c r="L478" s="201">
        <v>7</v>
      </c>
      <c r="M478" s="330">
        <v>7</v>
      </c>
      <c r="N478" s="202">
        <v>0.1290322580645161</v>
      </c>
    </row>
    <row r="479" spans="1:14" ht="15.75" customHeight="1">
      <c r="A479" s="198" t="s">
        <v>159</v>
      </c>
      <c r="B479" s="199" t="s">
        <v>180</v>
      </c>
      <c r="C479" s="199" t="s">
        <v>167</v>
      </c>
      <c r="D479" s="203" t="s">
        <v>91</v>
      </c>
      <c r="E479" s="214">
        <v>7.6</v>
      </c>
      <c r="F479" s="204">
        <v>4</v>
      </c>
      <c r="G479" s="204">
        <v>3</v>
      </c>
      <c r="H479" s="204">
        <v>2</v>
      </c>
      <c r="I479" s="204">
        <v>4</v>
      </c>
      <c r="J479" s="204">
        <v>16</v>
      </c>
      <c r="K479" s="204">
        <v>14</v>
      </c>
      <c r="L479" s="204">
        <v>8</v>
      </c>
      <c r="M479" s="331">
        <v>9</v>
      </c>
      <c r="N479" s="202">
        <v>0.18421052631578952</v>
      </c>
    </row>
    <row r="480" spans="1:14" ht="15.75" customHeight="1">
      <c r="A480" s="198" t="s">
        <v>159</v>
      </c>
      <c r="B480" s="199" t="s">
        <v>180</v>
      </c>
      <c r="C480" s="199" t="s">
        <v>168</v>
      </c>
      <c r="D480" s="200" t="s">
        <v>162</v>
      </c>
      <c r="E480" s="213">
        <v>0</v>
      </c>
      <c r="F480" s="201">
        <v>1</v>
      </c>
      <c r="G480" s="201">
        <v>0</v>
      </c>
      <c r="H480" s="201">
        <v>0</v>
      </c>
      <c r="I480" s="201">
        <v>0</v>
      </c>
      <c r="J480" s="201">
        <v>0</v>
      </c>
      <c r="K480" s="201">
        <v>0</v>
      </c>
      <c r="L480" s="201">
        <v>0</v>
      </c>
      <c r="M480" s="330" t="s">
        <v>172</v>
      </c>
      <c r="N480" s="202">
        <v>0</v>
      </c>
    </row>
    <row r="481" spans="1:14" ht="15.75" customHeight="1">
      <c r="A481" s="198" t="s">
        <v>159</v>
      </c>
      <c r="B481" s="199" t="s">
        <v>180</v>
      </c>
      <c r="C481" s="199" t="s">
        <v>168</v>
      </c>
      <c r="D481" s="200" t="s">
        <v>163</v>
      </c>
      <c r="E481" s="213">
        <v>11.7</v>
      </c>
      <c r="F481" s="201">
        <v>11</v>
      </c>
      <c r="G481" s="201">
        <v>5</v>
      </c>
      <c r="H481" s="201">
        <v>6</v>
      </c>
      <c r="I481" s="201">
        <v>18</v>
      </c>
      <c r="J481" s="201">
        <v>15</v>
      </c>
      <c r="K481" s="201">
        <v>14</v>
      </c>
      <c r="L481" s="201">
        <v>10</v>
      </c>
      <c r="M481" s="330">
        <v>13</v>
      </c>
      <c r="N481" s="202">
        <v>0.11111111111111117</v>
      </c>
    </row>
    <row r="482" spans="1:14" ht="15.75" customHeight="1">
      <c r="A482" s="198" t="s">
        <v>159</v>
      </c>
      <c r="B482" s="199" t="s">
        <v>180</v>
      </c>
      <c r="C482" s="199" t="s">
        <v>168</v>
      </c>
      <c r="D482" s="200" t="s">
        <v>164</v>
      </c>
      <c r="E482" s="213">
        <v>11.7</v>
      </c>
      <c r="F482" s="201">
        <v>10</v>
      </c>
      <c r="G482" s="201">
        <v>5</v>
      </c>
      <c r="H482" s="201">
        <v>6</v>
      </c>
      <c r="I482" s="201">
        <v>18</v>
      </c>
      <c r="J482" s="201">
        <v>15</v>
      </c>
      <c r="K482" s="201">
        <v>14</v>
      </c>
      <c r="L482" s="201">
        <v>10</v>
      </c>
      <c r="M482" s="330">
        <v>13</v>
      </c>
      <c r="N482" s="202">
        <v>0.11111111111111117</v>
      </c>
    </row>
    <row r="483" spans="1:14" ht="15.75" customHeight="1">
      <c r="A483" s="198" t="s">
        <v>159</v>
      </c>
      <c r="B483" s="199" t="s">
        <v>180</v>
      </c>
      <c r="C483" s="199" t="s">
        <v>168</v>
      </c>
      <c r="D483" s="200" t="s">
        <v>165</v>
      </c>
      <c r="E483" s="213">
        <v>54.3</v>
      </c>
      <c r="F483" s="201">
        <v>41</v>
      </c>
      <c r="G483" s="201">
        <v>44</v>
      </c>
      <c r="H483" s="201">
        <v>42</v>
      </c>
      <c r="I483" s="201">
        <v>67</v>
      </c>
      <c r="J483" s="201">
        <v>60</v>
      </c>
      <c r="K483" s="201">
        <v>72</v>
      </c>
      <c r="L483" s="201">
        <v>69</v>
      </c>
      <c r="M483" s="330">
        <v>77</v>
      </c>
      <c r="N483" s="202">
        <v>0.41804788213628002</v>
      </c>
    </row>
    <row r="484" spans="1:14" ht="15.75" customHeight="1">
      <c r="A484" s="198" t="s">
        <v>159</v>
      </c>
      <c r="B484" s="199" t="s">
        <v>180</v>
      </c>
      <c r="C484" s="199" t="s">
        <v>168</v>
      </c>
      <c r="D484" s="203" t="s">
        <v>91</v>
      </c>
      <c r="E484" s="214">
        <v>66</v>
      </c>
      <c r="F484" s="204">
        <v>52</v>
      </c>
      <c r="G484" s="204">
        <v>49</v>
      </c>
      <c r="H484" s="204">
        <v>48</v>
      </c>
      <c r="I484" s="204">
        <v>85</v>
      </c>
      <c r="J484" s="204">
        <v>75</v>
      </c>
      <c r="K484" s="204">
        <v>86</v>
      </c>
      <c r="L484" s="204">
        <v>79</v>
      </c>
      <c r="M484" s="331">
        <v>90</v>
      </c>
      <c r="N484" s="202">
        <v>0.36363636363636365</v>
      </c>
    </row>
    <row r="485" spans="1:14" ht="15.75" customHeight="1">
      <c r="A485" s="198" t="s">
        <v>159</v>
      </c>
      <c r="B485" s="199" t="s">
        <v>180</v>
      </c>
      <c r="C485" s="199" t="s">
        <v>131</v>
      </c>
      <c r="D485" s="200" t="s">
        <v>162</v>
      </c>
      <c r="E485" s="213">
        <v>3</v>
      </c>
      <c r="F485" s="201">
        <v>3</v>
      </c>
      <c r="G485" s="201">
        <v>4</v>
      </c>
      <c r="H485" s="201">
        <v>4</v>
      </c>
      <c r="I485" s="201">
        <v>2</v>
      </c>
      <c r="J485" s="201">
        <v>0</v>
      </c>
      <c r="K485" s="201">
        <v>1</v>
      </c>
      <c r="L485" s="201">
        <v>4</v>
      </c>
      <c r="M485" s="330">
        <v>6</v>
      </c>
      <c r="N485" s="202">
        <v>1</v>
      </c>
    </row>
    <row r="486" spans="1:14" ht="15.75" customHeight="1">
      <c r="A486" s="198" t="s">
        <v>159</v>
      </c>
      <c r="B486" s="199" t="s">
        <v>180</v>
      </c>
      <c r="C486" s="199" t="s">
        <v>131</v>
      </c>
      <c r="D486" s="200" t="s">
        <v>163</v>
      </c>
      <c r="E486" s="213">
        <v>52.3</v>
      </c>
      <c r="F486" s="201">
        <v>41</v>
      </c>
      <c r="G486" s="201">
        <v>48</v>
      </c>
      <c r="H486" s="201">
        <v>50</v>
      </c>
      <c r="I486" s="201">
        <v>33</v>
      </c>
      <c r="J486" s="201">
        <v>31</v>
      </c>
      <c r="K486" s="201">
        <v>36</v>
      </c>
      <c r="L486" s="201">
        <v>36</v>
      </c>
      <c r="M486" s="330">
        <v>35</v>
      </c>
      <c r="N486" s="202">
        <v>-0.3307839388145315</v>
      </c>
    </row>
    <row r="487" spans="1:14" ht="15.75" customHeight="1">
      <c r="A487" s="198" t="s">
        <v>159</v>
      </c>
      <c r="B487" s="199" t="s">
        <v>180</v>
      </c>
      <c r="C487" s="199" t="s">
        <v>131</v>
      </c>
      <c r="D487" s="200" t="s">
        <v>164</v>
      </c>
      <c r="E487" s="213">
        <v>49.3</v>
      </c>
      <c r="F487" s="201">
        <v>38</v>
      </c>
      <c r="G487" s="201">
        <v>44</v>
      </c>
      <c r="H487" s="201">
        <v>46</v>
      </c>
      <c r="I487" s="201">
        <v>31</v>
      </c>
      <c r="J487" s="201">
        <v>31</v>
      </c>
      <c r="K487" s="201">
        <v>35</v>
      </c>
      <c r="L487" s="201">
        <v>32</v>
      </c>
      <c r="M487" s="330">
        <v>29</v>
      </c>
      <c r="N487" s="202">
        <v>-0.41176470588235292</v>
      </c>
    </row>
    <row r="488" spans="1:14" ht="15.75" customHeight="1">
      <c r="A488" s="198" t="s">
        <v>159</v>
      </c>
      <c r="B488" s="199" t="s">
        <v>180</v>
      </c>
      <c r="C488" s="199" t="s">
        <v>131</v>
      </c>
      <c r="D488" s="200" t="s">
        <v>165</v>
      </c>
      <c r="E488" s="213">
        <v>131.9</v>
      </c>
      <c r="F488" s="201">
        <v>179</v>
      </c>
      <c r="G488" s="201">
        <v>139</v>
      </c>
      <c r="H488" s="201">
        <v>160</v>
      </c>
      <c r="I488" s="201">
        <v>123</v>
      </c>
      <c r="J488" s="201">
        <v>117</v>
      </c>
      <c r="K488" s="201">
        <v>126</v>
      </c>
      <c r="L488" s="201">
        <v>126</v>
      </c>
      <c r="M488" s="330">
        <v>129</v>
      </c>
      <c r="N488" s="202">
        <v>-2.1986353297953037E-2</v>
      </c>
    </row>
    <row r="489" spans="1:14" ht="15.75" customHeight="1">
      <c r="A489" s="198" t="s">
        <v>159</v>
      </c>
      <c r="B489" s="199" t="s">
        <v>180</v>
      </c>
      <c r="C489" s="199" t="s">
        <v>131</v>
      </c>
      <c r="D489" s="203" t="s">
        <v>91</v>
      </c>
      <c r="E489" s="214">
        <v>184.2</v>
      </c>
      <c r="F489" s="204">
        <v>220</v>
      </c>
      <c r="G489" s="204">
        <v>187</v>
      </c>
      <c r="H489" s="204">
        <v>210</v>
      </c>
      <c r="I489" s="204">
        <v>156</v>
      </c>
      <c r="J489" s="204">
        <v>148</v>
      </c>
      <c r="K489" s="204">
        <v>162</v>
      </c>
      <c r="L489" s="204">
        <v>162</v>
      </c>
      <c r="M489" s="331">
        <v>164</v>
      </c>
      <c r="N489" s="202">
        <v>-0.10966340933767639</v>
      </c>
    </row>
    <row r="490" spans="1:14">
      <c r="A490" s="198" t="s">
        <v>159</v>
      </c>
      <c r="B490" s="199" t="s">
        <v>180</v>
      </c>
      <c r="C490" s="199" t="s">
        <v>169</v>
      </c>
      <c r="D490" s="200" t="s">
        <v>162</v>
      </c>
      <c r="E490" s="213">
        <v>0</v>
      </c>
      <c r="F490" s="201">
        <v>0</v>
      </c>
      <c r="G490" s="201">
        <v>0</v>
      </c>
      <c r="H490" s="201">
        <v>0</v>
      </c>
      <c r="I490" s="201">
        <v>0</v>
      </c>
      <c r="J490" s="201">
        <v>0</v>
      </c>
      <c r="K490" s="201">
        <v>0</v>
      </c>
      <c r="L490" s="201">
        <v>0</v>
      </c>
      <c r="M490" s="330" t="s">
        <v>172</v>
      </c>
      <c r="N490" s="202">
        <v>0</v>
      </c>
    </row>
    <row r="491" spans="1:14" ht="15.75" customHeight="1">
      <c r="A491" s="198" t="s">
        <v>159</v>
      </c>
      <c r="B491" s="199" t="s">
        <v>180</v>
      </c>
      <c r="C491" s="199" t="s">
        <v>169</v>
      </c>
      <c r="D491" s="200" t="s">
        <v>163</v>
      </c>
      <c r="E491" s="213">
        <v>0</v>
      </c>
      <c r="F491" s="201">
        <v>0</v>
      </c>
      <c r="G491" s="201">
        <v>0</v>
      </c>
      <c r="H491" s="201">
        <v>2</v>
      </c>
      <c r="I491" s="201">
        <v>1</v>
      </c>
      <c r="J491" s="201">
        <v>0</v>
      </c>
      <c r="K491" s="201">
        <v>0</v>
      </c>
      <c r="L491" s="201">
        <v>1</v>
      </c>
      <c r="M491" s="330">
        <v>0</v>
      </c>
      <c r="N491" s="202">
        <v>0</v>
      </c>
    </row>
    <row r="492" spans="1:14" ht="15.75" customHeight="1">
      <c r="A492" s="198" t="s">
        <v>159</v>
      </c>
      <c r="B492" s="199" t="s">
        <v>180</v>
      </c>
      <c r="C492" s="199" t="s">
        <v>169</v>
      </c>
      <c r="D492" s="200" t="s">
        <v>164</v>
      </c>
      <c r="E492" s="213">
        <v>0</v>
      </c>
      <c r="F492" s="201">
        <v>0</v>
      </c>
      <c r="G492" s="201">
        <v>0</v>
      </c>
      <c r="H492" s="201">
        <v>2</v>
      </c>
      <c r="I492" s="201">
        <v>1</v>
      </c>
      <c r="J492" s="201">
        <v>0</v>
      </c>
      <c r="K492" s="201">
        <v>0</v>
      </c>
      <c r="L492" s="201">
        <v>1</v>
      </c>
      <c r="M492" s="330" t="s">
        <v>172</v>
      </c>
      <c r="N492" s="202">
        <v>0</v>
      </c>
    </row>
    <row r="493" spans="1:14" ht="15.75" customHeight="1">
      <c r="A493" s="198" t="s">
        <v>159</v>
      </c>
      <c r="B493" s="199" t="s">
        <v>180</v>
      </c>
      <c r="C493" s="199" t="s">
        <v>169</v>
      </c>
      <c r="D493" s="200" t="s">
        <v>165</v>
      </c>
      <c r="E493" s="213">
        <v>0</v>
      </c>
      <c r="F493" s="201">
        <v>17</v>
      </c>
      <c r="G493" s="201">
        <v>15</v>
      </c>
      <c r="H493" s="201">
        <v>9</v>
      </c>
      <c r="I493" s="201">
        <v>7</v>
      </c>
      <c r="J493" s="201">
        <v>14</v>
      </c>
      <c r="K493" s="201">
        <v>5</v>
      </c>
      <c r="L493" s="201">
        <v>6</v>
      </c>
      <c r="M493" s="330">
        <v>3</v>
      </c>
      <c r="N493" s="202">
        <v>0</v>
      </c>
    </row>
    <row r="494" spans="1:14" ht="15.75" customHeight="1">
      <c r="A494" s="198" t="s">
        <v>159</v>
      </c>
      <c r="B494" s="199" t="s">
        <v>180</v>
      </c>
      <c r="C494" s="199" t="s">
        <v>169</v>
      </c>
      <c r="D494" s="203" t="s">
        <v>91</v>
      </c>
      <c r="E494" s="214">
        <v>0</v>
      </c>
      <c r="F494" s="204">
        <v>17</v>
      </c>
      <c r="G494" s="204">
        <v>15</v>
      </c>
      <c r="H494" s="204">
        <v>11</v>
      </c>
      <c r="I494" s="204">
        <v>8</v>
      </c>
      <c r="J494" s="204">
        <v>14</v>
      </c>
      <c r="K494" s="204">
        <v>5</v>
      </c>
      <c r="L494" s="204">
        <v>7</v>
      </c>
      <c r="M494" s="331">
        <v>3</v>
      </c>
      <c r="N494" s="202">
        <v>0</v>
      </c>
    </row>
    <row r="495" spans="1:14" ht="15.75" customHeight="1">
      <c r="A495" s="198" t="s">
        <v>159</v>
      </c>
      <c r="B495" s="199" t="s">
        <v>180</v>
      </c>
      <c r="C495" s="199" t="s">
        <v>139</v>
      </c>
      <c r="D495" s="200" t="s">
        <v>162</v>
      </c>
      <c r="E495" s="213">
        <v>0.4</v>
      </c>
      <c r="F495" s="201">
        <v>0</v>
      </c>
      <c r="G495" s="201">
        <v>0</v>
      </c>
      <c r="H495" s="201">
        <v>0</v>
      </c>
      <c r="I495" s="201">
        <v>0</v>
      </c>
      <c r="J495" s="201">
        <v>0</v>
      </c>
      <c r="K495" s="201">
        <v>0</v>
      </c>
      <c r="L495" s="201">
        <v>0</v>
      </c>
      <c r="M495" s="330" t="s">
        <v>172</v>
      </c>
      <c r="N495" s="202">
        <v>-1</v>
      </c>
    </row>
    <row r="496" spans="1:14" ht="15.75" customHeight="1">
      <c r="A496" s="198" t="s">
        <v>159</v>
      </c>
      <c r="B496" s="199" t="s">
        <v>180</v>
      </c>
      <c r="C496" s="199" t="s">
        <v>139</v>
      </c>
      <c r="D496" s="200" t="s">
        <v>163</v>
      </c>
      <c r="E496" s="213">
        <v>1.5</v>
      </c>
      <c r="F496" s="201">
        <v>0</v>
      </c>
      <c r="G496" s="201">
        <v>0</v>
      </c>
      <c r="H496" s="201">
        <v>0</v>
      </c>
      <c r="I496" s="201">
        <v>0</v>
      </c>
      <c r="J496" s="201">
        <v>0</v>
      </c>
      <c r="K496" s="201">
        <v>0</v>
      </c>
      <c r="L496" s="201">
        <v>0</v>
      </c>
      <c r="M496" s="330">
        <v>0</v>
      </c>
      <c r="N496" s="202">
        <v>-1</v>
      </c>
    </row>
    <row r="497" spans="1:14" ht="15.75" customHeight="1">
      <c r="A497" s="198" t="s">
        <v>159</v>
      </c>
      <c r="B497" s="199" t="s">
        <v>180</v>
      </c>
      <c r="C497" s="199" t="s">
        <v>139</v>
      </c>
      <c r="D497" s="200" t="s">
        <v>164</v>
      </c>
      <c r="E497" s="213">
        <v>1.1000000000000001</v>
      </c>
      <c r="F497" s="201">
        <v>0</v>
      </c>
      <c r="G497" s="201">
        <v>0</v>
      </c>
      <c r="H497" s="201">
        <v>0</v>
      </c>
      <c r="I497" s="201">
        <v>0</v>
      </c>
      <c r="J497" s="201">
        <v>0</v>
      </c>
      <c r="K497" s="201">
        <v>0</v>
      </c>
      <c r="L497" s="201">
        <v>0</v>
      </c>
      <c r="M497" s="330" t="s">
        <v>172</v>
      </c>
      <c r="N497" s="202">
        <v>-1</v>
      </c>
    </row>
    <row r="498" spans="1:14" ht="15.75" customHeight="1">
      <c r="A498" s="198" t="s">
        <v>159</v>
      </c>
      <c r="B498" s="199" t="s">
        <v>180</v>
      </c>
      <c r="C498" s="199" t="s">
        <v>139</v>
      </c>
      <c r="D498" s="200" t="s">
        <v>165</v>
      </c>
      <c r="E498" s="213">
        <v>15.7</v>
      </c>
      <c r="F498" s="201">
        <v>5</v>
      </c>
      <c r="G498" s="201">
        <v>6</v>
      </c>
      <c r="H498" s="201">
        <v>10</v>
      </c>
      <c r="I498" s="201">
        <v>17</v>
      </c>
      <c r="J498" s="201">
        <v>10</v>
      </c>
      <c r="K498" s="201">
        <v>7</v>
      </c>
      <c r="L498" s="201">
        <v>13</v>
      </c>
      <c r="M498" s="330">
        <v>12</v>
      </c>
      <c r="N498" s="202">
        <v>-0.23566878980891717</v>
      </c>
    </row>
    <row r="499" spans="1:14" ht="15.75" customHeight="1">
      <c r="A499" s="198" t="s">
        <v>159</v>
      </c>
      <c r="B499" s="199" t="s">
        <v>180</v>
      </c>
      <c r="C499" s="199" t="s">
        <v>139</v>
      </c>
      <c r="D499" s="203" t="s">
        <v>91</v>
      </c>
      <c r="E499" s="214">
        <v>17.3</v>
      </c>
      <c r="F499" s="204">
        <v>5</v>
      </c>
      <c r="G499" s="204">
        <v>6</v>
      </c>
      <c r="H499" s="204">
        <v>10</v>
      </c>
      <c r="I499" s="204">
        <v>17</v>
      </c>
      <c r="J499" s="204">
        <v>10</v>
      </c>
      <c r="K499" s="204">
        <v>7</v>
      </c>
      <c r="L499" s="204">
        <v>13</v>
      </c>
      <c r="M499" s="331">
        <v>12</v>
      </c>
      <c r="N499" s="202">
        <v>-0.30635838150289019</v>
      </c>
    </row>
    <row r="500" spans="1:14" ht="15.75" customHeight="1">
      <c r="A500" s="198" t="s">
        <v>159</v>
      </c>
      <c r="B500" s="199" t="s">
        <v>180</v>
      </c>
      <c r="C500" s="205" t="s">
        <v>91</v>
      </c>
      <c r="D500" s="203" t="s">
        <v>162</v>
      </c>
      <c r="E500" s="214">
        <v>7.4</v>
      </c>
      <c r="F500" s="204">
        <v>10</v>
      </c>
      <c r="G500" s="204">
        <v>8</v>
      </c>
      <c r="H500" s="204">
        <v>5</v>
      </c>
      <c r="I500" s="204">
        <v>3</v>
      </c>
      <c r="J500" s="204">
        <v>0</v>
      </c>
      <c r="K500" s="204">
        <v>5</v>
      </c>
      <c r="L500" s="204">
        <v>9</v>
      </c>
      <c r="M500" s="331">
        <v>8</v>
      </c>
      <c r="N500" s="202">
        <v>8.108108108108103E-2</v>
      </c>
    </row>
    <row r="501" spans="1:14" ht="15.75" customHeight="1">
      <c r="A501" s="198" t="s">
        <v>159</v>
      </c>
      <c r="B501" s="199" t="s">
        <v>188</v>
      </c>
      <c r="C501" s="205" t="s">
        <v>91</v>
      </c>
      <c r="D501" s="203" t="s">
        <v>163</v>
      </c>
      <c r="E501" s="214">
        <v>141.30000000000001</v>
      </c>
      <c r="F501" s="204">
        <v>114</v>
      </c>
      <c r="G501" s="204">
        <v>122</v>
      </c>
      <c r="H501" s="204">
        <v>117</v>
      </c>
      <c r="I501" s="204">
        <v>82</v>
      </c>
      <c r="J501" s="204">
        <v>118</v>
      </c>
      <c r="K501" s="204">
        <v>141</v>
      </c>
      <c r="L501" s="204">
        <v>135</v>
      </c>
      <c r="M501" s="331">
        <v>127</v>
      </c>
      <c r="N501" s="202">
        <v>-0.10120311394196752</v>
      </c>
    </row>
    <row r="502" spans="1:14" ht="15.75" customHeight="1">
      <c r="A502" s="198" t="s">
        <v>159</v>
      </c>
      <c r="B502" s="199" t="s">
        <v>180</v>
      </c>
      <c r="C502" s="205" t="s">
        <v>91</v>
      </c>
      <c r="D502" s="203" t="s">
        <v>164</v>
      </c>
      <c r="E502" s="214">
        <v>141.30000000000001</v>
      </c>
      <c r="F502" s="204">
        <v>120</v>
      </c>
      <c r="G502" s="204">
        <v>118</v>
      </c>
      <c r="H502" s="204">
        <v>116</v>
      </c>
      <c r="I502" s="204">
        <v>97</v>
      </c>
      <c r="J502" s="204">
        <v>99</v>
      </c>
      <c r="K502" s="204">
        <v>116</v>
      </c>
      <c r="L502" s="204">
        <v>88</v>
      </c>
      <c r="M502" s="331">
        <v>110</v>
      </c>
      <c r="N502" s="202">
        <v>-0.22151450813871201</v>
      </c>
    </row>
    <row r="503" spans="1:14" ht="15.75" customHeight="1">
      <c r="A503" s="198" t="s">
        <v>159</v>
      </c>
      <c r="B503" s="199" t="s">
        <v>180</v>
      </c>
      <c r="C503" s="205" t="s">
        <v>91</v>
      </c>
      <c r="D503" s="203" t="s">
        <v>165</v>
      </c>
      <c r="E503" s="214">
        <v>995.6</v>
      </c>
      <c r="F503" s="204">
        <v>1062</v>
      </c>
      <c r="G503" s="204">
        <v>1002</v>
      </c>
      <c r="H503" s="204">
        <v>1045</v>
      </c>
      <c r="I503" s="204">
        <v>928</v>
      </c>
      <c r="J503" s="204">
        <v>1021</v>
      </c>
      <c r="K503" s="204">
        <v>1067</v>
      </c>
      <c r="L503" s="204">
        <v>1074</v>
      </c>
      <c r="M503" s="331">
        <v>945</v>
      </c>
      <c r="N503" s="202">
        <v>-5.0823623945359601E-2</v>
      </c>
    </row>
    <row r="504" spans="1:14" ht="15.75" customHeight="1">
      <c r="A504" s="198" t="s">
        <v>159</v>
      </c>
      <c r="B504" s="199" t="s">
        <v>180</v>
      </c>
      <c r="C504" s="205" t="s">
        <v>91</v>
      </c>
      <c r="D504" s="203" t="s">
        <v>91</v>
      </c>
      <c r="E504" s="214">
        <v>1144.3</v>
      </c>
      <c r="F504" s="204">
        <v>1192</v>
      </c>
      <c r="G504" s="204">
        <v>1128</v>
      </c>
      <c r="H504" s="204">
        <v>1166</v>
      </c>
      <c r="I504" s="204">
        <v>1028</v>
      </c>
      <c r="J504" s="204">
        <v>1120</v>
      </c>
      <c r="K504" s="204">
        <v>1188</v>
      </c>
      <c r="L504" s="204">
        <v>1171</v>
      </c>
      <c r="M504" s="331">
        <v>1063</v>
      </c>
      <c r="N504" s="202">
        <v>-7.1047802149785858E-2</v>
      </c>
    </row>
    <row r="505" spans="1:14">
      <c r="A505" s="198" t="s">
        <v>175</v>
      </c>
      <c r="B505" s="199" t="s">
        <v>181</v>
      </c>
      <c r="C505" s="199" t="s">
        <v>161</v>
      </c>
      <c r="D505" s="200" t="s">
        <v>162</v>
      </c>
      <c r="E505" s="215">
        <v>0</v>
      </c>
      <c r="F505" s="201">
        <v>0</v>
      </c>
      <c r="G505" s="201">
        <v>0</v>
      </c>
      <c r="H505" s="201">
        <v>0</v>
      </c>
      <c r="I505" s="201">
        <v>0</v>
      </c>
      <c r="J505" s="201">
        <v>0</v>
      </c>
      <c r="K505" s="201">
        <v>0</v>
      </c>
      <c r="L505" s="201">
        <v>0</v>
      </c>
      <c r="M505" s="330" t="s">
        <v>172</v>
      </c>
      <c r="N505" s="202">
        <v>0</v>
      </c>
    </row>
    <row r="506" spans="1:14" ht="15.75" customHeight="1">
      <c r="A506" s="198" t="s">
        <v>175</v>
      </c>
      <c r="B506" s="199" t="s">
        <v>181</v>
      </c>
      <c r="C506" s="199" t="s">
        <v>161</v>
      </c>
      <c r="D506" s="200" t="s">
        <v>163</v>
      </c>
      <c r="E506" s="215">
        <v>5.5</v>
      </c>
      <c r="F506" s="201">
        <v>3</v>
      </c>
      <c r="G506" s="201">
        <v>0</v>
      </c>
      <c r="H506" s="201">
        <v>1</v>
      </c>
      <c r="I506" s="201">
        <v>1</v>
      </c>
      <c r="J506" s="201">
        <v>1</v>
      </c>
      <c r="K506" s="201">
        <v>2</v>
      </c>
      <c r="L506" s="201">
        <v>5</v>
      </c>
      <c r="M506" s="330">
        <v>5</v>
      </c>
      <c r="N506" s="202">
        <v>-9.0909090909090912E-2</v>
      </c>
    </row>
    <row r="507" spans="1:14" ht="15.75" customHeight="1">
      <c r="A507" s="198" t="s">
        <v>175</v>
      </c>
      <c r="B507" s="199" t="s">
        <v>181</v>
      </c>
      <c r="C507" s="199" t="s">
        <v>161</v>
      </c>
      <c r="D507" s="200" t="s">
        <v>164</v>
      </c>
      <c r="E507" s="215">
        <v>5.5</v>
      </c>
      <c r="F507" s="201">
        <v>3</v>
      </c>
      <c r="G507" s="201">
        <v>0</v>
      </c>
      <c r="H507" s="201">
        <v>1</v>
      </c>
      <c r="I507" s="201">
        <v>1</v>
      </c>
      <c r="J507" s="201">
        <v>1</v>
      </c>
      <c r="K507" s="201">
        <v>2</v>
      </c>
      <c r="L507" s="201">
        <v>5</v>
      </c>
      <c r="M507" s="330">
        <v>5</v>
      </c>
      <c r="N507" s="202">
        <v>-9.0909090909090912E-2</v>
      </c>
    </row>
    <row r="508" spans="1:14" ht="15.75" customHeight="1">
      <c r="A508" s="198" t="s">
        <v>175</v>
      </c>
      <c r="B508" s="199" t="s">
        <v>181</v>
      </c>
      <c r="C508" s="199" t="s">
        <v>161</v>
      </c>
      <c r="D508" s="200" t="s">
        <v>165</v>
      </c>
      <c r="E508" s="215">
        <v>44.5</v>
      </c>
      <c r="F508" s="201">
        <v>61</v>
      </c>
      <c r="G508" s="201">
        <v>47</v>
      </c>
      <c r="H508" s="201">
        <v>30</v>
      </c>
      <c r="I508" s="201">
        <v>22</v>
      </c>
      <c r="J508" s="201">
        <v>28</v>
      </c>
      <c r="K508" s="201">
        <v>24</v>
      </c>
      <c r="L508" s="201">
        <v>26</v>
      </c>
      <c r="M508" s="330">
        <v>35</v>
      </c>
      <c r="N508" s="202">
        <v>-0.21348314606741572</v>
      </c>
    </row>
    <row r="509" spans="1:14" ht="15.75" customHeight="1">
      <c r="A509" s="198" t="s">
        <v>175</v>
      </c>
      <c r="B509" s="199" t="s">
        <v>181</v>
      </c>
      <c r="C509" s="199" t="s">
        <v>161</v>
      </c>
      <c r="D509" s="203" t="s">
        <v>91</v>
      </c>
      <c r="E509" s="216">
        <v>50</v>
      </c>
      <c r="F509" s="204">
        <v>64</v>
      </c>
      <c r="G509" s="204">
        <v>47</v>
      </c>
      <c r="H509" s="204">
        <v>31</v>
      </c>
      <c r="I509" s="204">
        <v>23</v>
      </c>
      <c r="J509" s="204">
        <v>29</v>
      </c>
      <c r="K509" s="204">
        <v>26</v>
      </c>
      <c r="L509" s="204">
        <v>31</v>
      </c>
      <c r="M509" s="331">
        <v>40</v>
      </c>
      <c r="N509" s="202">
        <v>-0.2</v>
      </c>
    </row>
    <row r="510" spans="1:14">
      <c r="A510" s="198" t="s">
        <v>175</v>
      </c>
      <c r="B510" s="199" t="s">
        <v>181</v>
      </c>
      <c r="C510" s="199" t="s">
        <v>134</v>
      </c>
      <c r="D510" s="200" t="s">
        <v>162</v>
      </c>
      <c r="E510" s="215">
        <v>0.6</v>
      </c>
      <c r="F510" s="201">
        <v>1</v>
      </c>
      <c r="G510" s="201">
        <v>0</v>
      </c>
      <c r="H510" s="201">
        <v>2</v>
      </c>
      <c r="I510" s="201">
        <v>1</v>
      </c>
      <c r="J510" s="201">
        <v>0</v>
      </c>
      <c r="K510" s="201">
        <v>0</v>
      </c>
      <c r="L510" s="201">
        <v>0</v>
      </c>
      <c r="M510" s="330">
        <v>1</v>
      </c>
      <c r="N510" s="202">
        <v>0.66666666666666674</v>
      </c>
    </row>
    <row r="511" spans="1:14" ht="15.75" customHeight="1">
      <c r="A511" s="198" t="s">
        <v>175</v>
      </c>
      <c r="B511" s="199" t="s">
        <v>181</v>
      </c>
      <c r="C511" s="199" t="s">
        <v>134</v>
      </c>
      <c r="D511" s="200" t="s">
        <v>163</v>
      </c>
      <c r="E511" s="215">
        <v>33</v>
      </c>
      <c r="F511" s="201">
        <v>16</v>
      </c>
      <c r="G511" s="201">
        <v>19</v>
      </c>
      <c r="H511" s="201">
        <v>16</v>
      </c>
      <c r="I511" s="201">
        <v>24</v>
      </c>
      <c r="J511" s="201">
        <v>16</v>
      </c>
      <c r="K511" s="201">
        <v>21</v>
      </c>
      <c r="L511" s="201">
        <v>14</v>
      </c>
      <c r="M511" s="330">
        <v>28</v>
      </c>
      <c r="N511" s="202">
        <v>-0.15151515151515152</v>
      </c>
    </row>
    <row r="512" spans="1:14" ht="15.75" customHeight="1">
      <c r="A512" s="198" t="s">
        <v>175</v>
      </c>
      <c r="B512" s="199" t="s">
        <v>181</v>
      </c>
      <c r="C512" s="199" t="s">
        <v>134</v>
      </c>
      <c r="D512" s="200" t="s">
        <v>164</v>
      </c>
      <c r="E512" s="215">
        <v>32.4</v>
      </c>
      <c r="F512" s="201">
        <v>15</v>
      </c>
      <c r="G512" s="201">
        <v>19</v>
      </c>
      <c r="H512" s="201">
        <v>14</v>
      </c>
      <c r="I512" s="201">
        <v>23</v>
      </c>
      <c r="J512" s="201">
        <v>16</v>
      </c>
      <c r="K512" s="201">
        <v>21</v>
      </c>
      <c r="L512" s="201">
        <v>14</v>
      </c>
      <c r="M512" s="330">
        <v>27</v>
      </c>
      <c r="N512" s="202">
        <v>-0.16666666666666663</v>
      </c>
    </row>
    <row r="513" spans="1:14" ht="15.75" customHeight="1">
      <c r="A513" s="198" t="s">
        <v>175</v>
      </c>
      <c r="B513" s="199" t="s">
        <v>181</v>
      </c>
      <c r="C513" s="199" t="s">
        <v>134</v>
      </c>
      <c r="D513" s="200" t="s">
        <v>165</v>
      </c>
      <c r="E513" s="215">
        <v>394.7</v>
      </c>
      <c r="F513" s="201">
        <v>445</v>
      </c>
      <c r="G513" s="201">
        <v>401</v>
      </c>
      <c r="H513" s="201">
        <v>432</v>
      </c>
      <c r="I513" s="201">
        <v>305</v>
      </c>
      <c r="J513" s="201">
        <v>341</v>
      </c>
      <c r="K513" s="201">
        <v>274</v>
      </c>
      <c r="L513" s="201">
        <v>293</v>
      </c>
      <c r="M513" s="330">
        <v>261</v>
      </c>
      <c r="N513" s="202">
        <v>-0.33873828223967567</v>
      </c>
    </row>
    <row r="514" spans="1:14" ht="15.75" customHeight="1">
      <c r="A514" s="198" t="s">
        <v>175</v>
      </c>
      <c r="B514" s="199" t="s">
        <v>181</v>
      </c>
      <c r="C514" s="199" t="s">
        <v>134</v>
      </c>
      <c r="D514" s="203" t="s">
        <v>91</v>
      </c>
      <c r="E514" s="216">
        <v>427.7</v>
      </c>
      <c r="F514" s="204">
        <v>461</v>
      </c>
      <c r="G514" s="204">
        <v>420</v>
      </c>
      <c r="H514" s="204">
        <v>448</v>
      </c>
      <c r="I514" s="204">
        <v>329</v>
      </c>
      <c r="J514" s="204">
        <v>357</v>
      </c>
      <c r="K514" s="204">
        <v>295</v>
      </c>
      <c r="L514" s="204">
        <v>307</v>
      </c>
      <c r="M514" s="331">
        <v>289</v>
      </c>
      <c r="N514" s="202">
        <v>-0.32429272854804769</v>
      </c>
    </row>
    <row r="515" spans="1:14">
      <c r="A515" s="198" t="s">
        <v>175</v>
      </c>
      <c r="B515" s="199" t="s">
        <v>181</v>
      </c>
      <c r="C515" s="199" t="s">
        <v>166</v>
      </c>
      <c r="D515" s="200" t="s">
        <v>162</v>
      </c>
      <c r="E515" s="215">
        <v>0</v>
      </c>
      <c r="F515" s="201">
        <v>0</v>
      </c>
      <c r="G515" s="201">
        <v>0</v>
      </c>
      <c r="H515" s="201">
        <v>0</v>
      </c>
      <c r="I515" s="201">
        <v>0</v>
      </c>
      <c r="J515" s="201">
        <v>0</v>
      </c>
      <c r="K515" s="201">
        <v>0</v>
      </c>
      <c r="L515" s="201">
        <v>0</v>
      </c>
      <c r="M515" s="330" t="s">
        <v>172</v>
      </c>
      <c r="N515" s="202">
        <v>0</v>
      </c>
    </row>
    <row r="516" spans="1:14" ht="15.75" customHeight="1">
      <c r="A516" s="198" t="s">
        <v>175</v>
      </c>
      <c r="B516" s="199" t="s">
        <v>181</v>
      </c>
      <c r="C516" s="199" t="s">
        <v>166</v>
      </c>
      <c r="D516" s="200" t="s">
        <v>163</v>
      </c>
      <c r="E516" s="215">
        <v>2.2999999999999998</v>
      </c>
      <c r="F516" s="201">
        <v>2</v>
      </c>
      <c r="G516" s="201">
        <v>1</v>
      </c>
      <c r="H516" s="201">
        <v>2</v>
      </c>
      <c r="I516" s="201">
        <v>1</v>
      </c>
      <c r="J516" s="201">
        <v>0</v>
      </c>
      <c r="K516" s="201">
        <v>1</v>
      </c>
      <c r="L516" s="201">
        <v>2</v>
      </c>
      <c r="M516" s="330">
        <v>1</v>
      </c>
      <c r="N516" s="202">
        <v>-0.56521739130434778</v>
      </c>
    </row>
    <row r="517" spans="1:14" ht="15.75" customHeight="1">
      <c r="A517" s="198" t="s">
        <v>175</v>
      </c>
      <c r="B517" s="199" t="s">
        <v>181</v>
      </c>
      <c r="C517" s="199" t="s">
        <v>166</v>
      </c>
      <c r="D517" s="200" t="s">
        <v>164</v>
      </c>
      <c r="E517" s="215">
        <v>2.2999999999999998</v>
      </c>
      <c r="F517" s="201">
        <v>2</v>
      </c>
      <c r="G517" s="201">
        <v>1</v>
      </c>
      <c r="H517" s="201">
        <v>2</v>
      </c>
      <c r="I517" s="201">
        <v>1</v>
      </c>
      <c r="J517" s="201">
        <v>0</v>
      </c>
      <c r="K517" s="201">
        <v>1</v>
      </c>
      <c r="L517" s="201">
        <v>2</v>
      </c>
      <c r="M517" s="330">
        <v>1</v>
      </c>
      <c r="N517" s="202">
        <v>-0.56521739130434778</v>
      </c>
    </row>
    <row r="518" spans="1:14" ht="15.75" customHeight="1">
      <c r="A518" s="198" t="s">
        <v>175</v>
      </c>
      <c r="B518" s="199" t="s">
        <v>181</v>
      </c>
      <c r="C518" s="199" t="s">
        <v>166</v>
      </c>
      <c r="D518" s="200" t="s">
        <v>165</v>
      </c>
      <c r="E518" s="215">
        <v>23.1</v>
      </c>
      <c r="F518" s="201">
        <v>17</v>
      </c>
      <c r="G518" s="201">
        <v>16</v>
      </c>
      <c r="H518" s="201">
        <v>27</v>
      </c>
      <c r="I518" s="201">
        <v>21</v>
      </c>
      <c r="J518" s="201">
        <v>22</v>
      </c>
      <c r="K518" s="201">
        <v>23</v>
      </c>
      <c r="L518" s="201">
        <v>27</v>
      </c>
      <c r="M518" s="330">
        <v>15</v>
      </c>
      <c r="N518" s="202">
        <v>-0.35064935064935071</v>
      </c>
    </row>
    <row r="519" spans="1:14" ht="15.75" customHeight="1">
      <c r="A519" s="198" t="s">
        <v>175</v>
      </c>
      <c r="B519" s="199" t="s">
        <v>181</v>
      </c>
      <c r="C519" s="199" t="s">
        <v>166</v>
      </c>
      <c r="D519" s="203" t="s">
        <v>91</v>
      </c>
      <c r="E519" s="216">
        <v>25.3</v>
      </c>
      <c r="F519" s="204">
        <v>19</v>
      </c>
      <c r="G519" s="204">
        <v>17</v>
      </c>
      <c r="H519" s="204">
        <v>29</v>
      </c>
      <c r="I519" s="204">
        <v>22</v>
      </c>
      <c r="J519" s="204">
        <v>22</v>
      </c>
      <c r="K519" s="204">
        <v>24</v>
      </c>
      <c r="L519" s="204">
        <v>29</v>
      </c>
      <c r="M519" s="331">
        <v>16</v>
      </c>
      <c r="N519" s="202">
        <v>-0.36758893280632415</v>
      </c>
    </row>
    <row r="520" spans="1:14" ht="15.75" customHeight="1">
      <c r="A520" s="198" t="s">
        <v>175</v>
      </c>
      <c r="B520" s="199" t="s">
        <v>181</v>
      </c>
      <c r="C520" s="199" t="s">
        <v>133</v>
      </c>
      <c r="D520" s="200" t="s">
        <v>162</v>
      </c>
      <c r="E520" s="215">
        <v>1</v>
      </c>
      <c r="F520" s="201">
        <v>1</v>
      </c>
      <c r="G520" s="201">
        <v>3</v>
      </c>
      <c r="H520" s="201">
        <v>2</v>
      </c>
      <c r="I520" s="201">
        <v>0</v>
      </c>
      <c r="J520" s="201">
        <v>0</v>
      </c>
      <c r="K520" s="201">
        <v>2</v>
      </c>
      <c r="L520" s="201">
        <v>0</v>
      </c>
      <c r="M520" s="330">
        <v>1</v>
      </c>
      <c r="N520" s="202">
        <v>0</v>
      </c>
    </row>
    <row r="521" spans="1:14" ht="15.75" customHeight="1">
      <c r="A521" s="198" t="s">
        <v>175</v>
      </c>
      <c r="B521" s="199" t="s">
        <v>181</v>
      </c>
      <c r="C521" s="199" t="s">
        <v>133</v>
      </c>
      <c r="D521" s="200" t="s">
        <v>163</v>
      </c>
      <c r="E521" s="215">
        <v>29.6</v>
      </c>
      <c r="F521" s="201">
        <v>32</v>
      </c>
      <c r="G521" s="201">
        <v>41</v>
      </c>
      <c r="H521" s="201">
        <v>34</v>
      </c>
      <c r="I521" s="201">
        <v>17</v>
      </c>
      <c r="J521" s="201">
        <v>26</v>
      </c>
      <c r="K521" s="201">
        <v>24</v>
      </c>
      <c r="L521" s="201">
        <v>28</v>
      </c>
      <c r="M521" s="330">
        <v>20</v>
      </c>
      <c r="N521" s="202">
        <v>-0.32432432432432434</v>
      </c>
    </row>
    <row r="522" spans="1:14" ht="15.75" customHeight="1">
      <c r="A522" s="198" t="s">
        <v>175</v>
      </c>
      <c r="B522" s="199" t="s">
        <v>181</v>
      </c>
      <c r="C522" s="199" t="s">
        <v>133</v>
      </c>
      <c r="D522" s="200" t="s">
        <v>164</v>
      </c>
      <c r="E522" s="215">
        <v>28.6</v>
      </c>
      <c r="F522" s="201">
        <v>31</v>
      </c>
      <c r="G522" s="201">
        <v>38</v>
      </c>
      <c r="H522" s="201">
        <v>32</v>
      </c>
      <c r="I522" s="201">
        <v>17</v>
      </c>
      <c r="J522" s="201">
        <v>26</v>
      </c>
      <c r="K522" s="201">
        <v>22</v>
      </c>
      <c r="L522" s="201">
        <v>28</v>
      </c>
      <c r="M522" s="330">
        <v>19</v>
      </c>
      <c r="N522" s="202">
        <v>-0.33566433566433568</v>
      </c>
    </row>
    <row r="523" spans="1:14" ht="15.75" customHeight="1">
      <c r="A523" s="198" t="s">
        <v>175</v>
      </c>
      <c r="B523" s="199" t="s">
        <v>181</v>
      </c>
      <c r="C523" s="199" t="s">
        <v>133</v>
      </c>
      <c r="D523" s="200" t="s">
        <v>165</v>
      </c>
      <c r="E523" s="215">
        <v>96.7</v>
      </c>
      <c r="F523" s="201">
        <v>105</v>
      </c>
      <c r="G523" s="201">
        <v>93</v>
      </c>
      <c r="H523" s="201">
        <v>115</v>
      </c>
      <c r="I523" s="201">
        <v>101</v>
      </c>
      <c r="J523" s="201">
        <v>105</v>
      </c>
      <c r="K523" s="201">
        <v>132</v>
      </c>
      <c r="L523" s="201">
        <v>92</v>
      </c>
      <c r="M523" s="330">
        <v>122</v>
      </c>
      <c r="N523" s="202">
        <v>0.26163391933815922</v>
      </c>
    </row>
    <row r="524" spans="1:14" ht="15.75" customHeight="1">
      <c r="A524" s="198" t="s">
        <v>175</v>
      </c>
      <c r="B524" s="199" t="s">
        <v>181</v>
      </c>
      <c r="C524" s="199" t="s">
        <v>133</v>
      </c>
      <c r="D524" s="203" t="s">
        <v>91</v>
      </c>
      <c r="E524" s="216">
        <v>126.2</v>
      </c>
      <c r="F524" s="204">
        <v>137</v>
      </c>
      <c r="G524" s="204">
        <v>134</v>
      </c>
      <c r="H524" s="204">
        <v>149</v>
      </c>
      <c r="I524" s="204">
        <v>118</v>
      </c>
      <c r="J524" s="204">
        <v>131</v>
      </c>
      <c r="K524" s="204">
        <v>156</v>
      </c>
      <c r="L524" s="204">
        <v>120</v>
      </c>
      <c r="M524" s="331">
        <v>142</v>
      </c>
      <c r="N524" s="202">
        <v>0.12519809825673531</v>
      </c>
    </row>
    <row r="525" spans="1:14" ht="15.75" customHeight="1">
      <c r="A525" s="198" t="s">
        <v>175</v>
      </c>
      <c r="B525" s="199" t="s">
        <v>181</v>
      </c>
      <c r="C525" s="199" t="s">
        <v>167</v>
      </c>
      <c r="D525" s="200" t="s">
        <v>162</v>
      </c>
      <c r="E525" s="215">
        <v>0</v>
      </c>
      <c r="F525" s="201">
        <v>0</v>
      </c>
      <c r="G525" s="201">
        <v>1</v>
      </c>
      <c r="H525" s="201">
        <v>0</v>
      </c>
      <c r="I525" s="201">
        <v>0</v>
      </c>
      <c r="J525" s="201">
        <v>0</v>
      </c>
      <c r="K525" s="201">
        <v>0</v>
      </c>
      <c r="L525" s="201">
        <v>0</v>
      </c>
      <c r="M525" s="330" t="s">
        <v>172</v>
      </c>
      <c r="N525" s="202">
        <v>0</v>
      </c>
    </row>
    <row r="526" spans="1:14" ht="15.75" customHeight="1">
      <c r="A526" s="198" t="s">
        <v>175</v>
      </c>
      <c r="B526" s="199" t="s">
        <v>181</v>
      </c>
      <c r="C526" s="199" t="s">
        <v>167</v>
      </c>
      <c r="D526" s="200" t="s">
        <v>163</v>
      </c>
      <c r="E526" s="215">
        <v>1</v>
      </c>
      <c r="F526" s="201">
        <v>1</v>
      </c>
      <c r="G526" s="201">
        <v>3</v>
      </c>
      <c r="H526" s="201">
        <v>0</v>
      </c>
      <c r="I526" s="201">
        <v>2</v>
      </c>
      <c r="J526" s="201">
        <v>3</v>
      </c>
      <c r="K526" s="201">
        <v>1</v>
      </c>
      <c r="L526" s="201">
        <v>4</v>
      </c>
      <c r="M526" s="330">
        <v>2</v>
      </c>
      <c r="N526" s="202">
        <v>1</v>
      </c>
    </row>
    <row r="527" spans="1:14" ht="15.75" customHeight="1">
      <c r="A527" s="198" t="s">
        <v>175</v>
      </c>
      <c r="B527" s="199" t="s">
        <v>181</v>
      </c>
      <c r="C527" s="199" t="s">
        <v>167</v>
      </c>
      <c r="D527" s="200" t="s">
        <v>164</v>
      </c>
      <c r="E527" s="215">
        <v>1</v>
      </c>
      <c r="F527" s="201">
        <v>1</v>
      </c>
      <c r="G527" s="201">
        <v>2</v>
      </c>
      <c r="H527" s="201">
        <v>0</v>
      </c>
      <c r="I527" s="201">
        <v>2</v>
      </c>
      <c r="J527" s="201">
        <v>3</v>
      </c>
      <c r="K527" s="201">
        <v>1</v>
      </c>
      <c r="L527" s="201">
        <v>4</v>
      </c>
      <c r="M527" s="330">
        <v>2</v>
      </c>
      <c r="N527" s="202">
        <v>1</v>
      </c>
    </row>
    <row r="528" spans="1:14" ht="15.75" customHeight="1">
      <c r="A528" s="198" t="s">
        <v>175</v>
      </c>
      <c r="B528" s="199" t="s">
        <v>181</v>
      </c>
      <c r="C528" s="199" t="s">
        <v>167</v>
      </c>
      <c r="D528" s="200" t="s">
        <v>165</v>
      </c>
      <c r="E528" s="215">
        <v>4.2</v>
      </c>
      <c r="F528" s="201">
        <v>8</v>
      </c>
      <c r="G528" s="201">
        <v>2</v>
      </c>
      <c r="H528" s="201">
        <v>3</v>
      </c>
      <c r="I528" s="201">
        <v>2</v>
      </c>
      <c r="J528" s="201">
        <v>14</v>
      </c>
      <c r="K528" s="201">
        <v>5</v>
      </c>
      <c r="L528" s="201">
        <v>6</v>
      </c>
      <c r="M528" s="330">
        <v>9</v>
      </c>
      <c r="N528" s="202">
        <v>1.1428571428571428</v>
      </c>
    </row>
    <row r="529" spans="1:14" ht="15.75" customHeight="1">
      <c r="A529" s="198" t="s">
        <v>175</v>
      </c>
      <c r="B529" s="199" t="s">
        <v>181</v>
      </c>
      <c r="C529" s="199" t="s">
        <v>167</v>
      </c>
      <c r="D529" s="203" t="s">
        <v>91</v>
      </c>
      <c r="E529" s="216">
        <v>5.2</v>
      </c>
      <c r="F529" s="204">
        <v>9</v>
      </c>
      <c r="G529" s="204">
        <v>5</v>
      </c>
      <c r="H529" s="204">
        <v>3</v>
      </c>
      <c r="I529" s="204">
        <v>4</v>
      </c>
      <c r="J529" s="204">
        <v>17</v>
      </c>
      <c r="K529" s="204">
        <v>6</v>
      </c>
      <c r="L529" s="204">
        <v>10</v>
      </c>
      <c r="M529" s="331">
        <v>11</v>
      </c>
      <c r="N529" s="202">
        <v>1.1153846153846154</v>
      </c>
    </row>
    <row r="530" spans="1:14" ht="15.75" customHeight="1">
      <c r="A530" s="198" t="s">
        <v>175</v>
      </c>
      <c r="B530" s="199" t="s">
        <v>181</v>
      </c>
      <c r="C530" s="199" t="s">
        <v>168</v>
      </c>
      <c r="D530" s="200" t="s">
        <v>162</v>
      </c>
      <c r="E530" s="215">
        <v>0</v>
      </c>
      <c r="F530" s="201">
        <v>0</v>
      </c>
      <c r="G530" s="201">
        <v>2</v>
      </c>
      <c r="H530" s="201">
        <v>0</v>
      </c>
      <c r="I530" s="201">
        <v>0</v>
      </c>
      <c r="J530" s="201">
        <v>0</v>
      </c>
      <c r="K530" s="201">
        <v>0</v>
      </c>
      <c r="L530" s="201">
        <v>0</v>
      </c>
      <c r="M530" s="330" t="s">
        <v>172</v>
      </c>
      <c r="N530" s="202">
        <v>0</v>
      </c>
    </row>
    <row r="531" spans="1:14" ht="15.75" customHeight="1">
      <c r="A531" s="198" t="s">
        <v>175</v>
      </c>
      <c r="B531" s="199" t="s">
        <v>181</v>
      </c>
      <c r="C531" s="199" t="s">
        <v>168</v>
      </c>
      <c r="D531" s="200" t="s">
        <v>163</v>
      </c>
      <c r="E531" s="215">
        <v>14.4</v>
      </c>
      <c r="F531" s="201">
        <v>16</v>
      </c>
      <c r="G531" s="201">
        <v>17</v>
      </c>
      <c r="H531" s="201">
        <v>14</v>
      </c>
      <c r="I531" s="201">
        <v>23</v>
      </c>
      <c r="J531" s="201">
        <v>28</v>
      </c>
      <c r="K531" s="201">
        <v>15</v>
      </c>
      <c r="L531" s="201">
        <v>16</v>
      </c>
      <c r="M531" s="330">
        <v>26</v>
      </c>
      <c r="N531" s="202">
        <v>0.80555555555555547</v>
      </c>
    </row>
    <row r="532" spans="1:14" ht="15.75" customHeight="1">
      <c r="A532" s="198" t="s">
        <v>175</v>
      </c>
      <c r="B532" s="199" t="s">
        <v>181</v>
      </c>
      <c r="C532" s="199" t="s">
        <v>168</v>
      </c>
      <c r="D532" s="200" t="s">
        <v>164</v>
      </c>
      <c r="E532" s="215">
        <v>14.4</v>
      </c>
      <c r="F532" s="201">
        <v>16</v>
      </c>
      <c r="G532" s="201">
        <v>15</v>
      </c>
      <c r="H532" s="201">
        <v>14</v>
      </c>
      <c r="I532" s="201">
        <v>23</v>
      </c>
      <c r="J532" s="201">
        <v>28</v>
      </c>
      <c r="K532" s="201">
        <v>15</v>
      </c>
      <c r="L532" s="201">
        <v>16</v>
      </c>
      <c r="M532" s="330">
        <v>26</v>
      </c>
      <c r="N532" s="202">
        <v>0.80555555555555547</v>
      </c>
    </row>
    <row r="533" spans="1:14" ht="15.75" customHeight="1">
      <c r="A533" s="198" t="s">
        <v>175</v>
      </c>
      <c r="B533" s="199" t="s">
        <v>181</v>
      </c>
      <c r="C533" s="199" t="s">
        <v>168</v>
      </c>
      <c r="D533" s="200" t="s">
        <v>165</v>
      </c>
      <c r="E533" s="215">
        <v>67.5</v>
      </c>
      <c r="F533" s="201">
        <v>81</v>
      </c>
      <c r="G533" s="201">
        <v>86</v>
      </c>
      <c r="H533" s="201">
        <v>71</v>
      </c>
      <c r="I533" s="201">
        <v>96</v>
      </c>
      <c r="J533" s="201">
        <v>86</v>
      </c>
      <c r="K533" s="201">
        <v>73</v>
      </c>
      <c r="L533" s="201">
        <v>76</v>
      </c>
      <c r="M533" s="330">
        <v>65</v>
      </c>
      <c r="N533" s="202">
        <v>-3.7037037037037035E-2</v>
      </c>
    </row>
    <row r="534" spans="1:14" ht="15.75" customHeight="1">
      <c r="A534" s="198" t="s">
        <v>175</v>
      </c>
      <c r="B534" s="199" t="s">
        <v>181</v>
      </c>
      <c r="C534" s="199" t="s">
        <v>168</v>
      </c>
      <c r="D534" s="203" t="s">
        <v>91</v>
      </c>
      <c r="E534" s="216">
        <v>81.900000000000006</v>
      </c>
      <c r="F534" s="204">
        <v>97</v>
      </c>
      <c r="G534" s="204">
        <v>103</v>
      </c>
      <c r="H534" s="204">
        <v>85</v>
      </c>
      <c r="I534" s="204">
        <v>119</v>
      </c>
      <c r="J534" s="204">
        <v>114</v>
      </c>
      <c r="K534" s="204">
        <v>88</v>
      </c>
      <c r="L534" s="204">
        <v>92</v>
      </c>
      <c r="M534" s="331">
        <v>91</v>
      </c>
      <c r="N534" s="202">
        <v>0.11111111111111104</v>
      </c>
    </row>
    <row r="535" spans="1:14" ht="15.75" customHeight="1">
      <c r="A535" s="198" t="s">
        <v>175</v>
      </c>
      <c r="B535" s="199" t="s">
        <v>181</v>
      </c>
      <c r="C535" s="199" t="s">
        <v>131</v>
      </c>
      <c r="D535" s="200" t="s">
        <v>162</v>
      </c>
      <c r="E535" s="215">
        <v>1.6</v>
      </c>
      <c r="F535" s="201">
        <v>1</v>
      </c>
      <c r="G535" s="201">
        <v>2</v>
      </c>
      <c r="H535" s="201">
        <v>1</v>
      </c>
      <c r="I535" s="201">
        <v>0</v>
      </c>
      <c r="J535" s="201">
        <v>2</v>
      </c>
      <c r="K535" s="201">
        <v>2</v>
      </c>
      <c r="L535" s="201">
        <v>1</v>
      </c>
      <c r="M535" s="330">
        <v>1</v>
      </c>
      <c r="N535" s="202">
        <v>-0.37500000000000006</v>
      </c>
    </row>
    <row r="536" spans="1:14" ht="15.75" customHeight="1">
      <c r="A536" s="198" t="s">
        <v>175</v>
      </c>
      <c r="B536" s="199" t="s">
        <v>181</v>
      </c>
      <c r="C536" s="199" t="s">
        <v>131</v>
      </c>
      <c r="D536" s="200" t="s">
        <v>163</v>
      </c>
      <c r="E536" s="215">
        <v>40.5</v>
      </c>
      <c r="F536" s="201">
        <v>27</v>
      </c>
      <c r="G536" s="201">
        <v>26</v>
      </c>
      <c r="H536" s="201">
        <v>24</v>
      </c>
      <c r="I536" s="201">
        <v>25</v>
      </c>
      <c r="J536" s="201">
        <v>23</v>
      </c>
      <c r="K536" s="201">
        <v>32</v>
      </c>
      <c r="L536" s="201">
        <v>41</v>
      </c>
      <c r="M536" s="330">
        <v>40</v>
      </c>
      <c r="N536" s="202">
        <v>-1.2345679012345678E-2</v>
      </c>
    </row>
    <row r="537" spans="1:14" ht="15.75" customHeight="1">
      <c r="A537" s="198" t="s">
        <v>175</v>
      </c>
      <c r="B537" s="199" t="s">
        <v>181</v>
      </c>
      <c r="C537" s="199" t="s">
        <v>131</v>
      </c>
      <c r="D537" s="200" t="s">
        <v>164</v>
      </c>
      <c r="E537" s="215">
        <v>38.9</v>
      </c>
      <c r="F537" s="201">
        <v>26</v>
      </c>
      <c r="G537" s="201">
        <v>24</v>
      </c>
      <c r="H537" s="201">
        <v>23</v>
      </c>
      <c r="I537" s="201">
        <v>25</v>
      </c>
      <c r="J537" s="201">
        <v>21</v>
      </c>
      <c r="K537" s="201">
        <v>30</v>
      </c>
      <c r="L537" s="201">
        <v>40</v>
      </c>
      <c r="M537" s="330">
        <v>39</v>
      </c>
      <c r="N537" s="202">
        <v>2.5706940874036356E-3</v>
      </c>
    </row>
    <row r="538" spans="1:14" ht="15.75" customHeight="1">
      <c r="A538" s="198" t="s">
        <v>175</v>
      </c>
      <c r="B538" s="199" t="s">
        <v>181</v>
      </c>
      <c r="C538" s="199" t="s">
        <v>131</v>
      </c>
      <c r="D538" s="200" t="s">
        <v>165</v>
      </c>
      <c r="E538" s="215">
        <v>104.3</v>
      </c>
      <c r="F538" s="201">
        <v>130</v>
      </c>
      <c r="G538" s="201">
        <v>104</v>
      </c>
      <c r="H538" s="201">
        <v>107</v>
      </c>
      <c r="I538" s="201">
        <v>72</v>
      </c>
      <c r="J538" s="201">
        <v>87</v>
      </c>
      <c r="K538" s="201">
        <v>99</v>
      </c>
      <c r="L538" s="201">
        <v>80</v>
      </c>
      <c r="M538" s="330">
        <v>78</v>
      </c>
      <c r="N538" s="202">
        <v>-0.25215723873441992</v>
      </c>
    </row>
    <row r="539" spans="1:14" ht="15.75" customHeight="1">
      <c r="A539" s="198" t="s">
        <v>175</v>
      </c>
      <c r="B539" s="199" t="s">
        <v>181</v>
      </c>
      <c r="C539" s="199" t="s">
        <v>131</v>
      </c>
      <c r="D539" s="203" t="s">
        <v>91</v>
      </c>
      <c r="E539" s="216">
        <v>144.80000000000001</v>
      </c>
      <c r="F539" s="204">
        <v>157</v>
      </c>
      <c r="G539" s="204">
        <v>130</v>
      </c>
      <c r="H539" s="204">
        <v>131</v>
      </c>
      <c r="I539" s="204">
        <v>97</v>
      </c>
      <c r="J539" s="204">
        <v>110</v>
      </c>
      <c r="K539" s="204">
        <v>131</v>
      </c>
      <c r="L539" s="204">
        <v>121</v>
      </c>
      <c r="M539" s="331">
        <v>118</v>
      </c>
      <c r="N539" s="202">
        <v>-0.18508287292817685</v>
      </c>
    </row>
    <row r="540" spans="1:14">
      <c r="A540" s="198" t="s">
        <v>175</v>
      </c>
      <c r="B540" s="199" t="s">
        <v>181</v>
      </c>
      <c r="C540" s="199" t="s">
        <v>169</v>
      </c>
      <c r="D540" s="200" t="s">
        <v>162</v>
      </c>
      <c r="E540" s="215">
        <v>0</v>
      </c>
      <c r="F540" s="201">
        <v>0</v>
      </c>
      <c r="G540" s="201">
        <v>0</v>
      </c>
      <c r="H540" s="201">
        <v>0</v>
      </c>
      <c r="I540" s="201">
        <v>0</v>
      </c>
      <c r="J540" s="201">
        <v>0</v>
      </c>
      <c r="K540" s="201">
        <v>0</v>
      </c>
      <c r="L540" s="201">
        <v>0</v>
      </c>
      <c r="M540" s="330" t="s">
        <v>172</v>
      </c>
      <c r="N540" s="202">
        <v>0</v>
      </c>
    </row>
    <row r="541" spans="1:14" ht="15.75" customHeight="1">
      <c r="A541" s="198" t="s">
        <v>175</v>
      </c>
      <c r="B541" s="199" t="s">
        <v>181</v>
      </c>
      <c r="C541" s="199" t="s">
        <v>169</v>
      </c>
      <c r="D541" s="200" t="s">
        <v>163</v>
      </c>
      <c r="E541" s="215">
        <v>0</v>
      </c>
      <c r="F541" s="201">
        <v>0</v>
      </c>
      <c r="G541" s="201">
        <v>0</v>
      </c>
      <c r="H541" s="201">
        <v>0</v>
      </c>
      <c r="I541" s="201">
        <v>0</v>
      </c>
      <c r="J541" s="201">
        <v>0</v>
      </c>
      <c r="K541" s="201">
        <v>2</v>
      </c>
      <c r="L541" s="201">
        <v>1</v>
      </c>
      <c r="M541" s="330">
        <v>0</v>
      </c>
      <c r="N541" s="202">
        <v>0</v>
      </c>
    </row>
    <row r="542" spans="1:14" ht="15.75" customHeight="1">
      <c r="A542" s="198" t="s">
        <v>175</v>
      </c>
      <c r="B542" s="199" t="s">
        <v>181</v>
      </c>
      <c r="C542" s="199" t="s">
        <v>169</v>
      </c>
      <c r="D542" s="200" t="s">
        <v>164</v>
      </c>
      <c r="E542" s="215">
        <v>0</v>
      </c>
      <c r="F542" s="201">
        <v>0</v>
      </c>
      <c r="G542" s="201">
        <v>0</v>
      </c>
      <c r="H542" s="201">
        <v>0</v>
      </c>
      <c r="I542" s="201">
        <v>0</v>
      </c>
      <c r="J542" s="201">
        <v>0</v>
      </c>
      <c r="K542" s="201">
        <v>2</v>
      </c>
      <c r="L542" s="201">
        <v>1</v>
      </c>
      <c r="M542" s="330" t="s">
        <v>172</v>
      </c>
      <c r="N542" s="202">
        <v>0</v>
      </c>
    </row>
    <row r="543" spans="1:14" ht="15.75" customHeight="1">
      <c r="A543" s="198" t="s">
        <v>175</v>
      </c>
      <c r="B543" s="199" t="s">
        <v>181</v>
      </c>
      <c r="C543" s="199" t="s">
        <v>169</v>
      </c>
      <c r="D543" s="200" t="s">
        <v>165</v>
      </c>
      <c r="E543" s="215">
        <v>0</v>
      </c>
      <c r="F543" s="201">
        <v>26</v>
      </c>
      <c r="G543" s="201">
        <v>17</v>
      </c>
      <c r="H543" s="201">
        <v>15</v>
      </c>
      <c r="I543" s="201">
        <v>5</v>
      </c>
      <c r="J543" s="201">
        <v>11</v>
      </c>
      <c r="K543" s="201">
        <v>8</v>
      </c>
      <c r="L543" s="201">
        <v>10</v>
      </c>
      <c r="M543" s="330">
        <v>8</v>
      </c>
      <c r="N543" s="202">
        <v>0</v>
      </c>
    </row>
    <row r="544" spans="1:14" ht="15.75" customHeight="1">
      <c r="A544" s="198" t="s">
        <v>175</v>
      </c>
      <c r="B544" s="199" t="s">
        <v>181</v>
      </c>
      <c r="C544" s="199" t="s">
        <v>169</v>
      </c>
      <c r="D544" s="203" t="s">
        <v>91</v>
      </c>
      <c r="E544" s="216">
        <v>0</v>
      </c>
      <c r="F544" s="204">
        <v>26</v>
      </c>
      <c r="G544" s="204">
        <v>17</v>
      </c>
      <c r="H544" s="204">
        <v>15</v>
      </c>
      <c r="I544" s="204">
        <v>5</v>
      </c>
      <c r="J544" s="204">
        <v>11</v>
      </c>
      <c r="K544" s="204">
        <v>10</v>
      </c>
      <c r="L544" s="204">
        <v>11</v>
      </c>
      <c r="M544" s="331">
        <v>8</v>
      </c>
      <c r="N544" s="202">
        <v>0</v>
      </c>
    </row>
    <row r="545" spans="1:14" ht="15.75" customHeight="1">
      <c r="A545" s="198" t="s">
        <v>175</v>
      </c>
      <c r="B545" s="199" t="s">
        <v>181</v>
      </c>
      <c r="C545" s="199" t="s">
        <v>139</v>
      </c>
      <c r="D545" s="200" t="s">
        <v>162</v>
      </c>
      <c r="E545" s="215">
        <v>0</v>
      </c>
      <c r="F545" s="201">
        <v>0</v>
      </c>
      <c r="G545" s="201">
        <v>0</v>
      </c>
      <c r="H545" s="201">
        <v>0</v>
      </c>
      <c r="I545" s="201">
        <v>0</v>
      </c>
      <c r="J545" s="201">
        <v>0</v>
      </c>
      <c r="K545" s="201">
        <v>0</v>
      </c>
      <c r="L545" s="201">
        <v>1</v>
      </c>
      <c r="M545" s="330" t="s">
        <v>172</v>
      </c>
      <c r="N545" s="202">
        <v>0</v>
      </c>
    </row>
    <row r="546" spans="1:14" ht="15.75" customHeight="1">
      <c r="A546" s="198" t="s">
        <v>175</v>
      </c>
      <c r="B546" s="199" t="s">
        <v>181</v>
      </c>
      <c r="C546" s="199" t="s">
        <v>139</v>
      </c>
      <c r="D546" s="200" t="s">
        <v>163</v>
      </c>
      <c r="E546" s="215">
        <v>1.1000000000000001</v>
      </c>
      <c r="F546" s="201">
        <v>0</v>
      </c>
      <c r="G546" s="201">
        <v>2</v>
      </c>
      <c r="H546" s="201">
        <v>0</v>
      </c>
      <c r="I546" s="201">
        <v>0</v>
      </c>
      <c r="J546" s="201">
        <v>1</v>
      </c>
      <c r="K546" s="201">
        <v>0</v>
      </c>
      <c r="L546" s="201">
        <v>2</v>
      </c>
      <c r="M546" s="330">
        <v>0</v>
      </c>
      <c r="N546" s="202">
        <v>-1</v>
      </c>
    </row>
    <row r="547" spans="1:14" ht="15.75" customHeight="1">
      <c r="A547" s="198" t="s">
        <v>175</v>
      </c>
      <c r="B547" s="199" t="s">
        <v>181</v>
      </c>
      <c r="C547" s="199" t="s">
        <v>139</v>
      </c>
      <c r="D547" s="200" t="s">
        <v>164</v>
      </c>
      <c r="E547" s="215">
        <v>1.1000000000000001</v>
      </c>
      <c r="F547" s="201">
        <v>0</v>
      </c>
      <c r="G547" s="201">
        <v>2</v>
      </c>
      <c r="H547" s="201">
        <v>0</v>
      </c>
      <c r="I547" s="201">
        <v>0</v>
      </c>
      <c r="J547" s="201">
        <v>1</v>
      </c>
      <c r="K547" s="201">
        <v>0</v>
      </c>
      <c r="L547" s="201">
        <v>1</v>
      </c>
      <c r="M547" s="330" t="s">
        <v>172</v>
      </c>
      <c r="N547" s="202">
        <v>-1</v>
      </c>
    </row>
    <row r="548" spans="1:14" ht="15.75" customHeight="1">
      <c r="A548" s="198" t="s">
        <v>175</v>
      </c>
      <c r="B548" s="199" t="s">
        <v>181</v>
      </c>
      <c r="C548" s="199" t="s">
        <v>139</v>
      </c>
      <c r="D548" s="200" t="s">
        <v>165</v>
      </c>
      <c r="E548" s="215">
        <v>13.5</v>
      </c>
      <c r="F548" s="201">
        <v>4</v>
      </c>
      <c r="G548" s="201">
        <v>12</v>
      </c>
      <c r="H548" s="201">
        <v>5</v>
      </c>
      <c r="I548" s="201">
        <v>4</v>
      </c>
      <c r="J548" s="201">
        <v>15</v>
      </c>
      <c r="K548" s="201">
        <v>6</v>
      </c>
      <c r="L548" s="201">
        <v>5</v>
      </c>
      <c r="M548" s="330">
        <v>7</v>
      </c>
      <c r="N548" s="202">
        <v>-0.48148148148148145</v>
      </c>
    </row>
    <row r="549" spans="1:14" ht="15.75" customHeight="1">
      <c r="A549" s="198" t="s">
        <v>175</v>
      </c>
      <c r="B549" s="199" t="s">
        <v>181</v>
      </c>
      <c r="C549" s="199" t="s">
        <v>139</v>
      </c>
      <c r="D549" s="203" t="s">
        <v>91</v>
      </c>
      <c r="E549" s="216">
        <v>14.6</v>
      </c>
      <c r="F549" s="204">
        <v>4</v>
      </c>
      <c r="G549" s="204">
        <v>14</v>
      </c>
      <c r="H549" s="204">
        <v>5</v>
      </c>
      <c r="I549" s="204">
        <v>4</v>
      </c>
      <c r="J549" s="204">
        <v>16</v>
      </c>
      <c r="K549" s="204">
        <v>6</v>
      </c>
      <c r="L549" s="204">
        <v>7</v>
      </c>
      <c r="M549" s="331">
        <v>7</v>
      </c>
      <c r="N549" s="202">
        <v>-0.52054794520547942</v>
      </c>
    </row>
    <row r="550" spans="1:14" ht="15.75" customHeight="1">
      <c r="A550" s="198" t="s">
        <v>175</v>
      </c>
      <c r="B550" s="199" t="s">
        <v>181</v>
      </c>
      <c r="C550" s="205" t="s">
        <v>91</v>
      </c>
      <c r="D550" s="203" t="s">
        <v>162</v>
      </c>
      <c r="E550" s="216">
        <v>3.2</v>
      </c>
      <c r="F550" s="204">
        <v>3</v>
      </c>
      <c r="G550" s="204">
        <v>8</v>
      </c>
      <c r="H550" s="204">
        <v>5</v>
      </c>
      <c r="I550" s="204">
        <v>1</v>
      </c>
      <c r="J550" s="204">
        <v>2</v>
      </c>
      <c r="K550" s="204">
        <v>4</v>
      </c>
      <c r="L550" s="204">
        <v>2</v>
      </c>
      <c r="M550" s="331">
        <v>3</v>
      </c>
      <c r="N550" s="202">
        <v>-6.2500000000000056E-2</v>
      </c>
    </row>
    <row r="551" spans="1:14" ht="15.75" customHeight="1">
      <c r="A551" s="198" t="s">
        <v>175</v>
      </c>
      <c r="B551" s="199" t="s">
        <v>181</v>
      </c>
      <c r="C551" s="205" t="s">
        <v>91</v>
      </c>
      <c r="D551" s="203" t="s">
        <v>163</v>
      </c>
      <c r="E551" s="216">
        <v>127.4</v>
      </c>
      <c r="F551" s="204">
        <v>97</v>
      </c>
      <c r="G551" s="204">
        <v>109</v>
      </c>
      <c r="H551" s="204">
        <v>91</v>
      </c>
      <c r="I551" s="204">
        <v>93</v>
      </c>
      <c r="J551" s="204">
        <v>98</v>
      </c>
      <c r="K551" s="204">
        <v>98</v>
      </c>
      <c r="L551" s="204">
        <v>113</v>
      </c>
      <c r="M551" s="331">
        <v>122</v>
      </c>
      <c r="N551" s="202">
        <v>-4.2386185243328142E-2</v>
      </c>
    </row>
    <row r="552" spans="1:14" ht="15.75" customHeight="1">
      <c r="A552" s="198" t="s">
        <v>175</v>
      </c>
      <c r="B552" s="199" t="s">
        <v>181</v>
      </c>
      <c r="C552" s="205" t="s">
        <v>91</v>
      </c>
      <c r="D552" s="203" t="s">
        <v>164</v>
      </c>
      <c r="E552" s="216">
        <v>124.2</v>
      </c>
      <c r="F552" s="204">
        <v>94</v>
      </c>
      <c r="G552" s="204">
        <v>101</v>
      </c>
      <c r="H552" s="204">
        <v>86</v>
      </c>
      <c r="I552" s="204">
        <v>92</v>
      </c>
      <c r="J552" s="204">
        <v>96</v>
      </c>
      <c r="K552" s="204">
        <v>94</v>
      </c>
      <c r="L552" s="204">
        <v>111</v>
      </c>
      <c r="M552" s="331">
        <v>119</v>
      </c>
      <c r="N552" s="202">
        <v>-4.1867954911433192E-2</v>
      </c>
    </row>
    <row r="553" spans="1:14" ht="15.75" customHeight="1">
      <c r="A553" s="198" t="s">
        <v>175</v>
      </c>
      <c r="B553" s="199" t="s">
        <v>181</v>
      </c>
      <c r="C553" s="205" t="s">
        <v>91</v>
      </c>
      <c r="D553" s="203" t="s">
        <v>165</v>
      </c>
      <c r="E553" s="216">
        <v>748.5</v>
      </c>
      <c r="F553" s="204">
        <v>877</v>
      </c>
      <c r="G553" s="204">
        <v>778</v>
      </c>
      <c r="H553" s="204">
        <v>805</v>
      </c>
      <c r="I553" s="204">
        <v>628</v>
      </c>
      <c r="J553" s="204">
        <v>709</v>
      </c>
      <c r="K553" s="204">
        <v>644</v>
      </c>
      <c r="L553" s="204">
        <v>615</v>
      </c>
      <c r="M553" s="331">
        <v>600</v>
      </c>
      <c r="N553" s="202">
        <v>-0.19839679358717435</v>
      </c>
    </row>
    <row r="554" spans="1:14" ht="15.75" customHeight="1">
      <c r="A554" s="198" t="s">
        <v>175</v>
      </c>
      <c r="B554" s="199" t="s">
        <v>181</v>
      </c>
      <c r="C554" s="205" t="s">
        <v>91</v>
      </c>
      <c r="D554" s="203" t="s">
        <v>91</v>
      </c>
      <c r="E554" s="216">
        <v>875.9</v>
      </c>
      <c r="F554" s="204">
        <v>974</v>
      </c>
      <c r="G554" s="204">
        <v>887</v>
      </c>
      <c r="H554" s="204">
        <v>896</v>
      </c>
      <c r="I554" s="204">
        <v>721</v>
      </c>
      <c r="J554" s="204">
        <v>807</v>
      </c>
      <c r="K554" s="204">
        <v>742</v>
      </c>
      <c r="L554" s="204">
        <v>728</v>
      </c>
      <c r="M554" s="331">
        <v>722</v>
      </c>
      <c r="N554" s="202">
        <v>-0.175704989154013</v>
      </c>
    </row>
    <row r="555" spans="1:14">
      <c r="A555" s="198" t="s">
        <v>175</v>
      </c>
      <c r="B555" s="199" t="s">
        <v>182</v>
      </c>
      <c r="C555" s="199" t="s">
        <v>161</v>
      </c>
      <c r="D555" s="200" t="s">
        <v>162</v>
      </c>
      <c r="E555" s="215">
        <v>0.2</v>
      </c>
      <c r="F555" s="201">
        <v>0</v>
      </c>
      <c r="G555" s="201">
        <v>0</v>
      </c>
      <c r="H555" s="201">
        <v>0</v>
      </c>
      <c r="I555" s="201">
        <v>1</v>
      </c>
      <c r="J555" s="201">
        <v>0</v>
      </c>
      <c r="K555" s="201">
        <v>0</v>
      </c>
      <c r="L555" s="201">
        <v>0</v>
      </c>
      <c r="M555" s="330" t="s">
        <v>172</v>
      </c>
      <c r="N555" s="202">
        <v>-1</v>
      </c>
    </row>
    <row r="556" spans="1:14" ht="15.75" customHeight="1">
      <c r="A556" s="198" t="s">
        <v>175</v>
      </c>
      <c r="B556" s="199" t="s">
        <v>182</v>
      </c>
      <c r="C556" s="199" t="s">
        <v>161</v>
      </c>
      <c r="D556" s="200" t="s">
        <v>163</v>
      </c>
      <c r="E556" s="215">
        <v>7.7</v>
      </c>
      <c r="F556" s="201">
        <v>6</v>
      </c>
      <c r="G556" s="201">
        <v>7</v>
      </c>
      <c r="H556" s="201">
        <v>5</v>
      </c>
      <c r="I556" s="201">
        <v>1</v>
      </c>
      <c r="J556" s="201">
        <v>3</v>
      </c>
      <c r="K556" s="201">
        <v>4</v>
      </c>
      <c r="L556" s="201">
        <v>3</v>
      </c>
      <c r="M556" s="330">
        <v>4</v>
      </c>
      <c r="N556" s="202">
        <v>-0.48051948051948051</v>
      </c>
    </row>
    <row r="557" spans="1:14" ht="15.75" customHeight="1">
      <c r="A557" s="198" t="s">
        <v>175</v>
      </c>
      <c r="B557" s="199" t="s">
        <v>182</v>
      </c>
      <c r="C557" s="199" t="s">
        <v>161</v>
      </c>
      <c r="D557" s="200" t="s">
        <v>164</v>
      </c>
      <c r="E557" s="215">
        <v>7.5</v>
      </c>
      <c r="F557" s="201">
        <v>6</v>
      </c>
      <c r="G557" s="201">
        <v>7</v>
      </c>
      <c r="H557" s="201">
        <v>5</v>
      </c>
      <c r="I557" s="201">
        <v>0</v>
      </c>
      <c r="J557" s="201">
        <v>3</v>
      </c>
      <c r="K557" s="201">
        <v>4</v>
      </c>
      <c r="L557" s="201">
        <v>3</v>
      </c>
      <c r="M557" s="330">
        <v>4</v>
      </c>
      <c r="N557" s="202">
        <v>-0.46666666666666667</v>
      </c>
    </row>
    <row r="558" spans="1:14" ht="15.75" customHeight="1">
      <c r="A558" s="198" t="s">
        <v>175</v>
      </c>
      <c r="B558" s="199" t="s">
        <v>182</v>
      </c>
      <c r="C558" s="199" t="s">
        <v>161</v>
      </c>
      <c r="D558" s="200" t="s">
        <v>165</v>
      </c>
      <c r="E558" s="215">
        <v>66.400000000000006</v>
      </c>
      <c r="F558" s="201">
        <v>77</v>
      </c>
      <c r="G558" s="201">
        <v>59</v>
      </c>
      <c r="H558" s="201">
        <v>57</v>
      </c>
      <c r="I558" s="201">
        <v>13</v>
      </c>
      <c r="J558" s="201">
        <v>30</v>
      </c>
      <c r="K558" s="201">
        <v>28</v>
      </c>
      <c r="L558" s="201">
        <v>50</v>
      </c>
      <c r="M558" s="330">
        <v>34</v>
      </c>
      <c r="N558" s="202">
        <v>-0.48795180722891568</v>
      </c>
    </row>
    <row r="559" spans="1:14" ht="15.75" customHeight="1">
      <c r="A559" s="198" t="s">
        <v>175</v>
      </c>
      <c r="B559" s="199" t="s">
        <v>182</v>
      </c>
      <c r="C559" s="199" t="s">
        <v>161</v>
      </c>
      <c r="D559" s="203" t="s">
        <v>91</v>
      </c>
      <c r="E559" s="216">
        <v>74.2</v>
      </c>
      <c r="F559" s="204">
        <v>83</v>
      </c>
      <c r="G559" s="204">
        <v>66</v>
      </c>
      <c r="H559" s="204">
        <v>62</v>
      </c>
      <c r="I559" s="204">
        <v>14</v>
      </c>
      <c r="J559" s="204">
        <v>33</v>
      </c>
      <c r="K559" s="204">
        <v>32</v>
      </c>
      <c r="L559" s="204">
        <v>53</v>
      </c>
      <c r="M559" s="331">
        <v>38</v>
      </c>
      <c r="N559" s="202">
        <v>-0.48787061994609165</v>
      </c>
    </row>
    <row r="560" spans="1:14">
      <c r="A560" s="198" t="s">
        <v>175</v>
      </c>
      <c r="B560" s="199" t="s">
        <v>182</v>
      </c>
      <c r="C560" s="199" t="s">
        <v>134</v>
      </c>
      <c r="D560" s="200" t="s">
        <v>162</v>
      </c>
      <c r="E560" s="215">
        <v>0.2</v>
      </c>
      <c r="F560" s="201">
        <v>0</v>
      </c>
      <c r="G560" s="201">
        <v>1</v>
      </c>
      <c r="H560" s="201">
        <v>0</v>
      </c>
      <c r="I560" s="201">
        <v>0</v>
      </c>
      <c r="J560" s="201">
        <v>0</v>
      </c>
      <c r="K560" s="201">
        <v>0</v>
      </c>
      <c r="L560" s="201">
        <v>0</v>
      </c>
      <c r="M560" s="330" t="s">
        <v>172</v>
      </c>
      <c r="N560" s="202">
        <v>-1</v>
      </c>
    </row>
    <row r="561" spans="1:14" ht="15.75" customHeight="1">
      <c r="A561" s="198" t="s">
        <v>175</v>
      </c>
      <c r="B561" s="199" t="s">
        <v>182</v>
      </c>
      <c r="C561" s="199" t="s">
        <v>134</v>
      </c>
      <c r="D561" s="200" t="s">
        <v>163</v>
      </c>
      <c r="E561" s="215">
        <v>20.5</v>
      </c>
      <c r="F561" s="201">
        <v>10</v>
      </c>
      <c r="G561" s="201">
        <v>11</v>
      </c>
      <c r="H561" s="201">
        <v>10</v>
      </c>
      <c r="I561" s="201">
        <v>7</v>
      </c>
      <c r="J561" s="201">
        <v>8</v>
      </c>
      <c r="K561" s="201">
        <v>3</v>
      </c>
      <c r="L561" s="201">
        <v>10</v>
      </c>
      <c r="M561" s="330">
        <v>11</v>
      </c>
      <c r="N561" s="202">
        <v>-0.46341463414634149</v>
      </c>
    </row>
    <row r="562" spans="1:14" ht="15.75" customHeight="1">
      <c r="A562" s="198" t="s">
        <v>175</v>
      </c>
      <c r="B562" s="199" t="s">
        <v>182</v>
      </c>
      <c r="C562" s="199" t="s">
        <v>134</v>
      </c>
      <c r="D562" s="200" t="s">
        <v>164</v>
      </c>
      <c r="E562" s="215">
        <v>20.3</v>
      </c>
      <c r="F562" s="201">
        <v>10</v>
      </c>
      <c r="G562" s="201">
        <v>10</v>
      </c>
      <c r="H562" s="201">
        <v>10</v>
      </c>
      <c r="I562" s="201">
        <v>7</v>
      </c>
      <c r="J562" s="201">
        <v>8</v>
      </c>
      <c r="K562" s="201">
        <v>3</v>
      </c>
      <c r="L562" s="201">
        <v>10</v>
      </c>
      <c r="M562" s="330">
        <v>11</v>
      </c>
      <c r="N562" s="202">
        <v>-0.45812807881773399</v>
      </c>
    </row>
    <row r="563" spans="1:14" ht="15.75" customHeight="1">
      <c r="A563" s="198" t="s">
        <v>175</v>
      </c>
      <c r="B563" s="199" t="s">
        <v>182</v>
      </c>
      <c r="C563" s="199" t="s">
        <v>134</v>
      </c>
      <c r="D563" s="200" t="s">
        <v>165</v>
      </c>
      <c r="E563" s="215">
        <v>246</v>
      </c>
      <c r="F563" s="201">
        <v>236</v>
      </c>
      <c r="G563" s="201">
        <v>221</v>
      </c>
      <c r="H563" s="201">
        <v>253</v>
      </c>
      <c r="I563" s="201">
        <v>196</v>
      </c>
      <c r="J563" s="201">
        <v>166</v>
      </c>
      <c r="K563" s="201">
        <v>160</v>
      </c>
      <c r="L563" s="201">
        <v>129</v>
      </c>
      <c r="M563" s="330">
        <v>140</v>
      </c>
      <c r="N563" s="202">
        <v>-0.43089430894308944</v>
      </c>
    </row>
    <row r="564" spans="1:14" ht="15.75" customHeight="1">
      <c r="A564" s="198" t="s">
        <v>175</v>
      </c>
      <c r="B564" s="199" t="s">
        <v>182</v>
      </c>
      <c r="C564" s="199" t="s">
        <v>134</v>
      </c>
      <c r="D564" s="203" t="s">
        <v>91</v>
      </c>
      <c r="E564" s="216">
        <v>266.60000000000002</v>
      </c>
      <c r="F564" s="204">
        <v>246</v>
      </c>
      <c r="G564" s="204">
        <v>232</v>
      </c>
      <c r="H564" s="204">
        <v>263</v>
      </c>
      <c r="I564" s="204">
        <v>203</v>
      </c>
      <c r="J564" s="204">
        <v>174</v>
      </c>
      <c r="K564" s="204">
        <v>163</v>
      </c>
      <c r="L564" s="204">
        <v>139</v>
      </c>
      <c r="M564" s="331">
        <v>151</v>
      </c>
      <c r="N564" s="202">
        <v>-0.4336084021005252</v>
      </c>
    </row>
    <row r="565" spans="1:14">
      <c r="A565" s="198" t="s">
        <v>175</v>
      </c>
      <c r="B565" s="199" t="s">
        <v>182</v>
      </c>
      <c r="C565" s="199" t="s">
        <v>166</v>
      </c>
      <c r="D565" s="200" t="s">
        <v>162</v>
      </c>
      <c r="E565" s="215">
        <v>0</v>
      </c>
      <c r="F565" s="201">
        <v>0</v>
      </c>
      <c r="G565" s="201">
        <v>0</v>
      </c>
      <c r="H565" s="201">
        <v>0</v>
      </c>
      <c r="I565" s="201">
        <v>0</v>
      </c>
      <c r="J565" s="201">
        <v>0</v>
      </c>
      <c r="K565" s="201">
        <v>0</v>
      </c>
      <c r="L565" s="201">
        <v>0</v>
      </c>
      <c r="M565" s="330" t="s">
        <v>172</v>
      </c>
      <c r="N565" s="202">
        <v>0</v>
      </c>
    </row>
    <row r="566" spans="1:14" ht="15.75" customHeight="1">
      <c r="A566" s="198" t="s">
        <v>175</v>
      </c>
      <c r="B566" s="199" t="s">
        <v>182</v>
      </c>
      <c r="C566" s="199" t="s">
        <v>166</v>
      </c>
      <c r="D566" s="200" t="s">
        <v>163</v>
      </c>
      <c r="E566" s="215">
        <v>1.4</v>
      </c>
      <c r="F566" s="201">
        <v>2</v>
      </c>
      <c r="G566" s="201">
        <v>1</v>
      </c>
      <c r="H566" s="201">
        <v>0</v>
      </c>
      <c r="I566" s="201">
        <v>0</v>
      </c>
      <c r="J566" s="201">
        <v>1</v>
      </c>
      <c r="K566" s="201">
        <v>0</v>
      </c>
      <c r="L566" s="201">
        <v>0</v>
      </c>
      <c r="M566" s="330">
        <v>0</v>
      </c>
      <c r="N566" s="202">
        <v>-1</v>
      </c>
    </row>
    <row r="567" spans="1:14" ht="15.75" customHeight="1">
      <c r="A567" s="198" t="s">
        <v>175</v>
      </c>
      <c r="B567" s="199" t="s">
        <v>182</v>
      </c>
      <c r="C567" s="199" t="s">
        <v>166</v>
      </c>
      <c r="D567" s="200" t="s">
        <v>164</v>
      </c>
      <c r="E567" s="215">
        <v>1.4</v>
      </c>
      <c r="F567" s="201">
        <v>2</v>
      </c>
      <c r="G567" s="201">
        <v>1</v>
      </c>
      <c r="H567" s="201">
        <v>0</v>
      </c>
      <c r="I567" s="201">
        <v>0</v>
      </c>
      <c r="J567" s="201">
        <v>1</v>
      </c>
      <c r="K567" s="201">
        <v>0</v>
      </c>
      <c r="L567" s="201">
        <v>0</v>
      </c>
      <c r="M567" s="330" t="s">
        <v>172</v>
      </c>
      <c r="N567" s="202">
        <v>-1</v>
      </c>
    </row>
    <row r="568" spans="1:14" ht="15.75" customHeight="1">
      <c r="A568" s="198" t="s">
        <v>175</v>
      </c>
      <c r="B568" s="199" t="s">
        <v>182</v>
      </c>
      <c r="C568" s="199" t="s">
        <v>166</v>
      </c>
      <c r="D568" s="200" t="s">
        <v>165</v>
      </c>
      <c r="E568" s="215">
        <v>12.1</v>
      </c>
      <c r="F568" s="201">
        <v>18</v>
      </c>
      <c r="G568" s="201">
        <v>17</v>
      </c>
      <c r="H568" s="201">
        <v>9</v>
      </c>
      <c r="I568" s="201">
        <v>18</v>
      </c>
      <c r="J568" s="201">
        <v>8</v>
      </c>
      <c r="K568" s="201">
        <v>11</v>
      </c>
      <c r="L568" s="201">
        <v>5</v>
      </c>
      <c r="M568" s="330">
        <v>9</v>
      </c>
      <c r="N568" s="202">
        <v>-0.256198347107438</v>
      </c>
    </row>
    <row r="569" spans="1:14" ht="15.75" customHeight="1">
      <c r="A569" s="198" t="s">
        <v>175</v>
      </c>
      <c r="B569" s="199" t="s">
        <v>182</v>
      </c>
      <c r="C569" s="199" t="s">
        <v>166</v>
      </c>
      <c r="D569" s="203" t="s">
        <v>91</v>
      </c>
      <c r="E569" s="216">
        <v>13.5</v>
      </c>
      <c r="F569" s="204">
        <v>20</v>
      </c>
      <c r="G569" s="204">
        <v>18</v>
      </c>
      <c r="H569" s="204">
        <v>9</v>
      </c>
      <c r="I569" s="204">
        <v>18</v>
      </c>
      <c r="J569" s="204">
        <v>9</v>
      </c>
      <c r="K569" s="204">
        <v>11</v>
      </c>
      <c r="L569" s="204">
        <v>5</v>
      </c>
      <c r="M569" s="331">
        <v>9</v>
      </c>
      <c r="N569" s="202">
        <v>-0.33333333333333331</v>
      </c>
    </row>
    <row r="570" spans="1:14">
      <c r="A570" s="198" t="s">
        <v>175</v>
      </c>
      <c r="B570" s="199" t="s">
        <v>182</v>
      </c>
      <c r="C570" s="199" t="s">
        <v>133</v>
      </c>
      <c r="D570" s="200" t="s">
        <v>162</v>
      </c>
      <c r="E570" s="215">
        <v>1.6</v>
      </c>
      <c r="F570" s="201">
        <v>1</v>
      </c>
      <c r="G570" s="201">
        <v>0</v>
      </c>
      <c r="H570" s="201">
        <v>1</v>
      </c>
      <c r="I570" s="201">
        <v>2</v>
      </c>
      <c r="J570" s="201">
        <v>1</v>
      </c>
      <c r="K570" s="201">
        <v>0</v>
      </c>
      <c r="L570" s="201">
        <v>0</v>
      </c>
      <c r="M570" s="330">
        <v>1</v>
      </c>
      <c r="N570" s="202">
        <v>-0.37500000000000006</v>
      </c>
    </row>
    <row r="571" spans="1:14" ht="15.75" customHeight="1">
      <c r="A571" s="198" t="s">
        <v>175</v>
      </c>
      <c r="B571" s="199" t="s">
        <v>182</v>
      </c>
      <c r="C571" s="199" t="s">
        <v>133</v>
      </c>
      <c r="D571" s="200" t="s">
        <v>163</v>
      </c>
      <c r="E571" s="215">
        <v>34.5</v>
      </c>
      <c r="F571" s="201">
        <v>36</v>
      </c>
      <c r="G571" s="201">
        <v>37</v>
      </c>
      <c r="H571" s="201">
        <v>36</v>
      </c>
      <c r="I571" s="201">
        <v>19</v>
      </c>
      <c r="J571" s="201">
        <v>35</v>
      </c>
      <c r="K571" s="201">
        <v>27</v>
      </c>
      <c r="L571" s="201">
        <v>15</v>
      </c>
      <c r="M571" s="330">
        <v>23</v>
      </c>
      <c r="N571" s="202">
        <v>-0.33333333333333331</v>
      </c>
    </row>
    <row r="572" spans="1:14" ht="15.75" customHeight="1">
      <c r="A572" s="198" t="s">
        <v>175</v>
      </c>
      <c r="B572" s="199" t="s">
        <v>182</v>
      </c>
      <c r="C572" s="199" t="s">
        <v>133</v>
      </c>
      <c r="D572" s="200" t="s">
        <v>164</v>
      </c>
      <c r="E572" s="215">
        <v>32.9</v>
      </c>
      <c r="F572" s="201">
        <v>35</v>
      </c>
      <c r="G572" s="201">
        <v>37</v>
      </c>
      <c r="H572" s="201">
        <v>35</v>
      </c>
      <c r="I572" s="201">
        <v>17</v>
      </c>
      <c r="J572" s="201">
        <v>34</v>
      </c>
      <c r="K572" s="201">
        <v>27</v>
      </c>
      <c r="L572" s="201">
        <v>15</v>
      </c>
      <c r="M572" s="330">
        <v>22</v>
      </c>
      <c r="N572" s="202">
        <v>-0.33130699088145893</v>
      </c>
    </row>
    <row r="573" spans="1:14" ht="15.75" customHeight="1">
      <c r="A573" s="198" t="s">
        <v>175</v>
      </c>
      <c r="B573" s="199" t="s">
        <v>182</v>
      </c>
      <c r="C573" s="199" t="s">
        <v>133</v>
      </c>
      <c r="D573" s="200" t="s">
        <v>165</v>
      </c>
      <c r="E573" s="215">
        <v>123.2</v>
      </c>
      <c r="F573" s="201">
        <v>174</v>
      </c>
      <c r="G573" s="201">
        <v>142</v>
      </c>
      <c r="H573" s="201">
        <v>145</v>
      </c>
      <c r="I573" s="201">
        <v>188</v>
      </c>
      <c r="J573" s="201">
        <v>222</v>
      </c>
      <c r="K573" s="201">
        <v>184</v>
      </c>
      <c r="L573" s="201">
        <v>144</v>
      </c>
      <c r="M573" s="330">
        <v>112</v>
      </c>
      <c r="N573" s="202">
        <v>-9.0909090909090925E-2</v>
      </c>
    </row>
    <row r="574" spans="1:14" ht="15.75" customHeight="1">
      <c r="A574" s="198" t="s">
        <v>175</v>
      </c>
      <c r="B574" s="199" t="s">
        <v>182</v>
      </c>
      <c r="C574" s="199" t="s">
        <v>133</v>
      </c>
      <c r="D574" s="203" t="s">
        <v>91</v>
      </c>
      <c r="E574" s="216">
        <v>157.69999999999999</v>
      </c>
      <c r="F574" s="204">
        <v>210</v>
      </c>
      <c r="G574" s="204">
        <v>179</v>
      </c>
      <c r="H574" s="204">
        <v>181</v>
      </c>
      <c r="I574" s="204">
        <v>207</v>
      </c>
      <c r="J574" s="204">
        <v>257</v>
      </c>
      <c r="K574" s="204">
        <v>211</v>
      </c>
      <c r="L574" s="204">
        <v>159</v>
      </c>
      <c r="M574" s="331">
        <v>135</v>
      </c>
      <c r="N574" s="202">
        <v>-0.14394419784400755</v>
      </c>
    </row>
    <row r="575" spans="1:14" ht="15.75" customHeight="1">
      <c r="A575" s="198" t="s">
        <v>175</v>
      </c>
      <c r="B575" s="199" t="s">
        <v>182</v>
      </c>
      <c r="C575" s="199" t="s">
        <v>167</v>
      </c>
      <c r="D575" s="200" t="s">
        <v>162</v>
      </c>
      <c r="E575" s="215">
        <v>0</v>
      </c>
      <c r="F575" s="201">
        <v>0</v>
      </c>
      <c r="G575" s="201">
        <v>0</v>
      </c>
      <c r="H575" s="201">
        <v>0</v>
      </c>
      <c r="I575" s="201">
        <v>0</v>
      </c>
      <c r="J575" s="201">
        <v>0</v>
      </c>
      <c r="K575" s="201">
        <v>0</v>
      </c>
      <c r="L575" s="201">
        <v>0</v>
      </c>
      <c r="M575" s="330" t="s">
        <v>172</v>
      </c>
      <c r="N575" s="202">
        <v>0</v>
      </c>
    </row>
    <row r="576" spans="1:14" ht="15.75" customHeight="1">
      <c r="A576" s="198" t="s">
        <v>175</v>
      </c>
      <c r="B576" s="199" t="s">
        <v>182</v>
      </c>
      <c r="C576" s="199" t="s">
        <v>167</v>
      </c>
      <c r="D576" s="200" t="s">
        <v>163</v>
      </c>
      <c r="E576" s="215">
        <v>0.7</v>
      </c>
      <c r="F576" s="201">
        <v>1</v>
      </c>
      <c r="G576" s="201">
        <v>1</v>
      </c>
      <c r="H576" s="201">
        <v>1</v>
      </c>
      <c r="I576" s="201">
        <v>2</v>
      </c>
      <c r="J576" s="201">
        <v>5</v>
      </c>
      <c r="K576" s="201">
        <v>3</v>
      </c>
      <c r="L576" s="201">
        <v>2</v>
      </c>
      <c r="M576" s="330">
        <v>3</v>
      </c>
      <c r="N576" s="202">
        <v>3.2857142857142856</v>
      </c>
    </row>
    <row r="577" spans="1:14" ht="15.75" customHeight="1">
      <c r="A577" s="198" t="s">
        <v>175</v>
      </c>
      <c r="B577" s="199" t="s">
        <v>182</v>
      </c>
      <c r="C577" s="199" t="s">
        <v>167</v>
      </c>
      <c r="D577" s="200" t="s">
        <v>164</v>
      </c>
      <c r="E577" s="215">
        <v>0.7</v>
      </c>
      <c r="F577" s="201">
        <v>1</v>
      </c>
      <c r="G577" s="201">
        <v>1</v>
      </c>
      <c r="H577" s="201">
        <v>1</v>
      </c>
      <c r="I577" s="201">
        <v>2</v>
      </c>
      <c r="J577" s="201">
        <v>5</v>
      </c>
      <c r="K577" s="201">
        <v>3</v>
      </c>
      <c r="L577" s="201">
        <v>2</v>
      </c>
      <c r="M577" s="330">
        <v>3</v>
      </c>
      <c r="N577" s="202">
        <v>3.2857142857142856</v>
      </c>
    </row>
    <row r="578" spans="1:14" ht="15.75" customHeight="1">
      <c r="A578" s="198" t="s">
        <v>175</v>
      </c>
      <c r="B578" s="199" t="s">
        <v>182</v>
      </c>
      <c r="C578" s="199" t="s">
        <v>167</v>
      </c>
      <c r="D578" s="200" t="s">
        <v>165</v>
      </c>
      <c r="E578" s="215">
        <v>2.8</v>
      </c>
      <c r="F578" s="201">
        <v>3</v>
      </c>
      <c r="G578" s="201">
        <v>4</v>
      </c>
      <c r="H578" s="201">
        <v>5</v>
      </c>
      <c r="I578" s="201">
        <v>10</v>
      </c>
      <c r="J578" s="201">
        <v>15</v>
      </c>
      <c r="K578" s="201">
        <v>5</v>
      </c>
      <c r="L578" s="201">
        <v>13</v>
      </c>
      <c r="M578" s="330">
        <v>6</v>
      </c>
      <c r="N578" s="202">
        <v>1.142857142857143</v>
      </c>
    </row>
    <row r="579" spans="1:14" ht="15.75" customHeight="1">
      <c r="A579" s="198" t="s">
        <v>175</v>
      </c>
      <c r="B579" s="199" t="s">
        <v>182</v>
      </c>
      <c r="C579" s="199" t="s">
        <v>167</v>
      </c>
      <c r="D579" s="203" t="s">
        <v>91</v>
      </c>
      <c r="E579" s="216">
        <v>3.5</v>
      </c>
      <c r="F579" s="204">
        <v>4</v>
      </c>
      <c r="G579" s="204">
        <v>5</v>
      </c>
      <c r="H579" s="204">
        <v>6</v>
      </c>
      <c r="I579" s="204">
        <v>12</v>
      </c>
      <c r="J579" s="204">
        <v>20</v>
      </c>
      <c r="K579" s="204">
        <v>8</v>
      </c>
      <c r="L579" s="204">
        <v>15</v>
      </c>
      <c r="M579" s="331">
        <v>9</v>
      </c>
      <c r="N579" s="202">
        <v>1.5714285714285714</v>
      </c>
    </row>
    <row r="580" spans="1:14" ht="15.75" customHeight="1">
      <c r="A580" s="198" t="s">
        <v>175</v>
      </c>
      <c r="B580" s="199" t="s">
        <v>182</v>
      </c>
      <c r="C580" s="199" t="s">
        <v>168</v>
      </c>
      <c r="D580" s="200" t="s">
        <v>162</v>
      </c>
      <c r="E580" s="215">
        <v>0.8</v>
      </c>
      <c r="F580" s="201">
        <v>1</v>
      </c>
      <c r="G580" s="201">
        <v>0</v>
      </c>
      <c r="H580" s="201">
        <v>0</v>
      </c>
      <c r="I580" s="201">
        <v>0</v>
      </c>
      <c r="J580" s="201">
        <v>0</v>
      </c>
      <c r="K580" s="201">
        <v>0</v>
      </c>
      <c r="L580" s="201">
        <v>2</v>
      </c>
      <c r="M580" s="330" t="s">
        <v>172</v>
      </c>
      <c r="N580" s="202">
        <v>-1</v>
      </c>
    </row>
    <row r="581" spans="1:14" ht="15.75" customHeight="1">
      <c r="A581" s="198" t="s">
        <v>175</v>
      </c>
      <c r="B581" s="199" t="s">
        <v>182</v>
      </c>
      <c r="C581" s="199" t="s">
        <v>168</v>
      </c>
      <c r="D581" s="200" t="s">
        <v>163</v>
      </c>
      <c r="E581" s="215">
        <v>52.2</v>
      </c>
      <c r="F581" s="201">
        <v>38</v>
      </c>
      <c r="G581" s="201">
        <v>36</v>
      </c>
      <c r="H581" s="201">
        <v>37</v>
      </c>
      <c r="I581" s="201">
        <v>43</v>
      </c>
      <c r="J581" s="201">
        <v>51</v>
      </c>
      <c r="K581" s="201">
        <v>51</v>
      </c>
      <c r="L581" s="201">
        <v>58</v>
      </c>
      <c r="M581" s="330">
        <v>42</v>
      </c>
      <c r="N581" s="202">
        <v>-0.19540229885057475</v>
      </c>
    </row>
    <row r="582" spans="1:14" ht="15.75" customHeight="1">
      <c r="A582" s="198" t="s">
        <v>175</v>
      </c>
      <c r="B582" s="199" t="s">
        <v>182</v>
      </c>
      <c r="C582" s="199" t="s">
        <v>168</v>
      </c>
      <c r="D582" s="200" t="s">
        <v>164</v>
      </c>
      <c r="E582" s="215">
        <v>51.4</v>
      </c>
      <c r="F582" s="201">
        <v>37</v>
      </c>
      <c r="G582" s="201">
        <v>36</v>
      </c>
      <c r="H582" s="201">
        <v>37</v>
      </c>
      <c r="I582" s="201">
        <v>43</v>
      </c>
      <c r="J582" s="201">
        <v>51</v>
      </c>
      <c r="K582" s="201">
        <v>51</v>
      </c>
      <c r="L582" s="201">
        <v>56</v>
      </c>
      <c r="M582" s="330">
        <v>42</v>
      </c>
      <c r="N582" s="202">
        <v>-0.1828793774319066</v>
      </c>
    </row>
    <row r="583" spans="1:14" ht="15.75" customHeight="1">
      <c r="A583" s="198" t="s">
        <v>175</v>
      </c>
      <c r="B583" s="199" t="s">
        <v>182</v>
      </c>
      <c r="C583" s="199" t="s">
        <v>168</v>
      </c>
      <c r="D583" s="200" t="s">
        <v>165</v>
      </c>
      <c r="E583" s="215">
        <v>221.8</v>
      </c>
      <c r="F583" s="201">
        <v>202</v>
      </c>
      <c r="G583" s="201">
        <v>213</v>
      </c>
      <c r="H583" s="201">
        <v>182</v>
      </c>
      <c r="I583" s="201">
        <v>223</v>
      </c>
      <c r="J583" s="201">
        <v>265</v>
      </c>
      <c r="K583" s="201">
        <v>220</v>
      </c>
      <c r="L583" s="201">
        <v>243</v>
      </c>
      <c r="M583" s="330">
        <v>238</v>
      </c>
      <c r="N583" s="202">
        <v>7.3038773669972898E-2</v>
      </c>
    </row>
    <row r="584" spans="1:14" ht="15.75" customHeight="1">
      <c r="A584" s="198" t="s">
        <v>175</v>
      </c>
      <c r="B584" s="199" t="s">
        <v>182</v>
      </c>
      <c r="C584" s="199" t="s">
        <v>168</v>
      </c>
      <c r="D584" s="203" t="s">
        <v>91</v>
      </c>
      <c r="E584" s="216">
        <v>274</v>
      </c>
      <c r="F584" s="204">
        <v>240</v>
      </c>
      <c r="G584" s="204">
        <v>249</v>
      </c>
      <c r="H584" s="204">
        <v>219</v>
      </c>
      <c r="I584" s="204">
        <v>266</v>
      </c>
      <c r="J584" s="204">
        <v>316</v>
      </c>
      <c r="K584" s="204">
        <v>271</v>
      </c>
      <c r="L584" s="204">
        <v>301</v>
      </c>
      <c r="M584" s="331">
        <v>280</v>
      </c>
      <c r="N584" s="202">
        <v>2.1897810218978103E-2</v>
      </c>
    </row>
    <row r="585" spans="1:14" ht="15.75" customHeight="1">
      <c r="A585" s="198" t="s">
        <v>175</v>
      </c>
      <c r="B585" s="199" t="s">
        <v>182</v>
      </c>
      <c r="C585" s="199" t="s">
        <v>131</v>
      </c>
      <c r="D585" s="200" t="s">
        <v>162</v>
      </c>
      <c r="E585" s="215">
        <v>2.2000000000000002</v>
      </c>
      <c r="F585" s="201">
        <v>1</v>
      </c>
      <c r="G585" s="201">
        <v>1</v>
      </c>
      <c r="H585" s="201">
        <v>3</v>
      </c>
      <c r="I585" s="201">
        <v>1</v>
      </c>
      <c r="J585" s="201">
        <v>0</v>
      </c>
      <c r="K585" s="201">
        <v>1</v>
      </c>
      <c r="L585" s="201">
        <v>0</v>
      </c>
      <c r="M585" s="330">
        <v>2</v>
      </c>
      <c r="N585" s="202">
        <v>-9.0909090909090981E-2</v>
      </c>
    </row>
    <row r="586" spans="1:14" ht="15.75" customHeight="1">
      <c r="A586" s="198" t="s">
        <v>175</v>
      </c>
      <c r="B586" s="199" t="s">
        <v>182</v>
      </c>
      <c r="C586" s="199" t="s">
        <v>131</v>
      </c>
      <c r="D586" s="200" t="s">
        <v>163</v>
      </c>
      <c r="E586" s="215">
        <v>58.1</v>
      </c>
      <c r="F586" s="201">
        <v>56</v>
      </c>
      <c r="G586" s="201">
        <v>65</v>
      </c>
      <c r="H586" s="201">
        <v>60</v>
      </c>
      <c r="I586" s="201">
        <v>31</v>
      </c>
      <c r="J586" s="201">
        <v>29</v>
      </c>
      <c r="K586" s="201">
        <v>60</v>
      </c>
      <c r="L586" s="201">
        <v>39</v>
      </c>
      <c r="M586" s="330">
        <v>36</v>
      </c>
      <c r="N586" s="202">
        <v>-0.38037865748709121</v>
      </c>
    </row>
    <row r="587" spans="1:14" ht="15.75" customHeight="1">
      <c r="A587" s="198" t="s">
        <v>175</v>
      </c>
      <c r="B587" s="199" t="s">
        <v>182</v>
      </c>
      <c r="C587" s="199" t="s">
        <v>131</v>
      </c>
      <c r="D587" s="200" t="s">
        <v>164</v>
      </c>
      <c r="E587" s="215">
        <v>55.9</v>
      </c>
      <c r="F587" s="201">
        <v>55</v>
      </c>
      <c r="G587" s="201">
        <v>64</v>
      </c>
      <c r="H587" s="201">
        <v>57</v>
      </c>
      <c r="I587" s="201">
        <v>30</v>
      </c>
      <c r="J587" s="201">
        <v>29</v>
      </c>
      <c r="K587" s="201">
        <v>59</v>
      </c>
      <c r="L587" s="201">
        <v>39</v>
      </c>
      <c r="M587" s="330">
        <v>34</v>
      </c>
      <c r="N587" s="202">
        <v>-0.39177101967799638</v>
      </c>
    </row>
    <row r="588" spans="1:14" ht="15.75" customHeight="1">
      <c r="A588" s="198" t="s">
        <v>175</v>
      </c>
      <c r="B588" s="199" t="s">
        <v>182</v>
      </c>
      <c r="C588" s="199" t="s">
        <v>131</v>
      </c>
      <c r="D588" s="200" t="s">
        <v>165</v>
      </c>
      <c r="E588" s="215">
        <v>151.5</v>
      </c>
      <c r="F588" s="201">
        <v>200</v>
      </c>
      <c r="G588" s="201">
        <v>142</v>
      </c>
      <c r="H588" s="201">
        <v>168</v>
      </c>
      <c r="I588" s="201">
        <v>112</v>
      </c>
      <c r="J588" s="201">
        <v>106</v>
      </c>
      <c r="K588" s="201">
        <v>102</v>
      </c>
      <c r="L588" s="201">
        <v>107</v>
      </c>
      <c r="M588" s="330">
        <v>117</v>
      </c>
      <c r="N588" s="202">
        <v>-0.22772277227722773</v>
      </c>
    </row>
    <row r="589" spans="1:14" ht="15.75" customHeight="1">
      <c r="A589" s="198" t="s">
        <v>175</v>
      </c>
      <c r="B589" s="199" t="s">
        <v>182</v>
      </c>
      <c r="C589" s="199" t="s">
        <v>131</v>
      </c>
      <c r="D589" s="203" t="s">
        <v>91</v>
      </c>
      <c r="E589" s="216">
        <v>209.6</v>
      </c>
      <c r="F589" s="204">
        <v>256</v>
      </c>
      <c r="G589" s="204">
        <v>207</v>
      </c>
      <c r="H589" s="204">
        <v>228</v>
      </c>
      <c r="I589" s="204">
        <v>143</v>
      </c>
      <c r="J589" s="204">
        <v>135</v>
      </c>
      <c r="K589" s="204">
        <v>162</v>
      </c>
      <c r="L589" s="204">
        <v>146</v>
      </c>
      <c r="M589" s="331">
        <v>153</v>
      </c>
      <c r="N589" s="202">
        <v>-0.27003816793893126</v>
      </c>
    </row>
    <row r="590" spans="1:14">
      <c r="A590" s="198" t="s">
        <v>175</v>
      </c>
      <c r="B590" s="199" t="s">
        <v>182</v>
      </c>
      <c r="C590" s="199" t="s">
        <v>169</v>
      </c>
      <c r="D590" s="200" t="s">
        <v>162</v>
      </c>
      <c r="E590" s="215">
        <v>0</v>
      </c>
      <c r="F590" s="201">
        <v>0</v>
      </c>
      <c r="G590" s="201">
        <v>0</v>
      </c>
      <c r="H590" s="201">
        <v>0</v>
      </c>
      <c r="I590" s="201">
        <v>0</v>
      </c>
      <c r="J590" s="201">
        <v>0</v>
      </c>
      <c r="K590" s="201">
        <v>0</v>
      </c>
      <c r="L590" s="201">
        <v>0</v>
      </c>
      <c r="M590" s="330" t="s">
        <v>172</v>
      </c>
      <c r="N590" s="202">
        <v>0</v>
      </c>
    </row>
    <row r="591" spans="1:14" ht="15.75" customHeight="1">
      <c r="A591" s="198" t="s">
        <v>175</v>
      </c>
      <c r="B591" s="199" t="s">
        <v>182</v>
      </c>
      <c r="C591" s="199" t="s">
        <v>169</v>
      </c>
      <c r="D591" s="200" t="s">
        <v>163</v>
      </c>
      <c r="E591" s="215">
        <v>0</v>
      </c>
      <c r="F591" s="201">
        <v>1</v>
      </c>
      <c r="G591" s="201">
        <v>1</v>
      </c>
      <c r="H591" s="201">
        <v>0</v>
      </c>
      <c r="I591" s="201">
        <v>0</v>
      </c>
      <c r="J591" s="201">
        <v>0</v>
      </c>
      <c r="K591" s="201">
        <v>0</v>
      </c>
      <c r="L591" s="201">
        <v>1</v>
      </c>
      <c r="M591" s="330">
        <v>0</v>
      </c>
      <c r="N591" s="202">
        <v>0</v>
      </c>
    </row>
    <row r="592" spans="1:14" ht="15.75" customHeight="1">
      <c r="A592" s="198" t="s">
        <v>175</v>
      </c>
      <c r="B592" s="199" t="s">
        <v>182</v>
      </c>
      <c r="C592" s="199" t="s">
        <v>169</v>
      </c>
      <c r="D592" s="200" t="s">
        <v>164</v>
      </c>
      <c r="E592" s="215">
        <v>0</v>
      </c>
      <c r="F592" s="201">
        <v>1</v>
      </c>
      <c r="G592" s="201">
        <v>1</v>
      </c>
      <c r="H592" s="201">
        <v>0</v>
      </c>
      <c r="I592" s="201">
        <v>0</v>
      </c>
      <c r="J592" s="201">
        <v>0</v>
      </c>
      <c r="K592" s="201">
        <v>0</v>
      </c>
      <c r="L592" s="201">
        <v>1</v>
      </c>
      <c r="M592" s="330" t="s">
        <v>172</v>
      </c>
      <c r="N592" s="202">
        <v>0</v>
      </c>
    </row>
    <row r="593" spans="1:14" ht="15.75" customHeight="1">
      <c r="A593" s="198" t="s">
        <v>175</v>
      </c>
      <c r="B593" s="199" t="s">
        <v>182</v>
      </c>
      <c r="C593" s="199" t="s">
        <v>169</v>
      </c>
      <c r="D593" s="200" t="s">
        <v>165</v>
      </c>
      <c r="E593" s="215">
        <v>0</v>
      </c>
      <c r="F593" s="201">
        <v>26</v>
      </c>
      <c r="G593" s="201">
        <v>13</v>
      </c>
      <c r="H593" s="201">
        <v>20</v>
      </c>
      <c r="I593" s="201">
        <v>7</v>
      </c>
      <c r="J593" s="201">
        <v>7</v>
      </c>
      <c r="K593" s="201">
        <v>3</v>
      </c>
      <c r="L593" s="201">
        <v>4</v>
      </c>
      <c r="M593" s="330">
        <v>5</v>
      </c>
      <c r="N593" s="202">
        <v>0</v>
      </c>
    </row>
    <row r="594" spans="1:14" ht="15.75" customHeight="1">
      <c r="A594" s="198" t="s">
        <v>175</v>
      </c>
      <c r="B594" s="199" t="s">
        <v>182</v>
      </c>
      <c r="C594" s="199" t="s">
        <v>169</v>
      </c>
      <c r="D594" s="203" t="s">
        <v>91</v>
      </c>
      <c r="E594" s="216">
        <v>0</v>
      </c>
      <c r="F594" s="204">
        <v>27</v>
      </c>
      <c r="G594" s="204">
        <v>14</v>
      </c>
      <c r="H594" s="204">
        <v>20</v>
      </c>
      <c r="I594" s="204">
        <v>7</v>
      </c>
      <c r="J594" s="204">
        <v>7</v>
      </c>
      <c r="K594" s="204">
        <v>3</v>
      </c>
      <c r="L594" s="204">
        <v>5</v>
      </c>
      <c r="M594" s="331">
        <v>5</v>
      </c>
      <c r="N594" s="202">
        <v>0</v>
      </c>
    </row>
    <row r="595" spans="1:14" ht="15.75" customHeight="1">
      <c r="A595" s="198" t="s">
        <v>175</v>
      </c>
      <c r="B595" s="199" t="s">
        <v>182</v>
      </c>
      <c r="C595" s="199" t="s">
        <v>139</v>
      </c>
      <c r="D595" s="200" t="s">
        <v>162</v>
      </c>
      <c r="E595" s="215">
        <v>0</v>
      </c>
      <c r="F595" s="201">
        <v>0</v>
      </c>
      <c r="G595" s="201">
        <v>0</v>
      </c>
      <c r="H595" s="201">
        <v>0</v>
      </c>
      <c r="I595" s="201">
        <v>0</v>
      </c>
      <c r="J595" s="201">
        <v>0</v>
      </c>
      <c r="K595" s="201">
        <v>0</v>
      </c>
      <c r="L595" s="201">
        <v>0</v>
      </c>
      <c r="M595" s="330" t="s">
        <v>172</v>
      </c>
      <c r="N595" s="202">
        <v>0</v>
      </c>
    </row>
    <row r="596" spans="1:14" ht="15.75" customHeight="1">
      <c r="A596" s="198" t="s">
        <v>175</v>
      </c>
      <c r="B596" s="199" t="s">
        <v>182</v>
      </c>
      <c r="C596" s="199" t="s">
        <v>139</v>
      </c>
      <c r="D596" s="200" t="s">
        <v>163</v>
      </c>
      <c r="E596" s="215">
        <v>1.5</v>
      </c>
      <c r="F596" s="201">
        <v>2</v>
      </c>
      <c r="G596" s="201">
        <v>1</v>
      </c>
      <c r="H596" s="201">
        <v>0</v>
      </c>
      <c r="I596" s="201">
        <v>0</v>
      </c>
      <c r="J596" s="201">
        <v>1</v>
      </c>
      <c r="K596" s="201">
        <v>0</v>
      </c>
      <c r="L596" s="201">
        <v>0</v>
      </c>
      <c r="M596" s="330">
        <v>0</v>
      </c>
      <c r="N596" s="202">
        <v>-1</v>
      </c>
    </row>
    <row r="597" spans="1:14" ht="15.75" customHeight="1">
      <c r="A597" s="198" t="s">
        <v>175</v>
      </c>
      <c r="B597" s="199" t="s">
        <v>182</v>
      </c>
      <c r="C597" s="199" t="s">
        <v>139</v>
      </c>
      <c r="D597" s="200" t="s">
        <v>164</v>
      </c>
      <c r="E597" s="215">
        <v>1.5</v>
      </c>
      <c r="F597" s="201">
        <v>2</v>
      </c>
      <c r="G597" s="201">
        <v>1</v>
      </c>
      <c r="H597" s="201">
        <v>0</v>
      </c>
      <c r="I597" s="201">
        <v>0</v>
      </c>
      <c r="J597" s="201">
        <v>1</v>
      </c>
      <c r="K597" s="201">
        <v>0</v>
      </c>
      <c r="L597" s="201">
        <v>0</v>
      </c>
      <c r="M597" s="330" t="s">
        <v>172</v>
      </c>
      <c r="N597" s="202">
        <v>-1</v>
      </c>
    </row>
    <row r="598" spans="1:14" ht="15.75" customHeight="1">
      <c r="A598" s="198" t="s">
        <v>175</v>
      </c>
      <c r="B598" s="199" t="s">
        <v>182</v>
      </c>
      <c r="C598" s="199" t="s">
        <v>139</v>
      </c>
      <c r="D598" s="200" t="s">
        <v>165</v>
      </c>
      <c r="E598" s="215">
        <v>18</v>
      </c>
      <c r="F598" s="201">
        <v>9</v>
      </c>
      <c r="G598" s="201">
        <v>14</v>
      </c>
      <c r="H598" s="201">
        <v>14</v>
      </c>
      <c r="I598" s="201">
        <v>7</v>
      </c>
      <c r="J598" s="201">
        <v>18</v>
      </c>
      <c r="K598" s="201">
        <v>9</v>
      </c>
      <c r="L598" s="201">
        <v>11</v>
      </c>
      <c r="M598" s="330">
        <v>6</v>
      </c>
      <c r="N598" s="202">
        <v>-0.66666666666666663</v>
      </c>
    </row>
    <row r="599" spans="1:14" ht="15.75" customHeight="1">
      <c r="A599" s="198" t="s">
        <v>175</v>
      </c>
      <c r="B599" s="199" t="s">
        <v>182</v>
      </c>
      <c r="C599" s="199" t="s">
        <v>139</v>
      </c>
      <c r="D599" s="203" t="s">
        <v>91</v>
      </c>
      <c r="E599" s="216">
        <v>19.399999999999999</v>
      </c>
      <c r="F599" s="204">
        <v>11</v>
      </c>
      <c r="G599" s="204">
        <v>15</v>
      </c>
      <c r="H599" s="204">
        <v>14</v>
      </c>
      <c r="I599" s="204">
        <v>7</v>
      </c>
      <c r="J599" s="204">
        <v>19</v>
      </c>
      <c r="K599" s="204">
        <v>9</v>
      </c>
      <c r="L599" s="204">
        <v>11</v>
      </c>
      <c r="M599" s="331">
        <v>6</v>
      </c>
      <c r="N599" s="202">
        <v>-0.69072164948453607</v>
      </c>
    </row>
    <row r="600" spans="1:14" ht="15.75" customHeight="1">
      <c r="A600" s="198" t="s">
        <v>175</v>
      </c>
      <c r="B600" s="199" t="s">
        <v>182</v>
      </c>
      <c r="C600" s="205" t="s">
        <v>91</v>
      </c>
      <c r="D600" s="203" t="s">
        <v>162</v>
      </c>
      <c r="E600" s="216">
        <v>5</v>
      </c>
      <c r="F600" s="204">
        <v>3</v>
      </c>
      <c r="G600" s="204">
        <v>2</v>
      </c>
      <c r="H600" s="204">
        <v>4</v>
      </c>
      <c r="I600" s="204">
        <v>4</v>
      </c>
      <c r="J600" s="204">
        <v>1</v>
      </c>
      <c r="K600" s="204">
        <v>1</v>
      </c>
      <c r="L600" s="204">
        <v>2</v>
      </c>
      <c r="M600" s="331">
        <v>3</v>
      </c>
      <c r="N600" s="202">
        <v>-0.4</v>
      </c>
    </row>
    <row r="601" spans="1:14" ht="15.75" customHeight="1">
      <c r="A601" s="198" t="s">
        <v>175</v>
      </c>
      <c r="B601" s="199" t="s">
        <v>182</v>
      </c>
      <c r="C601" s="205" t="s">
        <v>91</v>
      </c>
      <c r="D601" s="203" t="s">
        <v>163</v>
      </c>
      <c r="E601" s="216">
        <v>176.6</v>
      </c>
      <c r="F601" s="204">
        <v>152</v>
      </c>
      <c r="G601" s="204">
        <v>160</v>
      </c>
      <c r="H601" s="204">
        <v>149</v>
      </c>
      <c r="I601" s="204">
        <v>103</v>
      </c>
      <c r="J601" s="204">
        <v>133</v>
      </c>
      <c r="K601" s="204">
        <v>148</v>
      </c>
      <c r="L601" s="204">
        <v>128</v>
      </c>
      <c r="M601" s="331">
        <v>119</v>
      </c>
      <c r="N601" s="202">
        <v>-0.32616081540203851</v>
      </c>
    </row>
    <row r="602" spans="1:14" ht="15.75" customHeight="1">
      <c r="A602" s="198" t="s">
        <v>175</v>
      </c>
      <c r="B602" s="199" t="s">
        <v>182</v>
      </c>
      <c r="C602" s="205" t="s">
        <v>91</v>
      </c>
      <c r="D602" s="203" t="s">
        <v>164</v>
      </c>
      <c r="E602" s="216">
        <v>171.6</v>
      </c>
      <c r="F602" s="204">
        <v>149</v>
      </c>
      <c r="G602" s="204">
        <v>158</v>
      </c>
      <c r="H602" s="204">
        <v>145</v>
      </c>
      <c r="I602" s="204">
        <v>99</v>
      </c>
      <c r="J602" s="204">
        <v>132</v>
      </c>
      <c r="K602" s="204">
        <v>147</v>
      </c>
      <c r="L602" s="204">
        <v>126</v>
      </c>
      <c r="M602" s="331">
        <v>116</v>
      </c>
      <c r="N602" s="202">
        <v>-0.32400932400932397</v>
      </c>
    </row>
    <row r="603" spans="1:14" ht="15.75" customHeight="1">
      <c r="A603" s="198" t="s">
        <v>175</v>
      </c>
      <c r="B603" s="199" t="s">
        <v>182</v>
      </c>
      <c r="C603" s="205" t="s">
        <v>91</v>
      </c>
      <c r="D603" s="203" t="s">
        <v>165</v>
      </c>
      <c r="E603" s="216">
        <v>841.9</v>
      </c>
      <c r="F603" s="204">
        <v>945</v>
      </c>
      <c r="G603" s="204">
        <v>825</v>
      </c>
      <c r="H603" s="204">
        <v>853</v>
      </c>
      <c r="I603" s="204">
        <v>774</v>
      </c>
      <c r="J603" s="204">
        <v>837</v>
      </c>
      <c r="K603" s="204">
        <v>722</v>
      </c>
      <c r="L603" s="204">
        <v>706</v>
      </c>
      <c r="M603" s="331">
        <v>667</v>
      </c>
      <c r="N603" s="202">
        <v>-0.20774438769450052</v>
      </c>
    </row>
    <row r="604" spans="1:14" ht="15.75" customHeight="1">
      <c r="A604" s="198" t="s">
        <v>175</v>
      </c>
      <c r="B604" s="199" t="s">
        <v>182</v>
      </c>
      <c r="C604" s="205" t="s">
        <v>91</v>
      </c>
      <c r="D604" s="203" t="s">
        <v>91</v>
      </c>
      <c r="E604" s="216">
        <v>1018.5</v>
      </c>
      <c r="F604" s="204">
        <v>1097</v>
      </c>
      <c r="G604" s="204">
        <v>985</v>
      </c>
      <c r="H604" s="204">
        <v>1002</v>
      </c>
      <c r="I604" s="204">
        <v>877</v>
      </c>
      <c r="J604" s="204">
        <v>970</v>
      </c>
      <c r="K604" s="204">
        <v>870</v>
      </c>
      <c r="L604" s="204">
        <v>834</v>
      </c>
      <c r="M604" s="331">
        <v>786</v>
      </c>
      <c r="N604" s="202">
        <v>-0.22827687776141384</v>
      </c>
    </row>
    <row r="605" spans="1:14">
      <c r="A605" s="198" t="s">
        <v>175</v>
      </c>
      <c r="B605" s="199" t="s">
        <v>183</v>
      </c>
      <c r="C605" s="199" t="s">
        <v>161</v>
      </c>
      <c r="D605" s="200" t="s">
        <v>162</v>
      </c>
      <c r="E605" s="215">
        <v>0</v>
      </c>
      <c r="F605" s="201">
        <v>0</v>
      </c>
      <c r="G605" s="201">
        <v>0</v>
      </c>
      <c r="H605" s="201">
        <v>0</v>
      </c>
      <c r="I605" s="201">
        <v>0</v>
      </c>
      <c r="J605" s="201">
        <v>0</v>
      </c>
      <c r="K605" s="201">
        <v>0</v>
      </c>
      <c r="L605" s="201">
        <v>0</v>
      </c>
      <c r="M605" s="330" t="s">
        <v>172</v>
      </c>
      <c r="N605" s="202">
        <v>0</v>
      </c>
    </row>
    <row r="606" spans="1:14" ht="15.75" customHeight="1">
      <c r="A606" s="198" t="s">
        <v>175</v>
      </c>
      <c r="B606" s="199" t="s">
        <v>183</v>
      </c>
      <c r="C606" s="199" t="s">
        <v>161</v>
      </c>
      <c r="D606" s="200" t="s">
        <v>163</v>
      </c>
      <c r="E606" s="215">
        <v>4.0999999999999996</v>
      </c>
      <c r="F606" s="201">
        <v>2</v>
      </c>
      <c r="G606" s="201">
        <v>0</v>
      </c>
      <c r="H606" s="201">
        <v>1</v>
      </c>
      <c r="I606" s="201">
        <v>1</v>
      </c>
      <c r="J606" s="201">
        <v>1</v>
      </c>
      <c r="K606" s="201">
        <v>2</v>
      </c>
      <c r="L606" s="201">
        <v>4</v>
      </c>
      <c r="M606" s="330">
        <v>4</v>
      </c>
      <c r="N606" s="202">
        <v>-2.4390243902438939E-2</v>
      </c>
    </row>
    <row r="607" spans="1:14" ht="15.75" customHeight="1">
      <c r="A607" s="198" t="s">
        <v>175</v>
      </c>
      <c r="B607" s="199" t="s">
        <v>183</v>
      </c>
      <c r="C607" s="199" t="s">
        <v>161</v>
      </c>
      <c r="D607" s="200" t="s">
        <v>164</v>
      </c>
      <c r="E607" s="215">
        <v>4.0999999999999996</v>
      </c>
      <c r="F607" s="201">
        <v>2</v>
      </c>
      <c r="G607" s="201">
        <v>0</v>
      </c>
      <c r="H607" s="201">
        <v>1</v>
      </c>
      <c r="I607" s="201">
        <v>1</v>
      </c>
      <c r="J607" s="201">
        <v>1</v>
      </c>
      <c r="K607" s="201">
        <v>2</v>
      </c>
      <c r="L607" s="201">
        <v>4</v>
      </c>
      <c r="M607" s="330">
        <v>4</v>
      </c>
      <c r="N607" s="202">
        <v>-2.4390243902438939E-2</v>
      </c>
    </row>
    <row r="608" spans="1:14" ht="15.75" customHeight="1">
      <c r="A608" s="198" t="s">
        <v>175</v>
      </c>
      <c r="B608" s="199" t="s">
        <v>183</v>
      </c>
      <c r="C608" s="199" t="s">
        <v>161</v>
      </c>
      <c r="D608" s="200" t="s">
        <v>165</v>
      </c>
      <c r="E608" s="215">
        <v>30</v>
      </c>
      <c r="F608" s="201">
        <v>31</v>
      </c>
      <c r="G608" s="201">
        <v>27</v>
      </c>
      <c r="H608" s="201">
        <v>28</v>
      </c>
      <c r="I608" s="201">
        <v>8</v>
      </c>
      <c r="J608" s="201">
        <v>17</v>
      </c>
      <c r="K608" s="201">
        <v>31</v>
      </c>
      <c r="L608" s="201">
        <v>13</v>
      </c>
      <c r="M608" s="330">
        <v>31</v>
      </c>
      <c r="N608" s="202">
        <v>3.3333333333333333E-2</v>
      </c>
    </row>
    <row r="609" spans="1:14" ht="15.75" customHeight="1">
      <c r="A609" s="198" t="s">
        <v>175</v>
      </c>
      <c r="B609" s="199" t="s">
        <v>183</v>
      </c>
      <c r="C609" s="199" t="s">
        <v>161</v>
      </c>
      <c r="D609" s="203" t="s">
        <v>91</v>
      </c>
      <c r="E609" s="216">
        <v>34</v>
      </c>
      <c r="F609" s="204">
        <v>33</v>
      </c>
      <c r="G609" s="204">
        <v>27</v>
      </c>
      <c r="H609" s="204">
        <v>29</v>
      </c>
      <c r="I609" s="204">
        <v>9</v>
      </c>
      <c r="J609" s="204">
        <v>18</v>
      </c>
      <c r="K609" s="204">
        <v>33</v>
      </c>
      <c r="L609" s="204">
        <v>17</v>
      </c>
      <c r="M609" s="331">
        <v>35</v>
      </c>
      <c r="N609" s="202">
        <v>2.9411764705882353E-2</v>
      </c>
    </row>
    <row r="610" spans="1:14">
      <c r="A610" s="198" t="s">
        <v>175</v>
      </c>
      <c r="B610" s="199" t="s">
        <v>183</v>
      </c>
      <c r="C610" s="199" t="s">
        <v>134</v>
      </c>
      <c r="D610" s="200" t="s">
        <v>162</v>
      </c>
      <c r="E610" s="215">
        <v>0</v>
      </c>
      <c r="F610" s="201">
        <v>0</v>
      </c>
      <c r="G610" s="201">
        <v>0</v>
      </c>
      <c r="H610" s="201">
        <v>1</v>
      </c>
      <c r="I610" s="201">
        <v>0</v>
      </c>
      <c r="J610" s="201">
        <v>0</v>
      </c>
      <c r="K610" s="201">
        <v>0</v>
      </c>
      <c r="L610" s="201">
        <v>0</v>
      </c>
      <c r="M610" s="330" t="s">
        <v>172</v>
      </c>
      <c r="N610" s="202">
        <v>0</v>
      </c>
    </row>
    <row r="611" spans="1:14" ht="15.75" customHeight="1">
      <c r="A611" s="198" t="s">
        <v>175</v>
      </c>
      <c r="B611" s="199" t="s">
        <v>183</v>
      </c>
      <c r="C611" s="199" t="s">
        <v>134</v>
      </c>
      <c r="D611" s="200" t="s">
        <v>163</v>
      </c>
      <c r="E611" s="215">
        <v>11.7</v>
      </c>
      <c r="F611" s="201">
        <v>6</v>
      </c>
      <c r="G611" s="201">
        <v>8</v>
      </c>
      <c r="H611" s="201">
        <v>10</v>
      </c>
      <c r="I611" s="201">
        <v>2</v>
      </c>
      <c r="J611" s="201">
        <v>10</v>
      </c>
      <c r="K611" s="201">
        <v>8</v>
      </c>
      <c r="L611" s="201">
        <v>5</v>
      </c>
      <c r="M611" s="330">
        <v>7</v>
      </c>
      <c r="N611" s="202">
        <v>-0.40170940170940167</v>
      </c>
    </row>
    <row r="612" spans="1:14" ht="15.75" customHeight="1">
      <c r="A612" s="198" t="s">
        <v>175</v>
      </c>
      <c r="B612" s="199" t="s">
        <v>183</v>
      </c>
      <c r="C612" s="199" t="s">
        <v>134</v>
      </c>
      <c r="D612" s="200" t="s">
        <v>164</v>
      </c>
      <c r="E612" s="215">
        <v>11.7</v>
      </c>
      <c r="F612" s="201">
        <v>6</v>
      </c>
      <c r="G612" s="201">
        <v>8</v>
      </c>
      <c r="H612" s="201">
        <v>9</v>
      </c>
      <c r="I612" s="201">
        <v>2</v>
      </c>
      <c r="J612" s="201">
        <v>10</v>
      </c>
      <c r="K612" s="201">
        <v>8</v>
      </c>
      <c r="L612" s="201">
        <v>5</v>
      </c>
      <c r="M612" s="330">
        <v>7</v>
      </c>
      <c r="N612" s="202">
        <v>-0.40170940170940167</v>
      </c>
    </row>
    <row r="613" spans="1:14" ht="15.75" customHeight="1">
      <c r="A613" s="198" t="s">
        <v>175</v>
      </c>
      <c r="B613" s="199" t="s">
        <v>183</v>
      </c>
      <c r="C613" s="199" t="s">
        <v>134</v>
      </c>
      <c r="D613" s="200" t="s">
        <v>165</v>
      </c>
      <c r="E613" s="215">
        <v>172.7</v>
      </c>
      <c r="F613" s="201">
        <v>153</v>
      </c>
      <c r="G613" s="201">
        <v>148</v>
      </c>
      <c r="H613" s="201">
        <v>143</v>
      </c>
      <c r="I613" s="201">
        <v>106</v>
      </c>
      <c r="J613" s="201">
        <v>130</v>
      </c>
      <c r="K613" s="201">
        <v>96</v>
      </c>
      <c r="L613" s="201">
        <v>91</v>
      </c>
      <c r="M613" s="330">
        <v>89</v>
      </c>
      <c r="N613" s="202">
        <v>-0.4846554719166184</v>
      </c>
    </row>
    <row r="614" spans="1:14" ht="15.75" customHeight="1">
      <c r="A614" s="198" t="s">
        <v>175</v>
      </c>
      <c r="B614" s="199" t="s">
        <v>183</v>
      </c>
      <c r="C614" s="199" t="s">
        <v>134</v>
      </c>
      <c r="D614" s="203" t="s">
        <v>91</v>
      </c>
      <c r="E614" s="216">
        <v>184.4</v>
      </c>
      <c r="F614" s="204">
        <v>159</v>
      </c>
      <c r="G614" s="204">
        <v>156</v>
      </c>
      <c r="H614" s="204">
        <v>153</v>
      </c>
      <c r="I614" s="204">
        <v>108</v>
      </c>
      <c r="J614" s="204">
        <v>140</v>
      </c>
      <c r="K614" s="204">
        <v>104</v>
      </c>
      <c r="L614" s="204">
        <v>96</v>
      </c>
      <c r="M614" s="331">
        <v>96</v>
      </c>
      <c r="N614" s="202">
        <v>-0.47939262472885036</v>
      </c>
    </row>
    <row r="615" spans="1:14">
      <c r="A615" s="198" t="s">
        <v>175</v>
      </c>
      <c r="B615" s="199" t="s">
        <v>183</v>
      </c>
      <c r="C615" s="199" t="s">
        <v>166</v>
      </c>
      <c r="D615" s="200" t="s">
        <v>162</v>
      </c>
      <c r="E615" s="215">
        <v>0</v>
      </c>
      <c r="F615" s="201">
        <v>0</v>
      </c>
      <c r="G615" s="201">
        <v>0</v>
      </c>
      <c r="H615" s="201">
        <v>0</v>
      </c>
      <c r="I615" s="201">
        <v>0</v>
      </c>
      <c r="J615" s="201">
        <v>0</v>
      </c>
      <c r="K615" s="201">
        <v>0</v>
      </c>
      <c r="L615" s="201">
        <v>0</v>
      </c>
      <c r="M615" s="330" t="s">
        <v>172</v>
      </c>
      <c r="N615" s="202">
        <v>0</v>
      </c>
    </row>
    <row r="616" spans="1:14" ht="15.75" customHeight="1">
      <c r="A616" s="198" t="s">
        <v>175</v>
      </c>
      <c r="B616" s="199" t="s">
        <v>183</v>
      </c>
      <c r="C616" s="199" t="s">
        <v>166</v>
      </c>
      <c r="D616" s="200" t="s">
        <v>163</v>
      </c>
      <c r="E616" s="215">
        <v>0.9</v>
      </c>
      <c r="F616" s="201">
        <v>0</v>
      </c>
      <c r="G616" s="201">
        <v>0</v>
      </c>
      <c r="H616" s="201">
        <v>0</v>
      </c>
      <c r="I616" s="201">
        <v>0</v>
      </c>
      <c r="J616" s="201">
        <v>0</v>
      </c>
      <c r="K616" s="201">
        <v>0</v>
      </c>
      <c r="L616" s="201">
        <v>0</v>
      </c>
      <c r="M616" s="330">
        <v>0</v>
      </c>
      <c r="N616" s="202">
        <v>-1</v>
      </c>
    </row>
    <row r="617" spans="1:14" ht="15.75" customHeight="1">
      <c r="A617" s="198" t="s">
        <v>175</v>
      </c>
      <c r="B617" s="199" t="s">
        <v>183</v>
      </c>
      <c r="C617" s="199" t="s">
        <v>166</v>
      </c>
      <c r="D617" s="200" t="s">
        <v>164</v>
      </c>
      <c r="E617" s="215">
        <v>0.9</v>
      </c>
      <c r="F617" s="201">
        <v>0</v>
      </c>
      <c r="G617" s="201">
        <v>0</v>
      </c>
      <c r="H617" s="201">
        <v>0</v>
      </c>
      <c r="I617" s="201">
        <v>0</v>
      </c>
      <c r="J617" s="201">
        <v>0</v>
      </c>
      <c r="K617" s="201">
        <v>0</v>
      </c>
      <c r="L617" s="201">
        <v>0</v>
      </c>
      <c r="M617" s="330" t="s">
        <v>172</v>
      </c>
      <c r="N617" s="202">
        <v>-1</v>
      </c>
    </row>
    <row r="618" spans="1:14" ht="15.75" customHeight="1">
      <c r="A618" s="198" t="s">
        <v>175</v>
      </c>
      <c r="B618" s="199" t="s">
        <v>183</v>
      </c>
      <c r="C618" s="199" t="s">
        <v>166</v>
      </c>
      <c r="D618" s="200" t="s">
        <v>165</v>
      </c>
      <c r="E618" s="215">
        <v>10.9</v>
      </c>
      <c r="F618" s="201">
        <v>9</v>
      </c>
      <c r="G618" s="201">
        <v>14</v>
      </c>
      <c r="H618" s="201">
        <v>11</v>
      </c>
      <c r="I618" s="201">
        <v>6</v>
      </c>
      <c r="J618" s="201">
        <v>6</v>
      </c>
      <c r="K618" s="201">
        <v>7</v>
      </c>
      <c r="L618" s="201">
        <v>8</v>
      </c>
      <c r="M618" s="330">
        <v>10</v>
      </c>
      <c r="N618" s="202">
        <v>-8.2568807339449574E-2</v>
      </c>
    </row>
    <row r="619" spans="1:14" ht="15.75" customHeight="1">
      <c r="A619" s="198" t="s">
        <v>175</v>
      </c>
      <c r="B619" s="199" t="s">
        <v>183</v>
      </c>
      <c r="C619" s="199" t="s">
        <v>166</v>
      </c>
      <c r="D619" s="203" t="s">
        <v>91</v>
      </c>
      <c r="E619" s="216">
        <v>11.8</v>
      </c>
      <c r="F619" s="204">
        <v>9</v>
      </c>
      <c r="G619" s="204">
        <v>14</v>
      </c>
      <c r="H619" s="204">
        <v>11</v>
      </c>
      <c r="I619" s="204">
        <v>6</v>
      </c>
      <c r="J619" s="204">
        <v>6</v>
      </c>
      <c r="K619" s="204">
        <v>7</v>
      </c>
      <c r="L619" s="204">
        <v>8</v>
      </c>
      <c r="M619" s="331">
        <v>10</v>
      </c>
      <c r="N619" s="202">
        <v>-0.15254237288135597</v>
      </c>
    </row>
    <row r="620" spans="1:14">
      <c r="A620" s="198" t="s">
        <v>175</v>
      </c>
      <c r="B620" s="199" t="s">
        <v>183</v>
      </c>
      <c r="C620" s="199" t="s">
        <v>133</v>
      </c>
      <c r="D620" s="200" t="s">
        <v>162</v>
      </c>
      <c r="E620" s="215">
        <v>0.6</v>
      </c>
      <c r="F620" s="201">
        <v>0</v>
      </c>
      <c r="G620" s="201">
        <v>0</v>
      </c>
      <c r="H620" s="201">
        <v>1</v>
      </c>
      <c r="I620" s="201">
        <v>0</v>
      </c>
      <c r="J620" s="201">
        <v>0</v>
      </c>
      <c r="K620" s="201">
        <v>0</v>
      </c>
      <c r="L620" s="201">
        <v>0</v>
      </c>
      <c r="M620" s="330" t="s">
        <v>172</v>
      </c>
      <c r="N620" s="202">
        <v>-1</v>
      </c>
    </row>
    <row r="621" spans="1:14" ht="15.75" customHeight="1">
      <c r="A621" s="198" t="s">
        <v>175</v>
      </c>
      <c r="B621" s="199" t="s">
        <v>183</v>
      </c>
      <c r="C621" s="199" t="s">
        <v>133</v>
      </c>
      <c r="D621" s="200" t="s">
        <v>163</v>
      </c>
      <c r="E621" s="215">
        <v>42.4</v>
      </c>
      <c r="F621" s="201">
        <v>35</v>
      </c>
      <c r="G621" s="201">
        <v>36</v>
      </c>
      <c r="H621" s="201">
        <v>36</v>
      </c>
      <c r="I621" s="201">
        <v>22</v>
      </c>
      <c r="J621" s="201">
        <v>26</v>
      </c>
      <c r="K621" s="201">
        <v>20</v>
      </c>
      <c r="L621" s="201">
        <v>22</v>
      </c>
      <c r="M621" s="330">
        <v>24</v>
      </c>
      <c r="N621" s="202">
        <v>-0.43396226415094336</v>
      </c>
    </row>
    <row r="622" spans="1:14" ht="15.75" customHeight="1">
      <c r="A622" s="198" t="s">
        <v>175</v>
      </c>
      <c r="B622" s="199" t="s">
        <v>183</v>
      </c>
      <c r="C622" s="199" t="s">
        <v>133</v>
      </c>
      <c r="D622" s="200" t="s">
        <v>164</v>
      </c>
      <c r="E622" s="215">
        <v>41.8</v>
      </c>
      <c r="F622" s="201">
        <v>35</v>
      </c>
      <c r="G622" s="201">
        <v>36</v>
      </c>
      <c r="H622" s="201">
        <v>35</v>
      </c>
      <c r="I622" s="201">
        <v>22</v>
      </c>
      <c r="J622" s="201">
        <v>26</v>
      </c>
      <c r="K622" s="201">
        <v>20</v>
      </c>
      <c r="L622" s="201">
        <v>22</v>
      </c>
      <c r="M622" s="330">
        <v>24</v>
      </c>
      <c r="N622" s="202">
        <v>-0.42583732057416263</v>
      </c>
    </row>
    <row r="623" spans="1:14" ht="15.75" customHeight="1">
      <c r="A623" s="198" t="s">
        <v>175</v>
      </c>
      <c r="B623" s="199" t="s">
        <v>183</v>
      </c>
      <c r="C623" s="199" t="s">
        <v>133</v>
      </c>
      <c r="D623" s="200" t="s">
        <v>165</v>
      </c>
      <c r="E623" s="215">
        <v>154.4</v>
      </c>
      <c r="F623" s="201">
        <v>156</v>
      </c>
      <c r="G623" s="201">
        <v>173</v>
      </c>
      <c r="H623" s="201">
        <v>198</v>
      </c>
      <c r="I623" s="201">
        <v>172</v>
      </c>
      <c r="J623" s="201">
        <v>171</v>
      </c>
      <c r="K623" s="201">
        <v>156</v>
      </c>
      <c r="L623" s="201">
        <v>184</v>
      </c>
      <c r="M623" s="330">
        <v>119</v>
      </c>
      <c r="N623" s="202">
        <v>-0.22927461139896377</v>
      </c>
    </row>
    <row r="624" spans="1:14" ht="15.75" customHeight="1">
      <c r="A624" s="198" t="s">
        <v>175</v>
      </c>
      <c r="B624" s="199" t="s">
        <v>183</v>
      </c>
      <c r="C624" s="199" t="s">
        <v>133</v>
      </c>
      <c r="D624" s="203" t="s">
        <v>91</v>
      </c>
      <c r="E624" s="216">
        <v>196.8</v>
      </c>
      <c r="F624" s="204">
        <v>191</v>
      </c>
      <c r="G624" s="204">
        <v>209</v>
      </c>
      <c r="H624" s="204">
        <v>234</v>
      </c>
      <c r="I624" s="204">
        <v>194</v>
      </c>
      <c r="J624" s="204">
        <v>197</v>
      </c>
      <c r="K624" s="204">
        <v>176</v>
      </c>
      <c r="L624" s="204">
        <v>206</v>
      </c>
      <c r="M624" s="331">
        <v>143</v>
      </c>
      <c r="N624" s="202">
        <v>-0.27337398373983746</v>
      </c>
    </row>
    <row r="625" spans="1:14" ht="15.75" customHeight="1">
      <c r="A625" s="198" t="s">
        <v>175</v>
      </c>
      <c r="B625" s="199" t="s">
        <v>183</v>
      </c>
      <c r="C625" s="199" t="s">
        <v>167</v>
      </c>
      <c r="D625" s="200" t="s">
        <v>162</v>
      </c>
      <c r="E625" s="215">
        <v>0</v>
      </c>
      <c r="F625" s="201">
        <v>0</v>
      </c>
      <c r="G625" s="201">
        <v>0</v>
      </c>
      <c r="H625" s="201">
        <v>0</v>
      </c>
      <c r="I625" s="201">
        <v>0</v>
      </c>
      <c r="J625" s="201">
        <v>0</v>
      </c>
      <c r="K625" s="201">
        <v>0</v>
      </c>
      <c r="L625" s="201">
        <v>0</v>
      </c>
      <c r="M625" s="330" t="s">
        <v>172</v>
      </c>
      <c r="N625" s="202">
        <v>0</v>
      </c>
    </row>
    <row r="626" spans="1:14" ht="15.75" customHeight="1">
      <c r="A626" s="198" t="s">
        <v>175</v>
      </c>
      <c r="B626" s="199" t="s">
        <v>183</v>
      </c>
      <c r="C626" s="199" t="s">
        <v>167</v>
      </c>
      <c r="D626" s="200" t="s">
        <v>163</v>
      </c>
      <c r="E626" s="215">
        <v>0.6</v>
      </c>
      <c r="F626" s="201">
        <v>0</v>
      </c>
      <c r="G626" s="201">
        <v>0</v>
      </c>
      <c r="H626" s="201">
        <v>1</v>
      </c>
      <c r="I626" s="201">
        <v>2</v>
      </c>
      <c r="J626" s="201">
        <v>6</v>
      </c>
      <c r="K626" s="201">
        <v>1</v>
      </c>
      <c r="L626" s="201">
        <v>5</v>
      </c>
      <c r="M626" s="330">
        <v>2</v>
      </c>
      <c r="N626" s="202">
        <v>2.3333333333333335</v>
      </c>
    </row>
    <row r="627" spans="1:14" ht="15.75" customHeight="1">
      <c r="A627" s="198" t="s">
        <v>175</v>
      </c>
      <c r="B627" s="199" t="s">
        <v>183</v>
      </c>
      <c r="C627" s="199" t="s">
        <v>167</v>
      </c>
      <c r="D627" s="200" t="s">
        <v>164</v>
      </c>
      <c r="E627" s="215">
        <v>0.6</v>
      </c>
      <c r="F627" s="201">
        <v>0</v>
      </c>
      <c r="G627" s="201">
        <v>0</v>
      </c>
      <c r="H627" s="201">
        <v>1</v>
      </c>
      <c r="I627" s="201">
        <v>2</v>
      </c>
      <c r="J627" s="201">
        <v>6</v>
      </c>
      <c r="K627" s="201">
        <v>1</v>
      </c>
      <c r="L627" s="201">
        <v>5</v>
      </c>
      <c r="M627" s="330">
        <v>2</v>
      </c>
      <c r="N627" s="202">
        <v>2.3333333333333335</v>
      </c>
    </row>
    <row r="628" spans="1:14" ht="15.75" customHeight="1">
      <c r="A628" s="198" t="s">
        <v>175</v>
      </c>
      <c r="B628" s="199" t="s">
        <v>183</v>
      </c>
      <c r="C628" s="199" t="s">
        <v>167</v>
      </c>
      <c r="D628" s="200" t="s">
        <v>165</v>
      </c>
      <c r="E628" s="215">
        <v>2.4</v>
      </c>
      <c r="F628" s="201">
        <v>4</v>
      </c>
      <c r="G628" s="201">
        <v>2</v>
      </c>
      <c r="H628" s="201">
        <v>4</v>
      </c>
      <c r="I628" s="201">
        <v>11</v>
      </c>
      <c r="J628" s="201">
        <v>11</v>
      </c>
      <c r="K628" s="201">
        <v>12</v>
      </c>
      <c r="L628" s="201">
        <v>10</v>
      </c>
      <c r="M628" s="330">
        <v>5</v>
      </c>
      <c r="N628" s="202">
        <v>1.0833333333333335</v>
      </c>
    </row>
    <row r="629" spans="1:14" ht="15.75" customHeight="1">
      <c r="A629" s="198" t="s">
        <v>175</v>
      </c>
      <c r="B629" s="199" t="s">
        <v>183</v>
      </c>
      <c r="C629" s="199" t="s">
        <v>167</v>
      </c>
      <c r="D629" s="203" t="s">
        <v>91</v>
      </c>
      <c r="E629" s="216">
        <v>3.1</v>
      </c>
      <c r="F629" s="204">
        <v>4</v>
      </c>
      <c r="G629" s="204">
        <v>2</v>
      </c>
      <c r="H629" s="204">
        <v>5</v>
      </c>
      <c r="I629" s="204">
        <v>13</v>
      </c>
      <c r="J629" s="204">
        <v>17</v>
      </c>
      <c r="K629" s="204">
        <v>13</v>
      </c>
      <c r="L629" s="204">
        <v>15</v>
      </c>
      <c r="M629" s="331">
        <v>7</v>
      </c>
      <c r="N629" s="202">
        <v>1.2580645161290323</v>
      </c>
    </row>
    <row r="630" spans="1:14">
      <c r="A630" s="198" t="s">
        <v>175</v>
      </c>
      <c r="B630" s="199" t="s">
        <v>183</v>
      </c>
      <c r="C630" s="199" t="s">
        <v>168</v>
      </c>
      <c r="D630" s="200" t="s">
        <v>162</v>
      </c>
      <c r="E630" s="215">
        <v>0.2</v>
      </c>
      <c r="F630" s="201">
        <v>0</v>
      </c>
      <c r="G630" s="201">
        <v>0</v>
      </c>
      <c r="H630" s="201">
        <v>1</v>
      </c>
      <c r="I630" s="201">
        <v>0</v>
      </c>
      <c r="J630" s="201">
        <v>1</v>
      </c>
      <c r="K630" s="201">
        <v>1</v>
      </c>
      <c r="L630" s="201">
        <v>0</v>
      </c>
      <c r="M630" s="330" t="s">
        <v>172</v>
      </c>
      <c r="N630" s="202">
        <v>-1</v>
      </c>
    </row>
    <row r="631" spans="1:14" ht="15.75" customHeight="1">
      <c r="A631" s="198" t="s">
        <v>175</v>
      </c>
      <c r="B631" s="199" t="s">
        <v>183</v>
      </c>
      <c r="C631" s="199" t="s">
        <v>168</v>
      </c>
      <c r="D631" s="200" t="s">
        <v>163</v>
      </c>
      <c r="E631" s="215">
        <v>36.200000000000003</v>
      </c>
      <c r="F631" s="201">
        <v>20</v>
      </c>
      <c r="G631" s="201">
        <v>25</v>
      </c>
      <c r="H631" s="201">
        <v>21</v>
      </c>
      <c r="I631" s="201">
        <v>28</v>
      </c>
      <c r="J631" s="201">
        <v>34</v>
      </c>
      <c r="K631" s="201">
        <v>38</v>
      </c>
      <c r="L631" s="201">
        <v>37</v>
      </c>
      <c r="M631" s="330">
        <v>43</v>
      </c>
      <c r="N631" s="202">
        <v>0.18784530386740322</v>
      </c>
    </row>
    <row r="632" spans="1:14" ht="15.75" customHeight="1">
      <c r="A632" s="198" t="s">
        <v>175</v>
      </c>
      <c r="B632" s="199" t="s">
        <v>183</v>
      </c>
      <c r="C632" s="199" t="s">
        <v>168</v>
      </c>
      <c r="D632" s="200" t="s">
        <v>164</v>
      </c>
      <c r="E632" s="215">
        <v>36</v>
      </c>
      <c r="F632" s="201">
        <v>20</v>
      </c>
      <c r="G632" s="201">
        <v>25</v>
      </c>
      <c r="H632" s="201">
        <v>20</v>
      </c>
      <c r="I632" s="201">
        <v>28</v>
      </c>
      <c r="J632" s="201">
        <v>33</v>
      </c>
      <c r="K632" s="201">
        <v>37</v>
      </c>
      <c r="L632" s="201">
        <v>37</v>
      </c>
      <c r="M632" s="330">
        <v>43</v>
      </c>
      <c r="N632" s="202">
        <v>0.19444444444444445</v>
      </c>
    </row>
    <row r="633" spans="1:14" ht="15.75" customHeight="1">
      <c r="A633" s="198" t="s">
        <v>175</v>
      </c>
      <c r="B633" s="199" t="s">
        <v>183</v>
      </c>
      <c r="C633" s="199" t="s">
        <v>168</v>
      </c>
      <c r="D633" s="200" t="s">
        <v>165</v>
      </c>
      <c r="E633" s="215">
        <v>157.6</v>
      </c>
      <c r="F633" s="201">
        <v>155</v>
      </c>
      <c r="G633" s="201">
        <v>156</v>
      </c>
      <c r="H633" s="201">
        <v>136</v>
      </c>
      <c r="I633" s="201">
        <v>153</v>
      </c>
      <c r="J633" s="201">
        <v>163</v>
      </c>
      <c r="K633" s="201">
        <v>144</v>
      </c>
      <c r="L633" s="201">
        <v>150</v>
      </c>
      <c r="M633" s="330">
        <v>137</v>
      </c>
      <c r="N633" s="202">
        <v>-0.13071065989847713</v>
      </c>
    </row>
    <row r="634" spans="1:14" ht="15.75" customHeight="1">
      <c r="A634" s="198" t="s">
        <v>175</v>
      </c>
      <c r="B634" s="199" t="s">
        <v>183</v>
      </c>
      <c r="C634" s="199" t="s">
        <v>168</v>
      </c>
      <c r="D634" s="203" t="s">
        <v>91</v>
      </c>
      <c r="E634" s="216">
        <v>193.8</v>
      </c>
      <c r="F634" s="204">
        <v>175</v>
      </c>
      <c r="G634" s="204">
        <v>181</v>
      </c>
      <c r="H634" s="204">
        <v>157</v>
      </c>
      <c r="I634" s="204">
        <v>181</v>
      </c>
      <c r="J634" s="204">
        <v>197</v>
      </c>
      <c r="K634" s="204">
        <v>182</v>
      </c>
      <c r="L634" s="204">
        <v>187</v>
      </c>
      <c r="M634" s="331">
        <v>180</v>
      </c>
      <c r="N634" s="202">
        <v>-7.1207430340557334E-2</v>
      </c>
    </row>
    <row r="635" spans="1:14" ht="15.75" customHeight="1">
      <c r="A635" s="198" t="s">
        <v>175</v>
      </c>
      <c r="B635" s="199" t="s">
        <v>183</v>
      </c>
      <c r="C635" s="199" t="s">
        <v>131</v>
      </c>
      <c r="D635" s="200" t="s">
        <v>162</v>
      </c>
      <c r="E635" s="215">
        <v>1.8</v>
      </c>
      <c r="F635" s="201">
        <v>2</v>
      </c>
      <c r="G635" s="201">
        <v>1</v>
      </c>
      <c r="H635" s="201">
        <v>1</v>
      </c>
      <c r="I635" s="201">
        <v>4</v>
      </c>
      <c r="J635" s="201">
        <v>0</v>
      </c>
      <c r="K635" s="201">
        <v>1</v>
      </c>
      <c r="L635" s="201">
        <v>0</v>
      </c>
      <c r="M635" s="330">
        <v>2</v>
      </c>
      <c r="N635" s="202">
        <v>0.11111111111111108</v>
      </c>
    </row>
    <row r="636" spans="1:14" ht="15.75" customHeight="1">
      <c r="A636" s="198" t="s">
        <v>175</v>
      </c>
      <c r="B636" s="199" t="s">
        <v>183</v>
      </c>
      <c r="C636" s="199" t="s">
        <v>131</v>
      </c>
      <c r="D636" s="200" t="s">
        <v>163</v>
      </c>
      <c r="E636" s="215">
        <v>41.4</v>
      </c>
      <c r="F636" s="201">
        <v>33</v>
      </c>
      <c r="G636" s="201">
        <v>43</v>
      </c>
      <c r="H636" s="201">
        <v>30</v>
      </c>
      <c r="I636" s="201">
        <v>25</v>
      </c>
      <c r="J636" s="201">
        <v>27</v>
      </c>
      <c r="K636" s="201">
        <v>40</v>
      </c>
      <c r="L636" s="201">
        <v>36</v>
      </c>
      <c r="M636" s="330">
        <v>28</v>
      </c>
      <c r="N636" s="202">
        <v>-0.32367149758454106</v>
      </c>
    </row>
    <row r="637" spans="1:14" ht="15.75" customHeight="1">
      <c r="A637" s="198" t="s">
        <v>175</v>
      </c>
      <c r="B637" s="199" t="s">
        <v>183</v>
      </c>
      <c r="C637" s="199" t="s">
        <v>131</v>
      </c>
      <c r="D637" s="200" t="s">
        <v>164</v>
      </c>
      <c r="E637" s="215">
        <v>39.6</v>
      </c>
      <c r="F637" s="201">
        <v>31</v>
      </c>
      <c r="G637" s="201">
        <v>42</v>
      </c>
      <c r="H637" s="201">
        <v>29</v>
      </c>
      <c r="I637" s="201">
        <v>21</v>
      </c>
      <c r="J637" s="201">
        <v>27</v>
      </c>
      <c r="K637" s="201">
        <v>39</v>
      </c>
      <c r="L637" s="201">
        <v>36</v>
      </c>
      <c r="M637" s="330">
        <v>26</v>
      </c>
      <c r="N637" s="202">
        <v>-0.34343434343434348</v>
      </c>
    </row>
    <row r="638" spans="1:14" ht="15.75" customHeight="1">
      <c r="A638" s="198" t="s">
        <v>175</v>
      </c>
      <c r="B638" s="199" t="s">
        <v>183</v>
      </c>
      <c r="C638" s="199" t="s">
        <v>131</v>
      </c>
      <c r="D638" s="200" t="s">
        <v>165</v>
      </c>
      <c r="E638" s="215">
        <v>112.4</v>
      </c>
      <c r="F638" s="201">
        <v>138</v>
      </c>
      <c r="G638" s="201">
        <v>138</v>
      </c>
      <c r="H638" s="201">
        <v>137</v>
      </c>
      <c r="I638" s="201">
        <v>59</v>
      </c>
      <c r="J638" s="201">
        <v>77</v>
      </c>
      <c r="K638" s="201">
        <v>73</v>
      </c>
      <c r="L638" s="201">
        <v>71</v>
      </c>
      <c r="M638" s="330">
        <v>84</v>
      </c>
      <c r="N638" s="202">
        <v>-0.25266903914590749</v>
      </c>
    </row>
    <row r="639" spans="1:14" ht="15.75" customHeight="1">
      <c r="A639" s="198" t="s">
        <v>175</v>
      </c>
      <c r="B639" s="199" t="s">
        <v>183</v>
      </c>
      <c r="C639" s="199" t="s">
        <v>131</v>
      </c>
      <c r="D639" s="203" t="s">
        <v>91</v>
      </c>
      <c r="E639" s="216">
        <v>153.80000000000001</v>
      </c>
      <c r="F639" s="204">
        <v>171</v>
      </c>
      <c r="G639" s="204">
        <v>181</v>
      </c>
      <c r="H639" s="204">
        <v>167</v>
      </c>
      <c r="I639" s="204">
        <v>84</v>
      </c>
      <c r="J639" s="204">
        <v>104</v>
      </c>
      <c r="K639" s="204">
        <v>113</v>
      </c>
      <c r="L639" s="204">
        <v>107</v>
      </c>
      <c r="M639" s="331">
        <v>112</v>
      </c>
      <c r="N639" s="202">
        <v>-0.27178153446033815</v>
      </c>
    </row>
    <row r="640" spans="1:14" ht="15.75" customHeight="1">
      <c r="A640" s="198" t="s">
        <v>175</v>
      </c>
      <c r="B640" s="199" t="s">
        <v>183</v>
      </c>
      <c r="C640" s="199" t="s">
        <v>169</v>
      </c>
      <c r="D640" s="200" t="s">
        <v>162</v>
      </c>
      <c r="E640" s="215">
        <v>0</v>
      </c>
      <c r="F640" s="201">
        <v>0</v>
      </c>
      <c r="G640" s="201">
        <v>0</v>
      </c>
      <c r="H640" s="201">
        <v>0</v>
      </c>
      <c r="I640" s="201">
        <v>1</v>
      </c>
      <c r="J640" s="201">
        <v>0</v>
      </c>
      <c r="K640" s="201">
        <v>0</v>
      </c>
      <c r="L640" s="201">
        <v>0</v>
      </c>
      <c r="M640" s="330" t="s">
        <v>172</v>
      </c>
      <c r="N640" s="202">
        <v>0</v>
      </c>
    </row>
    <row r="641" spans="1:14" ht="15.75" customHeight="1">
      <c r="A641" s="198" t="s">
        <v>175</v>
      </c>
      <c r="B641" s="199" t="s">
        <v>183</v>
      </c>
      <c r="C641" s="199" t="s">
        <v>169</v>
      </c>
      <c r="D641" s="200" t="s">
        <v>163</v>
      </c>
      <c r="E641" s="215">
        <v>0</v>
      </c>
      <c r="F641" s="201">
        <v>0</v>
      </c>
      <c r="G641" s="201">
        <v>0</v>
      </c>
      <c r="H641" s="201">
        <v>0</v>
      </c>
      <c r="I641" s="201">
        <v>2</v>
      </c>
      <c r="J641" s="201">
        <v>0</v>
      </c>
      <c r="K641" s="201">
        <v>0</v>
      </c>
      <c r="L641" s="201">
        <v>0</v>
      </c>
      <c r="M641" s="330">
        <v>0</v>
      </c>
      <c r="N641" s="202">
        <v>0</v>
      </c>
    </row>
    <row r="642" spans="1:14" ht="15.75" customHeight="1">
      <c r="A642" s="198" t="s">
        <v>175</v>
      </c>
      <c r="B642" s="199" t="s">
        <v>183</v>
      </c>
      <c r="C642" s="199" t="s">
        <v>169</v>
      </c>
      <c r="D642" s="200" t="s">
        <v>164</v>
      </c>
      <c r="E642" s="215">
        <v>0</v>
      </c>
      <c r="F642" s="201">
        <v>0</v>
      </c>
      <c r="G642" s="201">
        <v>0</v>
      </c>
      <c r="H642" s="201">
        <v>0</v>
      </c>
      <c r="I642" s="201">
        <v>1</v>
      </c>
      <c r="J642" s="201">
        <v>0</v>
      </c>
      <c r="K642" s="201">
        <v>0</v>
      </c>
      <c r="L642" s="201">
        <v>0</v>
      </c>
      <c r="M642" s="330" t="s">
        <v>172</v>
      </c>
      <c r="N642" s="202">
        <v>0</v>
      </c>
    </row>
    <row r="643" spans="1:14" ht="15.75" customHeight="1">
      <c r="A643" s="198" t="s">
        <v>175</v>
      </c>
      <c r="B643" s="199" t="s">
        <v>183</v>
      </c>
      <c r="C643" s="199" t="s">
        <v>169</v>
      </c>
      <c r="D643" s="200" t="s">
        <v>165</v>
      </c>
      <c r="E643" s="215">
        <v>0</v>
      </c>
      <c r="F643" s="201">
        <v>15</v>
      </c>
      <c r="G643" s="201">
        <v>5</v>
      </c>
      <c r="H643" s="201">
        <v>11</v>
      </c>
      <c r="I643" s="201">
        <v>11</v>
      </c>
      <c r="J643" s="201">
        <v>6</v>
      </c>
      <c r="K643" s="201">
        <v>6</v>
      </c>
      <c r="L643" s="201">
        <v>3</v>
      </c>
      <c r="M643" s="330">
        <v>3</v>
      </c>
      <c r="N643" s="202">
        <v>0</v>
      </c>
    </row>
    <row r="644" spans="1:14" ht="15.75" customHeight="1">
      <c r="A644" s="198" t="s">
        <v>175</v>
      </c>
      <c r="B644" s="199" t="s">
        <v>183</v>
      </c>
      <c r="C644" s="199" t="s">
        <v>169</v>
      </c>
      <c r="D644" s="203" t="s">
        <v>91</v>
      </c>
      <c r="E644" s="216">
        <v>0</v>
      </c>
      <c r="F644" s="204">
        <v>15</v>
      </c>
      <c r="G644" s="204">
        <v>5</v>
      </c>
      <c r="H644" s="204">
        <v>11</v>
      </c>
      <c r="I644" s="204">
        <v>13</v>
      </c>
      <c r="J644" s="204">
        <v>6</v>
      </c>
      <c r="K644" s="204">
        <v>6</v>
      </c>
      <c r="L644" s="204">
        <v>3</v>
      </c>
      <c r="M644" s="331">
        <v>3</v>
      </c>
      <c r="N644" s="202">
        <v>0</v>
      </c>
    </row>
    <row r="645" spans="1:14" ht="15.75" customHeight="1">
      <c r="A645" s="198" t="s">
        <v>175</v>
      </c>
      <c r="B645" s="199" t="s">
        <v>183</v>
      </c>
      <c r="C645" s="199" t="s">
        <v>139</v>
      </c>
      <c r="D645" s="200" t="s">
        <v>162</v>
      </c>
      <c r="E645" s="215">
        <v>0</v>
      </c>
      <c r="F645" s="201">
        <v>0</v>
      </c>
      <c r="G645" s="201">
        <v>0</v>
      </c>
      <c r="H645" s="201">
        <v>0</v>
      </c>
      <c r="I645" s="201">
        <v>0</v>
      </c>
      <c r="J645" s="201">
        <v>0</v>
      </c>
      <c r="K645" s="201">
        <v>0</v>
      </c>
      <c r="L645" s="201">
        <v>0</v>
      </c>
      <c r="M645" s="330" t="s">
        <v>172</v>
      </c>
      <c r="N645" s="202">
        <v>0</v>
      </c>
    </row>
    <row r="646" spans="1:14" ht="15.75" customHeight="1">
      <c r="A646" s="198" t="s">
        <v>175</v>
      </c>
      <c r="B646" s="199" t="s">
        <v>183</v>
      </c>
      <c r="C646" s="199" t="s">
        <v>139</v>
      </c>
      <c r="D646" s="200" t="s">
        <v>163</v>
      </c>
      <c r="E646" s="215">
        <v>1.1000000000000001</v>
      </c>
      <c r="F646" s="201">
        <v>1</v>
      </c>
      <c r="G646" s="201">
        <v>0</v>
      </c>
      <c r="H646" s="201">
        <v>0</v>
      </c>
      <c r="I646" s="201">
        <v>0</v>
      </c>
      <c r="J646" s="201">
        <v>0</v>
      </c>
      <c r="K646" s="201">
        <v>1</v>
      </c>
      <c r="L646" s="201">
        <v>0</v>
      </c>
      <c r="M646" s="330">
        <v>0</v>
      </c>
      <c r="N646" s="202">
        <v>-1</v>
      </c>
    </row>
    <row r="647" spans="1:14" ht="15.75" customHeight="1">
      <c r="A647" s="198" t="s">
        <v>175</v>
      </c>
      <c r="B647" s="199" t="s">
        <v>183</v>
      </c>
      <c r="C647" s="199" t="s">
        <v>139</v>
      </c>
      <c r="D647" s="200" t="s">
        <v>164</v>
      </c>
      <c r="E647" s="215">
        <v>1.1000000000000001</v>
      </c>
      <c r="F647" s="201">
        <v>1</v>
      </c>
      <c r="G647" s="201">
        <v>0</v>
      </c>
      <c r="H647" s="201">
        <v>0</v>
      </c>
      <c r="I647" s="201">
        <v>0</v>
      </c>
      <c r="J647" s="201">
        <v>0</v>
      </c>
      <c r="K647" s="201">
        <v>1</v>
      </c>
      <c r="L647" s="201">
        <v>0</v>
      </c>
      <c r="M647" s="330" t="s">
        <v>172</v>
      </c>
      <c r="N647" s="202">
        <v>-1</v>
      </c>
    </row>
    <row r="648" spans="1:14" ht="15.75" customHeight="1">
      <c r="A648" s="198" t="s">
        <v>175</v>
      </c>
      <c r="B648" s="199" t="s">
        <v>183</v>
      </c>
      <c r="C648" s="199" t="s">
        <v>139</v>
      </c>
      <c r="D648" s="200" t="s">
        <v>165</v>
      </c>
      <c r="E648" s="215">
        <v>12.9</v>
      </c>
      <c r="F648" s="201">
        <v>3</v>
      </c>
      <c r="G648" s="201">
        <v>13</v>
      </c>
      <c r="H648" s="201">
        <v>16</v>
      </c>
      <c r="I648" s="201">
        <v>1</v>
      </c>
      <c r="J648" s="201">
        <v>2</v>
      </c>
      <c r="K648" s="201">
        <v>3</v>
      </c>
      <c r="L648" s="201">
        <v>9</v>
      </c>
      <c r="M648" s="330">
        <v>7</v>
      </c>
      <c r="N648" s="202">
        <v>-0.45736434108527135</v>
      </c>
    </row>
    <row r="649" spans="1:14" ht="15.75" customHeight="1">
      <c r="A649" s="198" t="s">
        <v>175</v>
      </c>
      <c r="B649" s="199" t="s">
        <v>183</v>
      </c>
      <c r="C649" s="199" t="s">
        <v>139</v>
      </c>
      <c r="D649" s="203" t="s">
        <v>91</v>
      </c>
      <c r="E649" s="216">
        <v>14</v>
      </c>
      <c r="F649" s="204">
        <v>4</v>
      </c>
      <c r="G649" s="204">
        <v>13</v>
      </c>
      <c r="H649" s="204">
        <v>16</v>
      </c>
      <c r="I649" s="204">
        <v>1</v>
      </c>
      <c r="J649" s="204">
        <v>2</v>
      </c>
      <c r="K649" s="204">
        <v>4</v>
      </c>
      <c r="L649" s="204">
        <v>9</v>
      </c>
      <c r="M649" s="331">
        <v>7</v>
      </c>
      <c r="N649" s="202">
        <v>-0.5</v>
      </c>
    </row>
    <row r="650" spans="1:14" ht="15.75" customHeight="1">
      <c r="A650" s="198" t="s">
        <v>175</v>
      </c>
      <c r="B650" s="199" t="s">
        <v>183</v>
      </c>
      <c r="C650" s="205" t="s">
        <v>91</v>
      </c>
      <c r="D650" s="203" t="s">
        <v>162</v>
      </c>
      <c r="E650" s="216">
        <v>2.6</v>
      </c>
      <c r="F650" s="204">
        <v>2</v>
      </c>
      <c r="G650" s="204">
        <v>1</v>
      </c>
      <c r="H650" s="204">
        <v>4</v>
      </c>
      <c r="I650" s="204">
        <v>5</v>
      </c>
      <c r="J650" s="204">
        <v>1</v>
      </c>
      <c r="K650" s="204">
        <v>2</v>
      </c>
      <c r="L650" s="204">
        <v>0</v>
      </c>
      <c r="M650" s="331">
        <v>2</v>
      </c>
      <c r="N650" s="202">
        <v>-0.23076923076923078</v>
      </c>
    </row>
    <row r="651" spans="1:14" ht="15.75" customHeight="1">
      <c r="A651" s="198" t="s">
        <v>159</v>
      </c>
      <c r="B651" s="199" t="s">
        <v>173</v>
      </c>
      <c r="C651" s="205" t="s">
        <v>91</v>
      </c>
      <c r="D651" s="203" t="s">
        <v>163</v>
      </c>
      <c r="E651" s="214">
        <v>156</v>
      </c>
      <c r="F651" s="204">
        <v>132</v>
      </c>
      <c r="G651" s="204">
        <v>155</v>
      </c>
      <c r="H651" s="204">
        <v>119</v>
      </c>
      <c r="I651" s="204">
        <v>84</v>
      </c>
      <c r="J651" s="204">
        <v>92</v>
      </c>
      <c r="K651" s="204">
        <v>131</v>
      </c>
      <c r="L651" s="204">
        <v>101</v>
      </c>
      <c r="M651" s="331">
        <v>118</v>
      </c>
      <c r="N651" s="202">
        <v>-0.24358974358974358</v>
      </c>
    </row>
    <row r="652" spans="1:14" ht="15.75" customHeight="1">
      <c r="A652" s="198" t="s">
        <v>175</v>
      </c>
      <c r="B652" s="199" t="s">
        <v>183</v>
      </c>
      <c r="C652" s="205" t="s">
        <v>91</v>
      </c>
      <c r="D652" s="203" t="s">
        <v>164</v>
      </c>
      <c r="E652" s="216">
        <v>135.9</v>
      </c>
      <c r="F652" s="204">
        <v>95</v>
      </c>
      <c r="G652" s="204">
        <v>111</v>
      </c>
      <c r="H652" s="204">
        <v>95</v>
      </c>
      <c r="I652" s="204">
        <v>77</v>
      </c>
      <c r="J652" s="204">
        <v>103</v>
      </c>
      <c r="K652" s="204">
        <v>108</v>
      </c>
      <c r="L652" s="204">
        <v>109</v>
      </c>
      <c r="M652" s="331">
        <v>106</v>
      </c>
      <c r="N652" s="202">
        <v>-0.22001471670345846</v>
      </c>
    </row>
    <row r="653" spans="1:14" ht="15.75" customHeight="1">
      <c r="A653" s="198" t="s">
        <v>175</v>
      </c>
      <c r="B653" s="199" t="s">
        <v>183</v>
      </c>
      <c r="C653" s="205" t="s">
        <v>91</v>
      </c>
      <c r="D653" s="203" t="s">
        <v>165</v>
      </c>
      <c r="E653" s="216">
        <v>653.1</v>
      </c>
      <c r="F653" s="204">
        <v>664</v>
      </c>
      <c r="G653" s="204">
        <v>676</v>
      </c>
      <c r="H653" s="204">
        <v>684</v>
      </c>
      <c r="I653" s="204">
        <v>527</v>
      </c>
      <c r="J653" s="204">
        <v>583</v>
      </c>
      <c r="K653" s="204">
        <v>528</v>
      </c>
      <c r="L653" s="204">
        <v>539</v>
      </c>
      <c r="M653" s="331">
        <v>485</v>
      </c>
      <c r="N653" s="202">
        <v>-0.25738784259684583</v>
      </c>
    </row>
    <row r="654" spans="1:14" ht="15.75" customHeight="1">
      <c r="A654" s="198" t="s">
        <v>175</v>
      </c>
      <c r="B654" s="199" t="s">
        <v>183</v>
      </c>
      <c r="C654" s="205" t="s">
        <v>91</v>
      </c>
      <c r="D654" s="203" t="s">
        <v>91</v>
      </c>
      <c r="E654" s="216">
        <v>791.7</v>
      </c>
      <c r="F654" s="204">
        <v>761</v>
      </c>
      <c r="G654" s="204">
        <v>788</v>
      </c>
      <c r="H654" s="204">
        <v>783</v>
      </c>
      <c r="I654" s="204">
        <v>609</v>
      </c>
      <c r="J654" s="204">
        <v>687</v>
      </c>
      <c r="K654" s="204">
        <v>638</v>
      </c>
      <c r="L654" s="204">
        <v>648</v>
      </c>
      <c r="M654" s="331">
        <v>593</v>
      </c>
      <c r="N654" s="202">
        <v>-0.25097890615132001</v>
      </c>
    </row>
    <row r="655" spans="1:14" ht="15.75" customHeight="1">
      <c r="A655" s="198" t="s">
        <v>159</v>
      </c>
      <c r="B655" s="199" t="s">
        <v>184</v>
      </c>
      <c r="C655" s="199" t="s">
        <v>161</v>
      </c>
      <c r="D655" s="200" t="s">
        <v>162</v>
      </c>
      <c r="E655" s="213">
        <v>0</v>
      </c>
      <c r="F655" s="201">
        <v>0</v>
      </c>
      <c r="G655" s="201">
        <v>0</v>
      </c>
      <c r="H655" s="201">
        <v>0</v>
      </c>
      <c r="I655" s="201">
        <v>0</v>
      </c>
      <c r="J655" s="201">
        <v>0</v>
      </c>
      <c r="K655" s="201">
        <v>0</v>
      </c>
      <c r="L655" s="201">
        <v>0</v>
      </c>
      <c r="M655" s="330" t="s">
        <v>172</v>
      </c>
      <c r="N655" s="202">
        <v>0</v>
      </c>
    </row>
    <row r="656" spans="1:14">
      <c r="A656" s="198" t="s">
        <v>159</v>
      </c>
      <c r="B656" s="199" t="s">
        <v>184</v>
      </c>
      <c r="C656" s="199" t="s">
        <v>161</v>
      </c>
      <c r="D656" s="200" t="s">
        <v>163</v>
      </c>
      <c r="E656" s="213">
        <v>7.1</v>
      </c>
      <c r="F656" s="201">
        <v>2</v>
      </c>
      <c r="G656" s="201">
        <v>1</v>
      </c>
      <c r="H656" s="201">
        <v>1</v>
      </c>
      <c r="I656" s="201">
        <v>2</v>
      </c>
      <c r="J656" s="201">
        <v>2</v>
      </c>
      <c r="K656" s="201">
        <v>3</v>
      </c>
      <c r="L656" s="201">
        <v>2</v>
      </c>
      <c r="M656" s="330">
        <v>4</v>
      </c>
      <c r="N656" s="202">
        <v>-0.43661971830985913</v>
      </c>
    </row>
    <row r="657" spans="1:14" ht="15.75" customHeight="1">
      <c r="A657" s="198" t="s">
        <v>159</v>
      </c>
      <c r="B657" s="199" t="s">
        <v>184</v>
      </c>
      <c r="C657" s="199" t="s">
        <v>161</v>
      </c>
      <c r="D657" s="200" t="s">
        <v>164</v>
      </c>
      <c r="E657" s="213">
        <v>7.1</v>
      </c>
      <c r="F657" s="201">
        <v>2</v>
      </c>
      <c r="G657" s="201">
        <v>1</v>
      </c>
      <c r="H657" s="201">
        <v>1</v>
      </c>
      <c r="I657" s="201">
        <v>2</v>
      </c>
      <c r="J657" s="201">
        <v>2</v>
      </c>
      <c r="K657" s="201">
        <v>3</v>
      </c>
      <c r="L657" s="201">
        <v>2</v>
      </c>
      <c r="M657" s="330">
        <v>4</v>
      </c>
      <c r="N657" s="202">
        <v>-0.43661971830985913</v>
      </c>
    </row>
    <row r="658" spans="1:14" ht="15.75" customHeight="1">
      <c r="A658" s="198" t="s">
        <v>159</v>
      </c>
      <c r="B658" s="199" t="s">
        <v>184</v>
      </c>
      <c r="C658" s="199" t="s">
        <v>161</v>
      </c>
      <c r="D658" s="200" t="s">
        <v>165</v>
      </c>
      <c r="E658" s="213">
        <v>70.400000000000006</v>
      </c>
      <c r="F658" s="201">
        <v>114</v>
      </c>
      <c r="G658" s="201">
        <v>75</v>
      </c>
      <c r="H658" s="201">
        <v>42</v>
      </c>
      <c r="I658" s="201">
        <v>37</v>
      </c>
      <c r="J658" s="201">
        <v>34</v>
      </c>
      <c r="K658" s="201">
        <v>28</v>
      </c>
      <c r="L658" s="201">
        <v>59</v>
      </c>
      <c r="M658" s="330">
        <v>49</v>
      </c>
      <c r="N658" s="202">
        <v>-0.30397727272727276</v>
      </c>
    </row>
    <row r="659" spans="1:14" ht="15.75" customHeight="1">
      <c r="A659" s="198" t="s">
        <v>159</v>
      </c>
      <c r="B659" s="199" t="s">
        <v>184</v>
      </c>
      <c r="C659" s="199" t="s">
        <v>161</v>
      </c>
      <c r="D659" s="203" t="s">
        <v>91</v>
      </c>
      <c r="E659" s="214">
        <v>77.5</v>
      </c>
      <c r="F659" s="204">
        <v>116</v>
      </c>
      <c r="G659" s="204">
        <v>76</v>
      </c>
      <c r="H659" s="204">
        <v>43</v>
      </c>
      <c r="I659" s="204">
        <v>39</v>
      </c>
      <c r="J659" s="204">
        <v>36</v>
      </c>
      <c r="K659" s="204">
        <v>31</v>
      </c>
      <c r="L659" s="204">
        <v>61</v>
      </c>
      <c r="M659" s="331">
        <v>53</v>
      </c>
      <c r="N659" s="202">
        <v>-0.31612903225806449</v>
      </c>
    </row>
    <row r="660" spans="1:14" ht="15.75" customHeight="1">
      <c r="A660" s="198" t="s">
        <v>159</v>
      </c>
      <c r="B660" s="199" t="s">
        <v>184</v>
      </c>
      <c r="C660" s="199" t="s">
        <v>134</v>
      </c>
      <c r="D660" s="200" t="s">
        <v>162</v>
      </c>
      <c r="E660" s="213">
        <v>0.8</v>
      </c>
      <c r="F660" s="204">
        <v>0</v>
      </c>
      <c r="G660" s="204">
        <v>0</v>
      </c>
      <c r="H660" s="204">
        <v>0</v>
      </c>
      <c r="I660" s="204">
        <v>0</v>
      </c>
      <c r="J660" s="204">
        <v>0</v>
      </c>
      <c r="K660" s="204">
        <v>0</v>
      </c>
      <c r="L660" s="204">
        <v>0</v>
      </c>
      <c r="M660" s="331" t="s">
        <v>172</v>
      </c>
      <c r="N660" s="202">
        <v>-1</v>
      </c>
    </row>
    <row r="661" spans="1:14" ht="15.75" customHeight="1">
      <c r="A661" s="198" t="s">
        <v>159</v>
      </c>
      <c r="B661" s="199" t="s">
        <v>184</v>
      </c>
      <c r="C661" s="199" t="s">
        <v>134</v>
      </c>
      <c r="D661" s="200" t="s">
        <v>163</v>
      </c>
      <c r="E661" s="213">
        <v>27.1</v>
      </c>
      <c r="F661" s="201">
        <v>21</v>
      </c>
      <c r="G661" s="201">
        <v>20</v>
      </c>
      <c r="H661" s="201">
        <v>18</v>
      </c>
      <c r="I661" s="201">
        <v>6</v>
      </c>
      <c r="J661" s="201">
        <v>15</v>
      </c>
      <c r="K661" s="201">
        <v>14</v>
      </c>
      <c r="L661" s="201">
        <v>12</v>
      </c>
      <c r="M661" s="330">
        <v>8</v>
      </c>
      <c r="N661" s="202">
        <v>-0.70479704797047971</v>
      </c>
    </row>
    <row r="662" spans="1:14" ht="15.75" customHeight="1">
      <c r="A662" s="198" t="s">
        <v>159</v>
      </c>
      <c r="B662" s="199" t="s">
        <v>184</v>
      </c>
      <c r="C662" s="199" t="s">
        <v>134</v>
      </c>
      <c r="D662" s="200" t="s">
        <v>164</v>
      </c>
      <c r="E662" s="213">
        <v>26.3</v>
      </c>
      <c r="F662" s="201">
        <v>21</v>
      </c>
      <c r="G662" s="201">
        <v>20</v>
      </c>
      <c r="H662" s="201">
        <v>18</v>
      </c>
      <c r="I662" s="201">
        <v>6</v>
      </c>
      <c r="J662" s="201">
        <v>15</v>
      </c>
      <c r="K662" s="201">
        <v>14</v>
      </c>
      <c r="L662" s="201">
        <v>12</v>
      </c>
      <c r="M662" s="330">
        <v>8</v>
      </c>
      <c r="N662" s="202">
        <v>-0.69581749049429653</v>
      </c>
    </row>
    <row r="663" spans="1:14" ht="15.75" customHeight="1">
      <c r="A663" s="198" t="s">
        <v>159</v>
      </c>
      <c r="B663" s="199" t="s">
        <v>184</v>
      </c>
      <c r="C663" s="199" t="s">
        <v>134</v>
      </c>
      <c r="D663" s="200" t="s">
        <v>165</v>
      </c>
      <c r="E663" s="213">
        <v>406.7</v>
      </c>
      <c r="F663" s="201">
        <v>479</v>
      </c>
      <c r="G663" s="201">
        <v>396</v>
      </c>
      <c r="H663" s="201">
        <v>375</v>
      </c>
      <c r="I663" s="201">
        <v>252</v>
      </c>
      <c r="J663" s="201">
        <v>230</v>
      </c>
      <c r="K663" s="201">
        <v>223</v>
      </c>
      <c r="L663" s="201">
        <v>261</v>
      </c>
      <c r="M663" s="330">
        <v>195</v>
      </c>
      <c r="N663" s="202">
        <v>-0.52053110400786817</v>
      </c>
    </row>
    <row r="664" spans="1:14" ht="15.75" customHeight="1">
      <c r="A664" s="198" t="s">
        <v>159</v>
      </c>
      <c r="B664" s="199" t="s">
        <v>184</v>
      </c>
      <c r="C664" s="199" t="s">
        <v>134</v>
      </c>
      <c r="D664" s="203" t="s">
        <v>91</v>
      </c>
      <c r="E664" s="214">
        <v>433.8</v>
      </c>
      <c r="F664" s="204">
        <v>500</v>
      </c>
      <c r="G664" s="204">
        <v>416</v>
      </c>
      <c r="H664" s="204">
        <v>393</v>
      </c>
      <c r="I664" s="204">
        <v>258</v>
      </c>
      <c r="J664" s="204">
        <v>245</v>
      </c>
      <c r="K664" s="204">
        <v>237</v>
      </c>
      <c r="L664" s="204">
        <v>273</v>
      </c>
      <c r="M664" s="331">
        <v>203</v>
      </c>
      <c r="N664" s="202">
        <v>-0.53204241585984324</v>
      </c>
    </row>
    <row r="665" spans="1:14" ht="15.75" customHeight="1">
      <c r="A665" s="198" t="s">
        <v>159</v>
      </c>
      <c r="B665" s="199" t="s">
        <v>184</v>
      </c>
      <c r="C665" s="199" t="s">
        <v>166</v>
      </c>
      <c r="D665" s="200" t="s">
        <v>162</v>
      </c>
      <c r="E665" s="213">
        <v>0</v>
      </c>
      <c r="F665" s="201">
        <v>0</v>
      </c>
      <c r="G665" s="201">
        <v>0</v>
      </c>
      <c r="H665" s="201">
        <v>0</v>
      </c>
      <c r="I665" s="201">
        <v>0</v>
      </c>
      <c r="J665" s="201">
        <v>0</v>
      </c>
      <c r="K665" s="201">
        <v>0</v>
      </c>
      <c r="L665" s="201">
        <v>0</v>
      </c>
      <c r="M665" s="330" t="s">
        <v>172</v>
      </c>
      <c r="N665" s="202">
        <v>0</v>
      </c>
    </row>
    <row r="666" spans="1:14">
      <c r="A666" s="198" t="s">
        <v>159</v>
      </c>
      <c r="B666" s="199" t="s">
        <v>184</v>
      </c>
      <c r="C666" s="199" t="s">
        <v>166</v>
      </c>
      <c r="D666" s="200" t="s">
        <v>163</v>
      </c>
      <c r="E666" s="213">
        <v>1.4</v>
      </c>
      <c r="F666" s="201">
        <v>1</v>
      </c>
      <c r="G666" s="201">
        <v>2</v>
      </c>
      <c r="H666" s="201">
        <v>1</v>
      </c>
      <c r="I666" s="201">
        <v>0</v>
      </c>
      <c r="J666" s="201">
        <v>0</v>
      </c>
      <c r="K666" s="201">
        <v>0</v>
      </c>
      <c r="L666" s="201">
        <v>0</v>
      </c>
      <c r="M666" s="330">
        <v>0</v>
      </c>
      <c r="N666" s="202">
        <v>-1</v>
      </c>
    </row>
    <row r="667" spans="1:14" ht="15.75" customHeight="1">
      <c r="A667" s="198" t="s">
        <v>159</v>
      </c>
      <c r="B667" s="199" t="s">
        <v>184</v>
      </c>
      <c r="C667" s="199" t="s">
        <v>166</v>
      </c>
      <c r="D667" s="200" t="s">
        <v>164</v>
      </c>
      <c r="E667" s="213">
        <v>1.4</v>
      </c>
      <c r="F667" s="201">
        <v>1</v>
      </c>
      <c r="G667" s="201">
        <v>2</v>
      </c>
      <c r="H667" s="201">
        <v>1</v>
      </c>
      <c r="I667" s="201">
        <v>0</v>
      </c>
      <c r="J667" s="201">
        <v>0</v>
      </c>
      <c r="K667" s="201">
        <v>0</v>
      </c>
      <c r="L667" s="201">
        <v>0</v>
      </c>
      <c r="M667" s="330" t="s">
        <v>172</v>
      </c>
      <c r="N667" s="202">
        <v>-1</v>
      </c>
    </row>
    <row r="668" spans="1:14" ht="15.75" customHeight="1">
      <c r="A668" s="198" t="s">
        <v>159</v>
      </c>
      <c r="B668" s="199" t="s">
        <v>184</v>
      </c>
      <c r="C668" s="199" t="s">
        <v>166</v>
      </c>
      <c r="D668" s="200" t="s">
        <v>165</v>
      </c>
      <c r="E668" s="213">
        <v>15.4</v>
      </c>
      <c r="F668" s="201">
        <v>23</v>
      </c>
      <c r="G668" s="201">
        <v>19</v>
      </c>
      <c r="H668" s="201">
        <v>8</v>
      </c>
      <c r="I668" s="201">
        <v>14</v>
      </c>
      <c r="J668" s="201">
        <v>16</v>
      </c>
      <c r="K668" s="201">
        <v>9</v>
      </c>
      <c r="L668" s="201">
        <v>24</v>
      </c>
      <c r="M668" s="330">
        <v>13</v>
      </c>
      <c r="N668" s="202">
        <v>-0.15584415584415587</v>
      </c>
    </row>
    <row r="669" spans="1:14" ht="15.75" customHeight="1">
      <c r="A669" s="198" t="s">
        <v>159</v>
      </c>
      <c r="B669" s="199" t="s">
        <v>184</v>
      </c>
      <c r="C669" s="199" t="s">
        <v>166</v>
      </c>
      <c r="D669" s="203" t="s">
        <v>91</v>
      </c>
      <c r="E669" s="214">
        <v>16.8</v>
      </c>
      <c r="F669" s="204">
        <v>24</v>
      </c>
      <c r="G669" s="204">
        <v>21</v>
      </c>
      <c r="H669" s="204">
        <v>9</v>
      </c>
      <c r="I669" s="204">
        <v>14</v>
      </c>
      <c r="J669" s="204">
        <v>16</v>
      </c>
      <c r="K669" s="204">
        <v>9</v>
      </c>
      <c r="L669" s="204">
        <v>24</v>
      </c>
      <c r="M669" s="331">
        <v>13</v>
      </c>
      <c r="N669" s="202">
        <v>-0.22619047619047622</v>
      </c>
    </row>
    <row r="670" spans="1:14" ht="15.75" customHeight="1">
      <c r="A670" s="198" t="s">
        <v>159</v>
      </c>
      <c r="B670" s="199" t="s">
        <v>184</v>
      </c>
      <c r="C670" s="199" t="s">
        <v>133</v>
      </c>
      <c r="D670" s="200" t="s">
        <v>162</v>
      </c>
      <c r="E670" s="213">
        <v>1.2</v>
      </c>
      <c r="F670" s="201">
        <v>0</v>
      </c>
      <c r="G670" s="201">
        <v>0</v>
      </c>
      <c r="H670" s="201">
        <v>2</v>
      </c>
      <c r="I670" s="201">
        <v>0</v>
      </c>
      <c r="J670" s="201">
        <v>1</v>
      </c>
      <c r="K670" s="201">
        <v>0</v>
      </c>
      <c r="L670" s="201">
        <v>0</v>
      </c>
      <c r="M670" s="330" t="s">
        <v>172</v>
      </c>
      <c r="N670" s="202">
        <v>-1</v>
      </c>
    </row>
    <row r="671" spans="1:14">
      <c r="A671" s="198" t="s">
        <v>159</v>
      </c>
      <c r="B671" s="199" t="s">
        <v>184</v>
      </c>
      <c r="C671" s="199" t="s">
        <v>133</v>
      </c>
      <c r="D671" s="200" t="s">
        <v>163</v>
      </c>
      <c r="E671" s="213">
        <v>32.700000000000003</v>
      </c>
      <c r="F671" s="201">
        <v>34</v>
      </c>
      <c r="G671" s="201">
        <v>26</v>
      </c>
      <c r="H671" s="201">
        <v>30</v>
      </c>
      <c r="I671" s="201">
        <v>18</v>
      </c>
      <c r="J671" s="201">
        <v>29</v>
      </c>
      <c r="K671" s="201">
        <v>16</v>
      </c>
      <c r="L671" s="201">
        <v>25</v>
      </c>
      <c r="M671" s="330">
        <v>21</v>
      </c>
      <c r="N671" s="202">
        <v>-0.35779816513761475</v>
      </c>
    </row>
    <row r="672" spans="1:14" ht="15.75" customHeight="1">
      <c r="A672" s="198" t="s">
        <v>159</v>
      </c>
      <c r="B672" s="199" t="s">
        <v>184</v>
      </c>
      <c r="C672" s="199" t="s">
        <v>133</v>
      </c>
      <c r="D672" s="200" t="s">
        <v>164</v>
      </c>
      <c r="E672" s="213">
        <v>31.5</v>
      </c>
      <c r="F672" s="201">
        <v>34</v>
      </c>
      <c r="G672" s="201">
        <v>26</v>
      </c>
      <c r="H672" s="201">
        <v>28</v>
      </c>
      <c r="I672" s="201">
        <v>18</v>
      </c>
      <c r="J672" s="201">
        <v>28</v>
      </c>
      <c r="K672" s="201">
        <v>16</v>
      </c>
      <c r="L672" s="201">
        <v>25</v>
      </c>
      <c r="M672" s="330">
        <v>21</v>
      </c>
      <c r="N672" s="202">
        <v>-0.33333333333333331</v>
      </c>
    </row>
    <row r="673" spans="1:14" ht="15.75" customHeight="1">
      <c r="A673" s="198" t="s">
        <v>159</v>
      </c>
      <c r="B673" s="199" t="s">
        <v>184</v>
      </c>
      <c r="C673" s="199" t="s">
        <v>133</v>
      </c>
      <c r="D673" s="200" t="s">
        <v>165</v>
      </c>
      <c r="E673" s="213">
        <v>120.8</v>
      </c>
      <c r="F673" s="201">
        <v>161</v>
      </c>
      <c r="G673" s="201">
        <v>149</v>
      </c>
      <c r="H673" s="201">
        <v>188</v>
      </c>
      <c r="I673" s="201">
        <v>197</v>
      </c>
      <c r="J673" s="201">
        <v>294</v>
      </c>
      <c r="K673" s="201">
        <v>317</v>
      </c>
      <c r="L673" s="201">
        <v>366</v>
      </c>
      <c r="M673" s="330">
        <v>217</v>
      </c>
      <c r="N673" s="202">
        <v>0.79635761589403975</v>
      </c>
    </row>
    <row r="674" spans="1:14" ht="15.75" customHeight="1">
      <c r="A674" s="198" t="s">
        <v>159</v>
      </c>
      <c r="B674" s="199" t="s">
        <v>184</v>
      </c>
      <c r="C674" s="199" t="s">
        <v>133</v>
      </c>
      <c r="D674" s="203" t="s">
        <v>91</v>
      </c>
      <c r="E674" s="214">
        <v>153.5</v>
      </c>
      <c r="F674" s="204">
        <v>195</v>
      </c>
      <c r="G674" s="204">
        <v>175</v>
      </c>
      <c r="H674" s="204">
        <v>218</v>
      </c>
      <c r="I674" s="204">
        <v>215</v>
      </c>
      <c r="J674" s="204">
        <v>323</v>
      </c>
      <c r="K674" s="204">
        <v>333</v>
      </c>
      <c r="L674" s="204">
        <v>391</v>
      </c>
      <c r="M674" s="331">
        <v>238</v>
      </c>
      <c r="N674" s="202">
        <v>0.55048859934853422</v>
      </c>
    </row>
    <row r="675" spans="1:14" ht="15.75" customHeight="1">
      <c r="A675" s="198" t="s">
        <v>159</v>
      </c>
      <c r="B675" s="199" t="s">
        <v>184</v>
      </c>
      <c r="C675" s="199" t="s">
        <v>167</v>
      </c>
      <c r="D675" s="200" t="s">
        <v>162</v>
      </c>
      <c r="E675" s="213">
        <v>0.2</v>
      </c>
      <c r="F675" s="201">
        <v>0</v>
      </c>
      <c r="G675" s="201">
        <v>0</v>
      </c>
      <c r="H675" s="201">
        <v>0</v>
      </c>
      <c r="I675" s="201">
        <v>0</v>
      </c>
      <c r="J675" s="201">
        <v>0</v>
      </c>
      <c r="K675" s="201">
        <v>0</v>
      </c>
      <c r="L675" s="201">
        <v>0</v>
      </c>
      <c r="M675" s="330" t="s">
        <v>172</v>
      </c>
      <c r="N675" s="202">
        <v>-1</v>
      </c>
    </row>
    <row r="676" spans="1:14">
      <c r="A676" s="198" t="s">
        <v>159</v>
      </c>
      <c r="B676" s="199" t="s">
        <v>184</v>
      </c>
      <c r="C676" s="199" t="s">
        <v>167</v>
      </c>
      <c r="D676" s="200" t="s">
        <v>163</v>
      </c>
      <c r="E676" s="213">
        <v>0.5</v>
      </c>
      <c r="F676" s="201">
        <v>0</v>
      </c>
      <c r="G676" s="201">
        <v>0</v>
      </c>
      <c r="H676" s="201">
        <v>0</v>
      </c>
      <c r="I676" s="201">
        <v>1</v>
      </c>
      <c r="J676" s="201">
        <v>1</v>
      </c>
      <c r="K676" s="201">
        <v>2</v>
      </c>
      <c r="L676" s="201">
        <v>3</v>
      </c>
      <c r="M676" s="330">
        <v>3</v>
      </c>
      <c r="N676" s="202">
        <v>5</v>
      </c>
    </row>
    <row r="677" spans="1:14">
      <c r="A677" s="198" t="s">
        <v>159</v>
      </c>
      <c r="B677" s="199" t="s">
        <v>184</v>
      </c>
      <c r="C677" s="199" t="s">
        <v>167</v>
      </c>
      <c r="D677" s="200" t="s">
        <v>164</v>
      </c>
      <c r="E677" s="213">
        <v>0.3</v>
      </c>
      <c r="F677" s="201">
        <v>0</v>
      </c>
      <c r="G677" s="201">
        <v>0</v>
      </c>
      <c r="H677" s="201">
        <v>0</v>
      </c>
      <c r="I677" s="201">
        <v>1</v>
      </c>
      <c r="J677" s="201">
        <v>1</v>
      </c>
      <c r="K677" s="201">
        <v>2</v>
      </c>
      <c r="L677" s="201">
        <v>3</v>
      </c>
      <c r="M677" s="330">
        <v>3</v>
      </c>
      <c r="N677" s="202">
        <v>9.0000000000000018</v>
      </c>
    </row>
    <row r="678" spans="1:14">
      <c r="A678" s="198" t="s">
        <v>159</v>
      </c>
      <c r="B678" s="199" t="s">
        <v>184</v>
      </c>
      <c r="C678" s="199" t="s">
        <v>167</v>
      </c>
      <c r="D678" s="200" t="s">
        <v>165</v>
      </c>
      <c r="E678" s="213">
        <v>4.3</v>
      </c>
      <c r="F678" s="201">
        <v>11</v>
      </c>
      <c r="G678" s="201">
        <v>7</v>
      </c>
      <c r="H678" s="201">
        <v>2</v>
      </c>
      <c r="I678" s="201">
        <v>17</v>
      </c>
      <c r="J678" s="201">
        <v>16</v>
      </c>
      <c r="K678" s="201">
        <v>4</v>
      </c>
      <c r="L678" s="201">
        <v>14</v>
      </c>
      <c r="M678" s="330">
        <v>12</v>
      </c>
      <c r="N678" s="202">
        <v>1.7906976744186047</v>
      </c>
    </row>
    <row r="679" spans="1:14" ht="15.75" customHeight="1">
      <c r="A679" s="198" t="s">
        <v>159</v>
      </c>
      <c r="B679" s="199" t="s">
        <v>184</v>
      </c>
      <c r="C679" s="199" t="s">
        <v>167</v>
      </c>
      <c r="D679" s="203" t="s">
        <v>91</v>
      </c>
      <c r="E679" s="214">
        <v>4.8</v>
      </c>
      <c r="F679" s="204">
        <v>11</v>
      </c>
      <c r="G679" s="204">
        <v>7</v>
      </c>
      <c r="H679" s="204">
        <v>2</v>
      </c>
      <c r="I679" s="204">
        <v>18</v>
      </c>
      <c r="J679" s="204">
        <v>17</v>
      </c>
      <c r="K679" s="204">
        <v>6</v>
      </c>
      <c r="L679" s="204">
        <v>17</v>
      </c>
      <c r="M679" s="331">
        <v>15</v>
      </c>
      <c r="N679" s="202">
        <v>2.125</v>
      </c>
    </row>
    <row r="680" spans="1:14" ht="15.75" customHeight="1">
      <c r="A680" s="198" t="s">
        <v>159</v>
      </c>
      <c r="B680" s="199" t="s">
        <v>184</v>
      </c>
      <c r="C680" s="199" t="s">
        <v>168</v>
      </c>
      <c r="D680" s="200" t="s">
        <v>162</v>
      </c>
      <c r="E680" s="213">
        <v>0.4</v>
      </c>
      <c r="F680" s="201">
        <v>0</v>
      </c>
      <c r="G680" s="201">
        <v>0</v>
      </c>
      <c r="H680" s="201">
        <v>0</v>
      </c>
      <c r="I680" s="201">
        <v>0</v>
      </c>
      <c r="J680" s="201">
        <v>1</v>
      </c>
      <c r="K680" s="201">
        <v>0</v>
      </c>
      <c r="L680" s="201">
        <v>0</v>
      </c>
      <c r="M680" s="330" t="s">
        <v>172</v>
      </c>
      <c r="N680" s="202">
        <v>-1</v>
      </c>
    </row>
    <row r="681" spans="1:14" ht="15.75" customHeight="1">
      <c r="A681" s="198" t="s">
        <v>159</v>
      </c>
      <c r="B681" s="199" t="s">
        <v>184</v>
      </c>
      <c r="C681" s="199" t="s">
        <v>168</v>
      </c>
      <c r="D681" s="200" t="s">
        <v>163</v>
      </c>
      <c r="E681" s="213">
        <v>26.5</v>
      </c>
      <c r="F681" s="201">
        <v>23</v>
      </c>
      <c r="G681" s="201">
        <v>17</v>
      </c>
      <c r="H681" s="201">
        <v>22</v>
      </c>
      <c r="I681" s="201">
        <v>21</v>
      </c>
      <c r="J681" s="201">
        <v>22</v>
      </c>
      <c r="K681" s="201">
        <v>35</v>
      </c>
      <c r="L681" s="201">
        <v>18</v>
      </c>
      <c r="M681" s="330">
        <v>26</v>
      </c>
      <c r="N681" s="202">
        <v>-1.8867924528301886E-2</v>
      </c>
    </row>
    <row r="682" spans="1:14" ht="15.75" customHeight="1">
      <c r="A682" s="198" t="s">
        <v>159</v>
      </c>
      <c r="B682" s="199" t="s">
        <v>184</v>
      </c>
      <c r="C682" s="199" t="s">
        <v>168</v>
      </c>
      <c r="D682" s="200" t="s">
        <v>164</v>
      </c>
      <c r="E682" s="213">
        <v>26.1</v>
      </c>
      <c r="F682" s="201">
        <v>23</v>
      </c>
      <c r="G682" s="201">
        <v>17</v>
      </c>
      <c r="H682" s="201">
        <v>22</v>
      </c>
      <c r="I682" s="201">
        <v>21</v>
      </c>
      <c r="J682" s="201">
        <v>21</v>
      </c>
      <c r="K682" s="201">
        <v>35</v>
      </c>
      <c r="L682" s="201">
        <v>18</v>
      </c>
      <c r="M682" s="330">
        <v>26</v>
      </c>
      <c r="N682" s="202">
        <v>-3.8314176245211272E-3</v>
      </c>
    </row>
    <row r="683" spans="1:14" ht="15.75" customHeight="1">
      <c r="A683" s="198" t="s">
        <v>159</v>
      </c>
      <c r="B683" s="199" t="s">
        <v>184</v>
      </c>
      <c r="C683" s="199" t="s">
        <v>168</v>
      </c>
      <c r="D683" s="200" t="s">
        <v>165</v>
      </c>
      <c r="E683" s="213">
        <v>98</v>
      </c>
      <c r="F683" s="201">
        <v>107</v>
      </c>
      <c r="G683" s="201">
        <v>91</v>
      </c>
      <c r="H683" s="201">
        <v>104</v>
      </c>
      <c r="I683" s="201">
        <v>122</v>
      </c>
      <c r="J683" s="201">
        <v>139</v>
      </c>
      <c r="K683" s="201">
        <v>126</v>
      </c>
      <c r="L683" s="201">
        <v>134</v>
      </c>
      <c r="M683" s="330">
        <v>128</v>
      </c>
      <c r="N683" s="202">
        <v>0.30612244897959184</v>
      </c>
    </row>
    <row r="684" spans="1:14" ht="15.75" customHeight="1">
      <c r="A684" s="198" t="s">
        <v>159</v>
      </c>
      <c r="B684" s="199" t="s">
        <v>184</v>
      </c>
      <c r="C684" s="199" t="s">
        <v>168</v>
      </c>
      <c r="D684" s="203" t="s">
        <v>91</v>
      </c>
      <c r="E684" s="214">
        <v>124.4</v>
      </c>
      <c r="F684" s="204">
        <v>130</v>
      </c>
      <c r="G684" s="204">
        <v>108</v>
      </c>
      <c r="H684" s="204">
        <v>126</v>
      </c>
      <c r="I684" s="204">
        <v>143</v>
      </c>
      <c r="J684" s="204">
        <v>161</v>
      </c>
      <c r="K684" s="204">
        <v>161</v>
      </c>
      <c r="L684" s="204">
        <v>152</v>
      </c>
      <c r="M684" s="331">
        <v>154</v>
      </c>
      <c r="N684" s="202">
        <v>0.23794212218649513</v>
      </c>
    </row>
    <row r="685" spans="1:14" ht="15.75" customHeight="1">
      <c r="A685" s="198" t="s">
        <v>159</v>
      </c>
      <c r="B685" s="199" t="s">
        <v>184</v>
      </c>
      <c r="C685" s="199" t="s">
        <v>131</v>
      </c>
      <c r="D685" s="200" t="s">
        <v>162</v>
      </c>
      <c r="E685" s="213">
        <v>1</v>
      </c>
      <c r="F685" s="201">
        <v>3</v>
      </c>
      <c r="G685" s="201">
        <v>2</v>
      </c>
      <c r="H685" s="201">
        <v>1</v>
      </c>
      <c r="I685" s="201">
        <v>1</v>
      </c>
      <c r="J685" s="201">
        <v>3</v>
      </c>
      <c r="K685" s="201">
        <v>2</v>
      </c>
      <c r="L685" s="201">
        <v>1</v>
      </c>
      <c r="M685" s="330">
        <v>3</v>
      </c>
      <c r="N685" s="202">
        <v>2</v>
      </c>
    </row>
    <row r="686" spans="1:14" ht="15.75" customHeight="1">
      <c r="A686" s="198" t="s">
        <v>159</v>
      </c>
      <c r="B686" s="199" t="s">
        <v>184</v>
      </c>
      <c r="C686" s="199" t="s">
        <v>131</v>
      </c>
      <c r="D686" s="200" t="s">
        <v>163</v>
      </c>
      <c r="E686" s="213">
        <v>68.5</v>
      </c>
      <c r="F686" s="201">
        <v>56</v>
      </c>
      <c r="G686" s="201">
        <v>51</v>
      </c>
      <c r="H686" s="201">
        <v>38</v>
      </c>
      <c r="I686" s="201">
        <v>32</v>
      </c>
      <c r="J686" s="201">
        <v>30</v>
      </c>
      <c r="K686" s="201">
        <v>47</v>
      </c>
      <c r="L686" s="201">
        <v>49</v>
      </c>
      <c r="M686" s="330">
        <v>35</v>
      </c>
      <c r="N686" s="202">
        <v>-0.48905109489051096</v>
      </c>
    </row>
    <row r="687" spans="1:14" ht="15.75" customHeight="1">
      <c r="A687" s="198" t="s">
        <v>159</v>
      </c>
      <c r="B687" s="199" t="s">
        <v>184</v>
      </c>
      <c r="C687" s="199" t="s">
        <v>131</v>
      </c>
      <c r="D687" s="200" t="s">
        <v>164</v>
      </c>
      <c r="E687" s="213">
        <v>67.5</v>
      </c>
      <c r="F687" s="201">
        <v>53</v>
      </c>
      <c r="G687" s="201">
        <v>49</v>
      </c>
      <c r="H687" s="201">
        <v>37</v>
      </c>
      <c r="I687" s="201">
        <v>31</v>
      </c>
      <c r="J687" s="201">
        <v>27</v>
      </c>
      <c r="K687" s="201">
        <v>45</v>
      </c>
      <c r="L687" s="201">
        <v>48</v>
      </c>
      <c r="M687" s="330">
        <v>32</v>
      </c>
      <c r="N687" s="202">
        <v>-0.52592592592592591</v>
      </c>
    </row>
    <row r="688" spans="1:14" ht="15.75" customHeight="1">
      <c r="A688" s="198" t="s">
        <v>159</v>
      </c>
      <c r="B688" s="199" t="s">
        <v>184</v>
      </c>
      <c r="C688" s="199" t="s">
        <v>131</v>
      </c>
      <c r="D688" s="200" t="s">
        <v>165</v>
      </c>
      <c r="E688" s="213">
        <v>153.30000000000001</v>
      </c>
      <c r="F688" s="201">
        <v>185</v>
      </c>
      <c r="G688" s="201">
        <v>144</v>
      </c>
      <c r="H688" s="201">
        <v>159</v>
      </c>
      <c r="I688" s="201">
        <v>100</v>
      </c>
      <c r="J688" s="201">
        <v>103</v>
      </c>
      <c r="K688" s="201">
        <v>128</v>
      </c>
      <c r="L688" s="201">
        <v>119</v>
      </c>
      <c r="M688" s="330">
        <v>127</v>
      </c>
      <c r="N688" s="202">
        <v>-0.17155903457273328</v>
      </c>
    </row>
    <row r="689" spans="1:14" ht="15.75" customHeight="1">
      <c r="A689" s="198" t="s">
        <v>159</v>
      </c>
      <c r="B689" s="199" t="s">
        <v>184</v>
      </c>
      <c r="C689" s="199" t="s">
        <v>131</v>
      </c>
      <c r="D689" s="203" t="s">
        <v>91</v>
      </c>
      <c r="E689" s="214">
        <v>221.8</v>
      </c>
      <c r="F689" s="204">
        <v>241</v>
      </c>
      <c r="G689" s="204">
        <v>195</v>
      </c>
      <c r="H689" s="204">
        <v>197</v>
      </c>
      <c r="I689" s="204">
        <v>132</v>
      </c>
      <c r="J689" s="204">
        <v>133</v>
      </c>
      <c r="K689" s="204">
        <v>175</v>
      </c>
      <c r="L689" s="204">
        <v>168</v>
      </c>
      <c r="M689" s="331">
        <v>162</v>
      </c>
      <c r="N689" s="202">
        <v>-0.26961226330027055</v>
      </c>
    </row>
    <row r="690" spans="1:14" ht="15.75" customHeight="1">
      <c r="A690" s="198" t="s">
        <v>159</v>
      </c>
      <c r="B690" s="199" t="s">
        <v>184</v>
      </c>
      <c r="C690" s="199" t="s">
        <v>169</v>
      </c>
      <c r="D690" s="200" t="s">
        <v>162</v>
      </c>
      <c r="E690" s="213">
        <v>0</v>
      </c>
      <c r="F690" s="201">
        <v>0</v>
      </c>
      <c r="G690" s="201">
        <v>0</v>
      </c>
      <c r="H690" s="201">
        <v>0</v>
      </c>
      <c r="I690" s="201">
        <v>0</v>
      </c>
      <c r="J690" s="201">
        <v>0</v>
      </c>
      <c r="K690" s="201">
        <v>0</v>
      </c>
      <c r="L690" s="201">
        <v>0</v>
      </c>
      <c r="M690" s="330" t="s">
        <v>172</v>
      </c>
      <c r="N690" s="202">
        <v>0</v>
      </c>
    </row>
    <row r="691" spans="1:14" ht="15.75" customHeight="1">
      <c r="A691" s="198" t="s">
        <v>159</v>
      </c>
      <c r="B691" s="199" t="s">
        <v>184</v>
      </c>
      <c r="C691" s="199" t="s">
        <v>169</v>
      </c>
      <c r="D691" s="200" t="s">
        <v>163</v>
      </c>
      <c r="E691" s="213">
        <v>0</v>
      </c>
      <c r="F691" s="201">
        <v>1</v>
      </c>
      <c r="G691" s="201">
        <v>1</v>
      </c>
      <c r="H691" s="201">
        <v>0</v>
      </c>
      <c r="I691" s="201">
        <v>1</v>
      </c>
      <c r="J691" s="201">
        <v>1</v>
      </c>
      <c r="K691" s="201">
        <v>0</v>
      </c>
      <c r="L691" s="201">
        <v>2</v>
      </c>
      <c r="M691" s="330">
        <v>1</v>
      </c>
      <c r="N691" s="202">
        <v>0</v>
      </c>
    </row>
    <row r="692" spans="1:14" ht="15.75" customHeight="1">
      <c r="A692" s="198" t="s">
        <v>159</v>
      </c>
      <c r="B692" s="199" t="s">
        <v>184</v>
      </c>
      <c r="C692" s="199" t="s">
        <v>169</v>
      </c>
      <c r="D692" s="200" t="s">
        <v>164</v>
      </c>
      <c r="E692" s="213">
        <v>0</v>
      </c>
      <c r="F692" s="201">
        <v>1</v>
      </c>
      <c r="G692" s="201">
        <v>1</v>
      </c>
      <c r="H692" s="201">
        <v>0</v>
      </c>
      <c r="I692" s="201">
        <v>1</v>
      </c>
      <c r="J692" s="201">
        <v>1</v>
      </c>
      <c r="K692" s="201">
        <v>0</v>
      </c>
      <c r="L692" s="201">
        <v>2</v>
      </c>
      <c r="M692" s="330">
        <v>1</v>
      </c>
      <c r="N692" s="202">
        <v>0</v>
      </c>
    </row>
    <row r="693" spans="1:14" ht="15.75" customHeight="1">
      <c r="A693" s="198" t="s">
        <v>159</v>
      </c>
      <c r="B693" s="199" t="s">
        <v>184</v>
      </c>
      <c r="C693" s="199" t="s">
        <v>169</v>
      </c>
      <c r="D693" s="200" t="s">
        <v>165</v>
      </c>
      <c r="E693" s="213">
        <v>0</v>
      </c>
      <c r="F693" s="201">
        <v>40</v>
      </c>
      <c r="G693" s="201">
        <v>9</v>
      </c>
      <c r="H693" s="201">
        <v>17</v>
      </c>
      <c r="I693" s="201">
        <v>1</v>
      </c>
      <c r="J693" s="201">
        <v>6</v>
      </c>
      <c r="K693" s="201">
        <v>8</v>
      </c>
      <c r="L693" s="201">
        <v>1</v>
      </c>
      <c r="M693" s="330">
        <v>2</v>
      </c>
      <c r="N693" s="202">
        <v>0</v>
      </c>
    </row>
    <row r="694" spans="1:14" ht="15.75" customHeight="1">
      <c r="A694" s="198" t="s">
        <v>159</v>
      </c>
      <c r="B694" s="199" t="s">
        <v>184</v>
      </c>
      <c r="C694" s="199" t="s">
        <v>169</v>
      </c>
      <c r="D694" s="203" t="s">
        <v>91</v>
      </c>
      <c r="E694" s="214">
        <v>0</v>
      </c>
      <c r="F694" s="204">
        <v>41</v>
      </c>
      <c r="G694" s="204">
        <v>10</v>
      </c>
      <c r="H694" s="204">
        <v>17</v>
      </c>
      <c r="I694" s="204">
        <v>2</v>
      </c>
      <c r="J694" s="204">
        <v>7</v>
      </c>
      <c r="K694" s="204">
        <v>8</v>
      </c>
      <c r="L694" s="204">
        <v>3</v>
      </c>
      <c r="M694" s="331">
        <v>3</v>
      </c>
      <c r="N694" s="202">
        <v>0</v>
      </c>
    </row>
    <row r="695" spans="1:14" ht="15.75" customHeight="1">
      <c r="A695" s="198" t="s">
        <v>159</v>
      </c>
      <c r="B695" s="199" t="s">
        <v>184</v>
      </c>
      <c r="C695" s="199" t="s">
        <v>139</v>
      </c>
      <c r="D695" s="200" t="s">
        <v>162</v>
      </c>
      <c r="E695" s="213">
        <v>0</v>
      </c>
      <c r="F695" s="201">
        <v>0</v>
      </c>
      <c r="G695" s="201">
        <v>0</v>
      </c>
      <c r="H695" s="201">
        <v>0</v>
      </c>
      <c r="I695" s="201">
        <v>0</v>
      </c>
      <c r="J695" s="201">
        <v>0</v>
      </c>
      <c r="K695" s="201">
        <v>0</v>
      </c>
      <c r="L695" s="201">
        <v>0</v>
      </c>
      <c r="M695" s="330" t="s">
        <v>172</v>
      </c>
      <c r="N695" s="202">
        <v>0</v>
      </c>
    </row>
    <row r="696" spans="1:14">
      <c r="A696" s="198" t="s">
        <v>159</v>
      </c>
      <c r="B696" s="199" t="s">
        <v>184</v>
      </c>
      <c r="C696" s="199" t="s">
        <v>139</v>
      </c>
      <c r="D696" s="200" t="s">
        <v>163</v>
      </c>
      <c r="E696" s="213">
        <v>1</v>
      </c>
      <c r="F696" s="201">
        <v>0</v>
      </c>
      <c r="G696" s="201">
        <v>0</v>
      </c>
      <c r="H696" s="201">
        <v>0</v>
      </c>
      <c r="I696" s="201">
        <v>0</v>
      </c>
      <c r="J696" s="201">
        <v>0</v>
      </c>
      <c r="K696" s="201">
        <v>0</v>
      </c>
      <c r="L696" s="201">
        <v>0</v>
      </c>
      <c r="M696" s="330">
        <v>0</v>
      </c>
      <c r="N696" s="202">
        <v>-1</v>
      </c>
    </row>
    <row r="697" spans="1:14" ht="15.75" customHeight="1">
      <c r="A697" s="198" t="s">
        <v>159</v>
      </c>
      <c r="B697" s="199" t="s">
        <v>184</v>
      </c>
      <c r="C697" s="199" t="s">
        <v>139</v>
      </c>
      <c r="D697" s="200" t="s">
        <v>164</v>
      </c>
      <c r="E697" s="213">
        <v>1</v>
      </c>
      <c r="F697" s="201">
        <v>0</v>
      </c>
      <c r="G697" s="201">
        <v>0</v>
      </c>
      <c r="H697" s="201">
        <v>0</v>
      </c>
      <c r="I697" s="201">
        <v>0</v>
      </c>
      <c r="J697" s="201">
        <v>0</v>
      </c>
      <c r="K697" s="201">
        <v>0</v>
      </c>
      <c r="L697" s="201">
        <v>0</v>
      </c>
      <c r="M697" s="330" t="s">
        <v>172</v>
      </c>
      <c r="N697" s="202">
        <v>-1</v>
      </c>
    </row>
    <row r="698" spans="1:14" ht="15.75" customHeight="1">
      <c r="A698" s="198" t="s">
        <v>159</v>
      </c>
      <c r="B698" s="199" t="s">
        <v>184</v>
      </c>
      <c r="C698" s="199" t="s">
        <v>139</v>
      </c>
      <c r="D698" s="200" t="s">
        <v>165</v>
      </c>
      <c r="E698" s="213">
        <v>15.8</v>
      </c>
      <c r="F698" s="201">
        <v>7</v>
      </c>
      <c r="G698" s="201">
        <v>10</v>
      </c>
      <c r="H698" s="201">
        <v>15</v>
      </c>
      <c r="I698" s="201">
        <v>6</v>
      </c>
      <c r="J698" s="201">
        <v>11</v>
      </c>
      <c r="K698" s="201">
        <v>8</v>
      </c>
      <c r="L698" s="201">
        <v>14</v>
      </c>
      <c r="M698" s="330">
        <v>8</v>
      </c>
      <c r="N698" s="202">
        <v>-0.49367088607594939</v>
      </c>
    </row>
    <row r="699" spans="1:14" ht="15.75" customHeight="1">
      <c r="A699" s="198" t="s">
        <v>159</v>
      </c>
      <c r="B699" s="199" t="s">
        <v>184</v>
      </c>
      <c r="C699" s="199" t="s">
        <v>139</v>
      </c>
      <c r="D699" s="203" t="s">
        <v>91</v>
      </c>
      <c r="E699" s="214">
        <v>16.8</v>
      </c>
      <c r="F699" s="204">
        <v>7</v>
      </c>
      <c r="G699" s="204">
        <v>10</v>
      </c>
      <c r="H699" s="204">
        <v>15</v>
      </c>
      <c r="I699" s="204">
        <v>6</v>
      </c>
      <c r="J699" s="204">
        <v>11</v>
      </c>
      <c r="K699" s="204">
        <v>8</v>
      </c>
      <c r="L699" s="204">
        <v>14</v>
      </c>
      <c r="M699" s="331">
        <v>8</v>
      </c>
      <c r="N699" s="202">
        <v>-0.52380952380952384</v>
      </c>
    </row>
    <row r="700" spans="1:14" ht="15.75" customHeight="1">
      <c r="A700" s="198" t="s">
        <v>159</v>
      </c>
      <c r="B700" s="199" t="s">
        <v>184</v>
      </c>
      <c r="C700" s="205" t="s">
        <v>91</v>
      </c>
      <c r="D700" s="203" t="s">
        <v>162</v>
      </c>
      <c r="E700" s="214">
        <v>3.6</v>
      </c>
      <c r="F700" s="204">
        <v>3</v>
      </c>
      <c r="G700" s="204">
        <v>2</v>
      </c>
      <c r="H700" s="204">
        <v>3</v>
      </c>
      <c r="I700" s="204">
        <v>1</v>
      </c>
      <c r="J700" s="204">
        <v>5</v>
      </c>
      <c r="K700" s="204">
        <v>2</v>
      </c>
      <c r="L700" s="204">
        <v>1</v>
      </c>
      <c r="M700" s="331">
        <v>3</v>
      </c>
      <c r="N700" s="202">
        <v>-0.16666666666666669</v>
      </c>
    </row>
    <row r="701" spans="1:14" ht="15.75" customHeight="1">
      <c r="A701" s="198" t="s">
        <v>159</v>
      </c>
      <c r="B701" s="199" t="s">
        <v>180</v>
      </c>
      <c r="C701" s="205" t="s">
        <v>91</v>
      </c>
      <c r="D701" s="203" t="s">
        <v>163</v>
      </c>
      <c r="E701" s="214">
        <v>148.69999999999999</v>
      </c>
      <c r="F701" s="204">
        <v>130</v>
      </c>
      <c r="G701" s="204">
        <v>126</v>
      </c>
      <c r="H701" s="204">
        <v>121</v>
      </c>
      <c r="I701" s="204">
        <v>100</v>
      </c>
      <c r="J701" s="204">
        <v>99</v>
      </c>
      <c r="K701" s="204">
        <v>121</v>
      </c>
      <c r="L701" s="204">
        <v>97</v>
      </c>
      <c r="M701" s="331">
        <v>118</v>
      </c>
      <c r="N701" s="202">
        <v>-0.20645595158036309</v>
      </c>
    </row>
    <row r="702" spans="1:14" ht="15.75" customHeight="1">
      <c r="A702" s="198" t="s">
        <v>159</v>
      </c>
      <c r="B702" s="199" t="s">
        <v>184</v>
      </c>
      <c r="C702" s="205" t="s">
        <v>91</v>
      </c>
      <c r="D702" s="203" t="s">
        <v>164</v>
      </c>
      <c r="E702" s="214">
        <v>161.19999999999999</v>
      </c>
      <c r="F702" s="204">
        <v>135</v>
      </c>
      <c r="G702" s="204">
        <v>116</v>
      </c>
      <c r="H702" s="204">
        <v>107</v>
      </c>
      <c r="I702" s="204">
        <v>80</v>
      </c>
      <c r="J702" s="204">
        <v>95</v>
      </c>
      <c r="K702" s="204">
        <v>115</v>
      </c>
      <c r="L702" s="204">
        <v>110</v>
      </c>
      <c r="M702" s="331">
        <v>95</v>
      </c>
      <c r="N702" s="202">
        <v>-0.41066997518610415</v>
      </c>
    </row>
    <row r="703" spans="1:14" ht="15.75" customHeight="1">
      <c r="A703" s="198" t="s">
        <v>159</v>
      </c>
      <c r="B703" s="199" t="s">
        <v>184</v>
      </c>
      <c r="C703" s="205" t="s">
        <v>91</v>
      </c>
      <c r="D703" s="203" t="s">
        <v>165</v>
      </c>
      <c r="E703" s="214">
        <v>884.7</v>
      </c>
      <c r="F703" s="204">
        <v>1127</v>
      </c>
      <c r="G703" s="204">
        <v>900</v>
      </c>
      <c r="H703" s="204">
        <v>910</v>
      </c>
      <c r="I703" s="204">
        <v>746</v>
      </c>
      <c r="J703" s="204">
        <v>849</v>
      </c>
      <c r="K703" s="204">
        <v>851</v>
      </c>
      <c r="L703" s="204">
        <v>992</v>
      </c>
      <c r="M703" s="331">
        <v>751</v>
      </c>
      <c r="N703" s="202">
        <v>-0.15112467503108404</v>
      </c>
    </row>
    <row r="704" spans="1:14" ht="15.75" customHeight="1">
      <c r="A704" s="198" t="s">
        <v>159</v>
      </c>
      <c r="B704" s="199" t="s">
        <v>184</v>
      </c>
      <c r="C704" s="205" t="s">
        <v>91</v>
      </c>
      <c r="D704" s="203" t="s">
        <v>91</v>
      </c>
      <c r="E704" s="214">
        <v>1049.5999999999999</v>
      </c>
      <c r="F704" s="204">
        <v>1265</v>
      </c>
      <c r="G704" s="204">
        <v>1018</v>
      </c>
      <c r="H704" s="204">
        <v>1020</v>
      </c>
      <c r="I704" s="204">
        <v>827</v>
      </c>
      <c r="J704" s="204">
        <v>949</v>
      </c>
      <c r="K704" s="204">
        <v>968</v>
      </c>
      <c r="L704" s="204">
        <v>1103</v>
      </c>
      <c r="M704" s="331">
        <v>849</v>
      </c>
      <c r="N704" s="202">
        <v>-0.19112042682926822</v>
      </c>
    </row>
    <row r="705" spans="1:14" ht="15.75" customHeight="1">
      <c r="A705" s="198" t="s">
        <v>159</v>
      </c>
      <c r="B705" s="199" t="s">
        <v>185</v>
      </c>
      <c r="C705" s="199" t="s">
        <v>161</v>
      </c>
      <c r="D705" s="200" t="s">
        <v>162</v>
      </c>
      <c r="E705" s="213">
        <v>0</v>
      </c>
      <c r="F705" s="201">
        <v>0</v>
      </c>
      <c r="G705" s="201">
        <v>0</v>
      </c>
      <c r="H705" s="201">
        <v>0</v>
      </c>
      <c r="I705" s="201">
        <v>0</v>
      </c>
      <c r="J705" s="201">
        <v>0</v>
      </c>
      <c r="K705" s="201">
        <v>0</v>
      </c>
      <c r="L705" s="201">
        <v>0</v>
      </c>
      <c r="M705" s="330" t="s">
        <v>172</v>
      </c>
      <c r="N705" s="202">
        <v>0</v>
      </c>
    </row>
    <row r="706" spans="1:14">
      <c r="A706" s="198" t="s">
        <v>159</v>
      </c>
      <c r="B706" s="199" t="s">
        <v>185</v>
      </c>
      <c r="C706" s="199" t="s">
        <v>161</v>
      </c>
      <c r="D706" s="200" t="s">
        <v>163</v>
      </c>
      <c r="E706" s="213">
        <v>4.0999999999999996</v>
      </c>
      <c r="F706" s="201">
        <v>2</v>
      </c>
      <c r="G706" s="201">
        <v>1</v>
      </c>
      <c r="H706" s="201">
        <v>0</v>
      </c>
      <c r="I706" s="201">
        <v>1</v>
      </c>
      <c r="J706" s="201">
        <v>0</v>
      </c>
      <c r="K706" s="201">
        <v>1</v>
      </c>
      <c r="L706" s="201">
        <v>3</v>
      </c>
      <c r="M706" s="330">
        <v>2</v>
      </c>
      <c r="N706" s="202">
        <v>-0.51219512195121952</v>
      </c>
    </row>
    <row r="707" spans="1:14" ht="15.75" customHeight="1">
      <c r="A707" s="198" t="s">
        <v>159</v>
      </c>
      <c r="B707" s="199" t="s">
        <v>185</v>
      </c>
      <c r="C707" s="199" t="s">
        <v>161</v>
      </c>
      <c r="D707" s="200" t="s">
        <v>164</v>
      </c>
      <c r="E707" s="213">
        <v>4.0999999999999996</v>
      </c>
      <c r="F707" s="201">
        <v>2</v>
      </c>
      <c r="G707" s="201">
        <v>1</v>
      </c>
      <c r="H707" s="201">
        <v>0</v>
      </c>
      <c r="I707" s="201">
        <v>1</v>
      </c>
      <c r="J707" s="201">
        <v>0</v>
      </c>
      <c r="K707" s="201">
        <v>1</v>
      </c>
      <c r="L707" s="201">
        <v>3</v>
      </c>
      <c r="M707" s="330">
        <v>2</v>
      </c>
      <c r="N707" s="202">
        <v>-0.51219512195121952</v>
      </c>
    </row>
    <row r="708" spans="1:14" ht="15.75" customHeight="1">
      <c r="A708" s="198" t="s">
        <v>159</v>
      </c>
      <c r="B708" s="199" t="s">
        <v>185</v>
      </c>
      <c r="C708" s="199" t="s">
        <v>161</v>
      </c>
      <c r="D708" s="200" t="s">
        <v>165</v>
      </c>
      <c r="E708" s="213">
        <v>19.100000000000001</v>
      </c>
      <c r="F708" s="201">
        <v>19</v>
      </c>
      <c r="G708" s="201">
        <v>14</v>
      </c>
      <c r="H708" s="201">
        <v>13</v>
      </c>
      <c r="I708" s="201">
        <v>10</v>
      </c>
      <c r="J708" s="201">
        <v>6</v>
      </c>
      <c r="K708" s="201">
        <v>17</v>
      </c>
      <c r="L708" s="201">
        <v>11</v>
      </c>
      <c r="M708" s="330">
        <v>13</v>
      </c>
      <c r="N708" s="202">
        <v>-0.31937172774869116</v>
      </c>
    </row>
    <row r="709" spans="1:14" ht="15.75" customHeight="1">
      <c r="A709" s="198" t="s">
        <v>159</v>
      </c>
      <c r="B709" s="199" t="s">
        <v>185</v>
      </c>
      <c r="C709" s="199" t="s">
        <v>161</v>
      </c>
      <c r="D709" s="203" t="s">
        <v>91</v>
      </c>
      <c r="E709" s="214">
        <v>23.2</v>
      </c>
      <c r="F709" s="204">
        <v>21</v>
      </c>
      <c r="G709" s="204">
        <v>15</v>
      </c>
      <c r="H709" s="204">
        <v>13</v>
      </c>
      <c r="I709" s="204">
        <v>11</v>
      </c>
      <c r="J709" s="204">
        <v>6</v>
      </c>
      <c r="K709" s="204">
        <v>18</v>
      </c>
      <c r="L709" s="204">
        <v>14</v>
      </c>
      <c r="M709" s="331">
        <v>15</v>
      </c>
      <c r="N709" s="202">
        <v>-0.35344827586206895</v>
      </c>
    </row>
    <row r="710" spans="1:14" ht="15.75" customHeight="1">
      <c r="A710" s="198" t="s">
        <v>159</v>
      </c>
      <c r="B710" s="199" t="s">
        <v>185</v>
      </c>
      <c r="C710" s="199" t="s">
        <v>134</v>
      </c>
      <c r="D710" s="200" t="s">
        <v>162</v>
      </c>
      <c r="E710" s="213">
        <v>0.4</v>
      </c>
      <c r="F710" s="201">
        <v>0</v>
      </c>
      <c r="G710" s="201">
        <v>0</v>
      </c>
      <c r="H710" s="201">
        <v>0</v>
      </c>
      <c r="I710" s="201">
        <v>1</v>
      </c>
      <c r="J710" s="201">
        <v>0</v>
      </c>
      <c r="K710" s="201">
        <v>1</v>
      </c>
      <c r="L710" s="201">
        <v>1</v>
      </c>
      <c r="M710" s="330" t="s">
        <v>172</v>
      </c>
      <c r="N710" s="202">
        <v>-1</v>
      </c>
    </row>
    <row r="711" spans="1:14" ht="15.75" customHeight="1">
      <c r="A711" s="198" t="s">
        <v>159</v>
      </c>
      <c r="B711" s="199" t="s">
        <v>185</v>
      </c>
      <c r="C711" s="199" t="s">
        <v>134</v>
      </c>
      <c r="D711" s="200" t="s">
        <v>163</v>
      </c>
      <c r="E711" s="213">
        <v>23.6</v>
      </c>
      <c r="F711" s="201">
        <v>17</v>
      </c>
      <c r="G711" s="201">
        <v>20</v>
      </c>
      <c r="H711" s="201">
        <v>13</v>
      </c>
      <c r="I711" s="201">
        <v>7</v>
      </c>
      <c r="J711" s="201">
        <v>11</v>
      </c>
      <c r="K711" s="201">
        <v>17</v>
      </c>
      <c r="L711" s="201">
        <v>7</v>
      </c>
      <c r="M711" s="330">
        <v>10</v>
      </c>
      <c r="N711" s="202">
        <v>-0.57627118644067798</v>
      </c>
    </row>
    <row r="712" spans="1:14" ht="15.75" customHeight="1">
      <c r="A712" s="198" t="s">
        <v>159</v>
      </c>
      <c r="B712" s="199" t="s">
        <v>185</v>
      </c>
      <c r="C712" s="199" t="s">
        <v>134</v>
      </c>
      <c r="D712" s="200" t="s">
        <v>164</v>
      </c>
      <c r="E712" s="213">
        <v>23.2</v>
      </c>
      <c r="F712" s="201">
        <v>17</v>
      </c>
      <c r="G712" s="201">
        <v>20</v>
      </c>
      <c r="H712" s="201">
        <v>13</v>
      </c>
      <c r="I712" s="201">
        <v>6</v>
      </c>
      <c r="J712" s="201">
        <v>11</v>
      </c>
      <c r="K712" s="201">
        <v>16</v>
      </c>
      <c r="L712" s="201">
        <v>6</v>
      </c>
      <c r="M712" s="330">
        <v>10</v>
      </c>
      <c r="N712" s="202">
        <v>-0.56896551724137934</v>
      </c>
    </row>
    <row r="713" spans="1:14" ht="15.75" customHeight="1">
      <c r="A713" s="198" t="s">
        <v>159</v>
      </c>
      <c r="B713" s="199" t="s">
        <v>185</v>
      </c>
      <c r="C713" s="199" t="s">
        <v>134</v>
      </c>
      <c r="D713" s="200" t="s">
        <v>165</v>
      </c>
      <c r="E713" s="213">
        <v>276.3</v>
      </c>
      <c r="F713" s="201">
        <v>239</v>
      </c>
      <c r="G713" s="201">
        <v>227</v>
      </c>
      <c r="H713" s="201">
        <v>243</v>
      </c>
      <c r="I713" s="201">
        <v>179</v>
      </c>
      <c r="J713" s="201">
        <v>200</v>
      </c>
      <c r="K713" s="201">
        <v>210</v>
      </c>
      <c r="L713" s="201">
        <v>174</v>
      </c>
      <c r="M713" s="330">
        <v>162</v>
      </c>
      <c r="N713" s="202">
        <v>-0.41368078175895767</v>
      </c>
    </row>
    <row r="714" spans="1:14" ht="15.75" customHeight="1">
      <c r="A714" s="198" t="s">
        <v>159</v>
      </c>
      <c r="B714" s="199" t="s">
        <v>185</v>
      </c>
      <c r="C714" s="199" t="s">
        <v>134</v>
      </c>
      <c r="D714" s="203" t="s">
        <v>91</v>
      </c>
      <c r="E714" s="214">
        <v>299.89999999999998</v>
      </c>
      <c r="F714" s="204">
        <v>256</v>
      </c>
      <c r="G714" s="204">
        <v>247</v>
      </c>
      <c r="H714" s="204">
        <v>256</v>
      </c>
      <c r="I714" s="204">
        <v>186</v>
      </c>
      <c r="J714" s="204">
        <v>211</v>
      </c>
      <c r="K714" s="204">
        <v>227</v>
      </c>
      <c r="L714" s="204">
        <v>181</v>
      </c>
      <c r="M714" s="331">
        <v>172</v>
      </c>
      <c r="N714" s="202">
        <v>-0.42647549183061018</v>
      </c>
    </row>
    <row r="715" spans="1:14" ht="15.75" customHeight="1">
      <c r="A715" s="198" t="s">
        <v>159</v>
      </c>
      <c r="B715" s="199" t="s">
        <v>185</v>
      </c>
      <c r="C715" s="199" t="s">
        <v>166</v>
      </c>
      <c r="D715" s="200" t="s">
        <v>162</v>
      </c>
      <c r="E715" s="213">
        <v>0</v>
      </c>
      <c r="F715" s="201">
        <v>0</v>
      </c>
      <c r="G715" s="201">
        <v>0</v>
      </c>
      <c r="H715" s="201">
        <v>0</v>
      </c>
      <c r="I715" s="201">
        <v>0</v>
      </c>
      <c r="J715" s="201">
        <v>0</v>
      </c>
      <c r="K715" s="201">
        <v>0</v>
      </c>
      <c r="L715" s="201">
        <v>0</v>
      </c>
      <c r="M715" s="330" t="s">
        <v>172</v>
      </c>
      <c r="N715" s="202">
        <v>0</v>
      </c>
    </row>
    <row r="716" spans="1:14">
      <c r="A716" s="198" t="s">
        <v>159</v>
      </c>
      <c r="B716" s="199" t="s">
        <v>185</v>
      </c>
      <c r="C716" s="199" t="s">
        <v>166</v>
      </c>
      <c r="D716" s="200" t="s">
        <v>163</v>
      </c>
      <c r="E716" s="213">
        <v>0.4</v>
      </c>
      <c r="F716" s="201">
        <v>0</v>
      </c>
      <c r="G716" s="201">
        <v>0</v>
      </c>
      <c r="H716" s="201">
        <v>0</v>
      </c>
      <c r="I716" s="201">
        <v>0</v>
      </c>
      <c r="J716" s="201">
        <v>0</v>
      </c>
      <c r="K716" s="201">
        <v>1</v>
      </c>
      <c r="L716" s="201">
        <v>0</v>
      </c>
      <c r="M716" s="330">
        <v>0</v>
      </c>
      <c r="N716" s="202">
        <v>-1</v>
      </c>
    </row>
    <row r="717" spans="1:14" ht="15.75" customHeight="1">
      <c r="A717" s="198" t="s">
        <v>159</v>
      </c>
      <c r="B717" s="199" t="s">
        <v>185</v>
      </c>
      <c r="C717" s="199" t="s">
        <v>166</v>
      </c>
      <c r="D717" s="200" t="s">
        <v>164</v>
      </c>
      <c r="E717" s="213">
        <v>0.4</v>
      </c>
      <c r="F717" s="201">
        <v>0</v>
      </c>
      <c r="G717" s="201">
        <v>0</v>
      </c>
      <c r="H717" s="201">
        <v>0</v>
      </c>
      <c r="I717" s="201">
        <v>0</v>
      </c>
      <c r="J717" s="201">
        <v>0</v>
      </c>
      <c r="K717" s="201">
        <v>1</v>
      </c>
      <c r="L717" s="201">
        <v>0</v>
      </c>
      <c r="M717" s="330" t="s">
        <v>172</v>
      </c>
      <c r="N717" s="202">
        <v>-1</v>
      </c>
    </row>
    <row r="718" spans="1:14" ht="15.75" customHeight="1">
      <c r="A718" s="198" t="s">
        <v>159</v>
      </c>
      <c r="B718" s="199" t="s">
        <v>185</v>
      </c>
      <c r="C718" s="199" t="s">
        <v>166</v>
      </c>
      <c r="D718" s="200" t="s">
        <v>165</v>
      </c>
      <c r="E718" s="213">
        <v>8.1</v>
      </c>
      <c r="F718" s="201">
        <v>10</v>
      </c>
      <c r="G718" s="201">
        <v>13</v>
      </c>
      <c r="H718" s="201">
        <v>2</v>
      </c>
      <c r="I718" s="201">
        <v>12</v>
      </c>
      <c r="J718" s="201">
        <v>4</v>
      </c>
      <c r="K718" s="201">
        <v>6</v>
      </c>
      <c r="L718" s="201">
        <v>6</v>
      </c>
      <c r="M718" s="330">
        <v>6</v>
      </c>
      <c r="N718" s="202">
        <v>-0.25925925925925924</v>
      </c>
    </row>
    <row r="719" spans="1:14" ht="15.75" customHeight="1">
      <c r="A719" s="198" t="s">
        <v>159</v>
      </c>
      <c r="B719" s="199" t="s">
        <v>185</v>
      </c>
      <c r="C719" s="199" t="s">
        <v>166</v>
      </c>
      <c r="D719" s="203" t="s">
        <v>91</v>
      </c>
      <c r="E719" s="214">
        <v>8.5</v>
      </c>
      <c r="F719" s="204">
        <v>10</v>
      </c>
      <c r="G719" s="204">
        <v>13</v>
      </c>
      <c r="H719" s="204">
        <v>2</v>
      </c>
      <c r="I719" s="204">
        <v>12</v>
      </c>
      <c r="J719" s="204">
        <v>4</v>
      </c>
      <c r="K719" s="204">
        <v>7</v>
      </c>
      <c r="L719" s="204">
        <v>6</v>
      </c>
      <c r="M719" s="331">
        <v>6</v>
      </c>
      <c r="N719" s="202">
        <v>-0.29411764705882354</v>
      </c>
    </row>
    <row r="720" spans="1:14" ht="15.75" customHeight="1">
      <c r="A720" s="198" t="s">
        <v>159</v>
      </c>
      <c r="B720" s="199" t="s">
        <v>185</v>
      </c>
      <c r="C720" s="199" t="s">
        <v>133</v>
      </c>
      <c r="D720" s="200" t="s">
        <v>162</v>
      </c>
      <c r="E720" s="213">
        <v>0.4</v>
      </c>
      <c r="F720" s="201">
        <v>0</v>
      </c>
      <c r="G720" s="201">
        <v>0</v>
      </c>
      <c r="H720" s="201">
        <v>1</v>
      </c>
      <c r="I720" s="201">
        <v>1</v>
      </c>
      <c r="J720" s="201">
        <v>0</v>
      </c>
      <c r="K720" s="201">
        <v>0</v>
      </c>
      <c r="L720" s="201">
        <v>0</v>
      </c>
      <c r="M720" s="330" t="s">
        <v>172</v>
      </c>
      <c r="N720" s="202">
        <v>-1</v>
      </c>
    </row>
    <row r="721" spans="1:14">
      <c r="A721" s="198" t="s">
        <v>159</v>
      </c>
      <c r="B721" s="199" t="s">
        <v>185</v>
      </c>
      <c r="C721" s="199" t="s">
        <v>133</v>
      </c>
      <c r="D721" s="200" t="s">
        <v>163</v>
      </c>
      <c r="E721" s="213">
        <v>12.2</v>
      </c>
      <c r="F721" s="201">
        <v>18</v>
      </c>
      <c r="G721" s="201">
        <v>16</v>
      </c>
      <c r="H721" s="201">
        <v>18</v>
      </c>
      <c r="I721" s="201">
        <v>12</v>
      </c>
      <c r="J721" s="201">
        <v>10</v>
      </c>
      <c r="K721" s="201">
        <v>7</v>
      </c>
      <c r="L721" s="201">
        <v>9</v>
      </c>
      <c r="M721" s="330">
        <v>17</v>
      </c>
      <c r="N721" s="202">
        <v>0.39344262295081978</v>
      </c>
    </row>
    <row r="722" spans="1:14" ht="15.75" customHeight="1">
      <c r="A722" s="198" t="s">
        <v>159</v>
      </c>
      <c r="B722" s="199" t="s">
        <v>185</v>
      </c>
      <c r="C722" s="199" t="s">
        <v>133</v>
      </c>
      <c r="D722" s="200" t="s">
        <v>164</v>
      </c>
      <c r="E722" s="213">
        <v>11.8</v>
      </c>
      <c r="F722" s="201">
        <v>18</v>
      </c>
      <c r="G722" s="201">
        <v>16</v>
      </c>
      <c r="H722" s="201">
        <v>17</v>
      </c>
      <c r="I722" s="201">
        <v>11</v>
      </c>
      <c r="J722" s="201">
        <v>10</v>
      </c>
      <c r="K722" s="201">
        <v>7</v>
      </c>
      <c r="L722" s="201">
        <v>9</v>
      </c>
      <c r="M722" s="330">
        <v>17</v>
      </c>
      <c r="N722" s="202">
        <v>0.44067796610169485</v>
      </c>
    </row>
    <row r="723" spans="1:14" ht="15.75" customHeight="1">
      <c r="A723" s="198" t="s">
        <v>159</v>
      </c>
      <c r="B723" s="199" t="s">
        <v>185</v>
      </c>
      <c r="C723" s="199" t="s">
        <v>133</v>
      </c>
      <c r="D723" s="200" t="s">
        <v>165</v>
      </c>
      <c r="E723" s="213">
        <v>38.9</v>
      </c>
      <c r="F723" s="201">
        <v>45</v>
      </c>
      <c r="G723" s="201">
        <v>48</v>
      </c>
      <c r="H723" s="201">
        <v>60</v>
      </c>
      <c r="I723" s="201">
        <v>58</v>
      </c>
      <c r="J723" s="201">
        <v>63</v>
      </c>
      <c r="K723" s="201">
        <v>87</v>
      </c>
      <c r="L723" s="201">
        <v>90</v>
      </c>
      <c r="M723" s="330">
        <v>66</v>
      </c>
      <c r="N723" s="202">
        <v>0.69665809768637543</v>
      </c>
    </row>
    <row r="724" spans="1:14" ht="15.75" customHeight="1">
      <c r="A724" s="198" t="s">
        <v>159</v>
      </c>
      <c r="B724" s="199" t="s">
        <v>185</v>
      </c>
      <c r="C724" s="199" t="s">
        <v>133</v>
      </c>
      <c r="D724" s="203" t="s">
        <v>91</v>
      </c>
      <c r="E724" s="214">
        <v>51.1</v>
      </c>
      <c r="F724" s="204">
        <v>63</v>
      </c>
      <c r="G724" s="204">
        <v>64</v>
      </c>
      <c r="H724" s="204">
        <v>78</v>
      </c>
      <c r="I724" s="204">
        <v>70</v>
      </c>
      <c r="J724" s="204">
        <v>73</v>
      </c>
      <c r="K724" s="204">
        <v>94</v>
      </c>
      <c r="L724" s="204">
        <v>99</v>
      </c>
      <c r="M724" s="331">
        <v>83</v>
      </c>
      <c r="N724" s="202">
        <v>0.62426614481408993</v>
      </c>
    </row>
    <row r="725" spans="1:14" ht="15.75" customHeight="1">
      <c r="A725" s="198" t="s">
        <v>159</v>
      </c>
      <c r="B725" s="199" t="s">
        <v>185</v>
      </c>
      <c r="C725" s="199" t="s">
        <v>167</v>
      </c>
      <c r="D725" s="200" t="s">
        <v>162</v>
      </c>
      <c r="E725" s="213">
        <v>0.2</v>
      </c>
      <c r="F725" s="201">
        <v>0</v>
      </c>
      <c r="G725" s="201">
        <v>0</v>
      </c>
      <c r="H725" s="201">
        <v>0</v>
      </c>
      <c r="I725" s="201">
        <v>0</v>
      </c>
      <c r="J725" s="201">
        <v>0</v>
      </c>
      <c r="K725" s="201">
        <v>0</v>
      </c>
      <c r="L725" s="201">
        <v>0</v>
      </c>
      <c r="M725" s="330" t="s">
        <v>172</v>
      </c>
      <c r="N725" s="202">
        <v>-1</v>
      </c>
    </row>
    <row r="726" spans="1:14" ht="15.75" customHeight="1">
      <c r="A726" s="198" t="s">
        <v>159</v>
      </c>
      <c r="B726" s="199" t="s">
        <v>185</v>
      </c>
      <c r="C726" s="199" t="s">
        <v>167</v>
      </c>
      <c r="D726" s="200" t="s">
        <v>163</v>
      </c>
      <c r="E726" s="213">
        <v>0.3</v>
      </c>
      <c r="F726" s="201">
        <v>0</v>
      </c>
      <c r="G726" s="201">
        <v>0</v>
      </c>
      <c r="H726" s="201">
        <v>0</v>
      </c>
      <c r="I726" s="201">
        <v>0</v>
      </c>
      <c r="J726" s="201">
        <v>0</v>
      </c>
      <c r="K726" s="201">
        <v>1</v>
      </c>
      <c r="L726" s="201">
        <v>1</v>
      </c>
      <c r="M726" s="330">
        <v>0</v>
      </c>
      <c r="N726" s="202">
        <v>-1</v>
      </c>
    </row>
    <row r="727" spans="1:14" ht="15.75" customHeight="1">
      <c r="A727" s="198" t="s">
        <v>159</v>
      </c>
      <c r="B727" s="199" t="s">
        <v>185</v>
      </c>
      <c r="C727" s="199" t="s">
        <v>167</v>
      </c>
      <c r="D727" s="200" t="s">
        <v>164</v>
      </c>
      <c r="E727" s="213">
        <v>0.1</v>
      </c>
      <c r="F727" s="201">
        <v>0</v>
      </c>
      <c r="G727" s="201">
        <v>0</v>
      </c>
      <c r="H727" s="201">
        <v>0</v>
      </c>
      <c r="I727" s="201">
        <v>0</v>
      </c>
      <c r="J727" s="201">
        <v>0</v>
      </c>
      <c r="K727" s="201">
        <v>1</v>
      </c>
      <c r="L727" s="201">
        <v>1</v>
      </c>
      <c r="M727" s="330" t="s">
        <v>172</v>
      </c>
      <c r="N727" s="202">
        <v>-1</v>
      </c>
    </row>
    <row r="728" spans="1:14" ht="15.75" customHeight="1">
      <c r="A728" s="198" t="s">
        <v>159</v>
      </c>
      <c r="B728" s="199" t="s">
        <v>185</v>
      </c>
      <c r="C728" s="199" t="s">
        <v>167</v>
      </c>
      <c r="D728" s="200" t="s">
        <v>165</v>
      </c>
      <c r="E728" s="213">
        <v>1.6</v>
      </c>
      <c r="F728" s="201">
        <v>1</v>
      </c>
      <c r="G728" s="201">
        <v>1</v>
      </c>
      <c r="H728" s="201">
        <v>3</v>
      </c>
      <c r="I728" s="201">
        <v>4</v>
      </c>
      <c r="J728" s="201">
        <v>3</v>
      </c>
      <c r="K728" s="201">
        <v>3</v>
      </c>
      <c r="L728" s="201">
        <v>3</v>
      </c>
      <c r="M728" s="330">
        <v>4</v>
      </c>
      <c r="N728" s="202">
        <v>1.4999999999999998</v>
      </c>
    </row>
    <row r="729" spans="1:14" ht="15.75" customHeight="1">
      <c r="A729" s="198" t="s">
        <v>159</v>
      </c>
      <c r="B729" s="199" t="s">
        <v>185</v>
      </c>
      <c r="C729" s="199" t="s">
        <v>167</v>
      </c>
      <c r="D729" s="203" t="s">
        <v>91</v>
      </c>
      <c r="E729" s="214">
        <v>2</v>
      </c>
      <c r="F729" s="204">
        <v>1</v>
      </c>
      <c r="G729" s="204">
        <v>1</v>
      </c>
      <c r="H729" s="204">
        <v>3</v>
      </c>
      <c r="I729" s="204">
        <v>4</v>
      </c>
      <c r="J729" s="204">
        <v>3</v>
      </c>
      <c r="K729" s="204">
        <v>4</v>
      </c>
      <c r="L729" s="204">
        <v>4</v>
      </c>
      <c r="M729" s="331">
        <v>4</v>
      </c>
      <c r="N729" s="202">
        <v>1</v>
      </c>
    </row>
    <row r="730" spans="1:14" ht="15.75" customHeight="1">
      <c r="A730" s="198" t="s">
        <v>159</v>
      </c>
      <c r="B730" s="199" t="s">
        <v>185</v>
      </c>
      <c r="C730" s="199" t="s">
        <v>168</v>
      </c>
      <c r="D730" s="200" t="s">
        <v>162</v>
      </c>
      <c r="E730" s="213">
        <v>0.2</v>
      </c>
      <c r="F730" s="201">
        <v>0</v>
      </c>
      <c r="G730" s="201">
        <v>0</v>
      </c>
      <c r="H730" s="201">
        <v>0</v>
      </c>
      <c r="I730" s="201">
        <v>0</v>
      </c>
      <c r="J730" s="201">
        <v>1</v>
      </c>
      <c r="K730" s="201">
        <v>0</v>
      </c>
      <c r="L730" s="201">
        <v>1</v>
      </c>
      <c r="M730" s="330" t="s">
        <v>172</v>
      </c>
      <c r="N730" s="202">
        <v>-1</v>
      </c>
    </row>
    <row r="731" spans="1:14" ht="15.75" customHeight="1">
      <c r="A731" s="198" t="s">
        <v>159</v>
      </c>
      <c r="B731" s="199" t="s">
        <v>185</v>
      </c>
      <c r="C731" s="199" t="s">
        <v>168</v>
      </c>
      <c r="D731" s="200" t="s">
        <v>163</v>
      </c>
      <c r="E731" s="213">
        <v>7.3</v>
      </c>
      <c r="F731" s="201">
        <v>4</v>
      </c>
      <c r="G731" s="201">
        <v>7</v>
      </c>
      <c r="H731" s="201">
        <v>4</v>
      </c>
      <c r="I731" s="201">
        <v>11</v>
      </c>
      <c r="J731" s="201">
        <v>8</v>
      </c>
      <c r="K731" s="201">
        <v>11</v>
      </c>
      <c r="L731" s="201">
        <v>8</v>
      </c>
      <c r="M731" s="330">
        <v>4</v>
      </c>
      <c r="N731" s="202">
        <v>-0.45205479452054792</v>
      </c>
    </row>
    <row r="732" spans="1:14" ht="15.75" customHeight="1">
      <c r="A732" s="198" t="s">
        <v>159</v>
      </c>
      <c r="B732" s="199" t="s">
        <v>185</v>
      </c>
      <c r="C732" s="199" t="s">
        <v>168</v>
      </c>
      <c r="D732" s="200" t="s">
        <v>164</v>
      </c>
      <c r="E732" s="213">
        <v>7.1</v>
      </c>
      <c r="F732" s="201">
        <v>4</v>
      </c>
      <c r="G732" s="201">
        <v>7</v>
      </c>
      <c r="H732" s="201">
        <v>4</v>
      </c>
      <c r="I732" s="201">
        <v>11</v>
      </c>
      <c r="J732" s="201">
        <v>7</v>
      </c>
      <c r="K732" s="201">
        <v>11</v>
      </c>
      <c r="L732" s="201">
        <v>7</v>
      </c>
      <c r="M732" s="330">
        <v>4</v>
      </c>
      <c r="N732" s="202">
        <v>-0.43661971830985913</v>
      </c>
    </row>
    <row r="733" spans="1:14" ht="15.75" customHeight="1">
      <c r="A733" s="198" t="s">
        <v>159</v>
      </c>
      <c r="B733" s="199" t="s">
        <v>185</v>
      </c>
      <c r="C733" s="199" t="s">
        <v>168</v>
      </c>
      <c r="D733" s="200" t="s">
        <v>165</v>
      </c>
      <c r="E733" s="213">
        <v>33.9</v>
      </c>
      <c r="F733" s="201">
        <v>28</v>
      </c>
      <c r="G733" s="201">
        <v>33</v>
      </c>
      <c r="H733" s="201">
        <v>29</v>
      </c>
      <c r="I733" s="201">
        <v>39</v>
      </c>
      <c r="J733" s="201">
        <v>37</v>
      </c>
      <c r="K733" s="201">
        <v>28</v>
      </c>
      <c r="L733" s="201">
        <v>27</v>
      </c>
      <c r="M733" s="330">
        <v>28</v>
      </c>
      <c r="N733" s="202">
        <v>-0.1740412979351032</v>
      </c>
    </row>
    <row r="734" spans="1:14" ht="15.75" customHeight="1">
      <c r="A734" s="198" t="s">
        <v>159</v>
      </c>
      <c r="B734" s="199" t="s">
        <v>185</v>
      </c>
      <c r="C734" s="199" t="s">
        <v>168</v>
      </c>
      <c r="D734" s="203" t="s">
        <v>91</v>
      </c>
      <c r="E734" s="214">
        <v>41.3</v>
      </c>
      <c r="F734" s="204">
        <v>32</v>
      </c>
      <c r="G734" s="204">
        <v>40</v>
      </c>
      <c r="H734" s="204">
        <v>33</v>
      </c>
      <c r="I734" s="204">
        <v>50</v>
      </c>
      <c r="J734" s="204">
        <v>45</v>
      </c>
      <c r="K734" s="204">
        <v>39</v>
      </c>
      <c r="L734" s="204">
        <v>35</v>
      </c>
      <c r="M734" s="331">
        <v>32</v>
      </c>
      <c r="N734" s="202">
        <v>-0.22518159806295393</v>
      </c>
    </row>
    <row r="735" spans="1:14" ht="15.75" customHeight="1">
      <c r="A735" s="198" t="s">
        <v>159</v>
      </c>
      <c r="B735" s="199" t="s">
        <v>185</v>
      </c>
      <c r="C735" s="199" t="s">
        <v>131</v>
      </c>
      <c r="D735" s="200" t="s">
        <v>162</v>
      </c>
      <c r="E735" s="213">
        <v>1.2</v>
      </c>
      <c r="F735" s="201">
        <v>2</v>
      </c>
      <c r="G735" s="201">
        <v>0</v>
      </c>
      <c r="H735" s="201">
        <v>1</v>
      </c>
      <c r="I735" s="201">
        <v>1</v>
      </c>
      <c r="J735" s="201">
        <v>0</v>
      </c>
      <c r="K735" s="201">
        <v>2</v>
      </c>
      <c r="L735" s="201">
        <v>0</v>
      </c>
      <c r="M735" s="330" t="s">
        <v>172</v>
      </c>
      <c r="N735" s="202">
        <v>-1</v>
      </c>
    </row>
    <row r="736" spans="1:14" ht="15.75" customHeight="1">
      <c r="A736" s="198" t="s">
        <v>159</v>
      </c>
      <c r="B736" s="199" t="s">
        <v>185</v>
      </c>
      <c r="C736" s="199" t="s">
        <v>131</v>
      </c>
      <c r="D736" s="200" t="s">
        <v>163</v>
      </c>
      <c r="E736" s="213">
        <v>30.2</v>
      </c>
      <c r="F736" s="201">
        <v>28</v>
      </c>
      <c r="G736" s="201">
        <v>27</v>
      </c>
      <c r="H736" s="201">
        <v>21</v>
      </c>
      <c r="I736" s="201">
        <v>15</v>
      </c>
      <c r="J736" s="201">
        <v>13</v>
      </c>
      <c r="K736" s="201">
        <v>24</v>
      </c>
      <c r="L736" s="201">
        <v>23</v>
      </c>
      <c r="M736" s="330">
        <v>22</v>
      </c>
      <c r="N736" s="202">
        <v>-0.27152317880794702</v>
      </c>
    </row>
    <row r="737" spans="1:14" ht="15.75" customHeight="1">
      <c r="A737" s="198" t="s">
        <v>159</v>
      </c>
      <c r="B737" s="199" t="s">
        <v>185</v>
      </c>
      <c r="C737" s="199" t="s">
        <v>131</v>
      </c>
      <c r="D737" s="200" t="s">
        <v>164</v>
      </c>
      <c r="E737" s="213">
        <v>29</v>
      </c>
      <c r="F737" s="201">
        <v>26</v>
      </c>
      <c r="G737" s="201">
        <v>27</v>
      </c>
      <c r="H737" s="201">
        <v>20</v>
      </c>
      <c r="I737" s="201">
        <v>14</v>
      </c>
      <c r="J737" s="201">
        <v>13</v>
      </c>
      <c r="K737" s="201">
        <v>22</v>
      </c>
      <c r="L737" s="201">
        <v>23</v>
      </c>
      <c r="M737" s="330">
        <v>22</v>
      </c>
      <c r="N737" s="202">
        <v>-0.2413793103448276</v>
      </c>
    </row>
    <row r="738" spans="1:14" ht="15.75" customHeight="1">
      <c r="A738" s="198" t="s">
        <v>159</v>
      </c>
      <c r="B738" s="199" t="s">
        <v>185</v>
      </c>
      <c r="C738" s="199" t="s">
        <v>131</v>
      </c>
      <c r="D738" s="200" t="s">
        <v>165</v>
      </c>
      <c r="E738" s="213">
        <v>84.2</v>
      </c>
      <c r="F738" s="201">
        <v>102</v>
      </c>
      <c r="G738" s="201">
        <v>92</v>
      </c>
      <c r="H738" s="201">
        <v>86</v>
      </c>
      <c r="I738" s="201">
        <v>49</v>
      </c>
      <c r="J738" s="201">
        <v>56</v>
      </c>
      <c r="K738" s="201">
        <v>73</v>
      </c>
      <c r="L738" s="201">
        <v>68</v>
      </c>
      <c r="M738" s="330">
        <v>60</v>
      </c>
      <c r="N738" s="202">
        <v>-0.28741092636579574</v>
      </c>
    </row>
    <row r="739" spans="1:14" ht="15.75" customHeight="1">
      <c r="A739" s="198" t="s">
        <v>159</v>
      </c>
      <c r="B739" s="199" t="s">
        <v>185</v>
      </c>
      <c r="C739" s="199" t="s">
        <v>131</v>
      </c>
      <c r="D739" s="203" t="s">
        <v>91</v>
      </c>
      <c r="E739" s="214">
        <v>114.5</v>
      </c>
      <c r="F739" s="204">
        <v>130</v>
      </c>
      <c r="G739" s="204">
        <v>119</v>
      </c>
      <c r="H739" s="204">
        <v>107</v>
      </c>
      <c r="I739" s="204">
        <v>64</v>
      </c>
      <c r="J739" s="204">
        <v>69</v>
      </c>
      <c r="K739" s="204">
        <v>97</v>
      </c>
      <c r="L739" s="204">
        <v>91</v>
      </c>
      <c r="M739" s="331">
        <v>82</v>
      </c>
      <c r="N739" s="202">
        <v>-0.28384279475982532</v>
      </c>
    </row>
    <row r="740" spans="1:14" ht="15.75" customHeight="1">
      <c r="A740" s="198" t="s">
        <v>159</v>
      </c>
      <c r="B740" s="199" t="s">
        <v>185</v>
      </c>
      <c r="C740" s="199" t="s">
        <v>169</v>
      </c>
      <c r="D740" s="200" t="s">
        <v>162</v>
      </c>
      <c r="E740" s="213">
        <v>0</v>
      </c>
      <c r="F740" s="201">
        <v>0</v>
      </c>
      <c r="G740" s="201">
        <v>0</v>
      </c>
      <c r="H740" s="201">
        <v>0</v>
      </c>
      <c r="I740" s="201">
        <v>0</v>
      </c>
      <c r="J740" s="201">
        <v>0</v>
      </c>
      <c r="K740" s="201">
        <v>0</v>
      </c>
      <c r="L740" s="201">
        <v>0</v>
      </c>
      <c r="M740" s="330" t="s">
        <v>172</v>
      </c>
      <c r="N740" s="202">
        <v>0</v>
      </c>
    </row>
    <row r="741" spans="1:14" ht="15.75" customHeight="1">
      <c r="A741" s="198" t="s">
        <v>159</v>
      </c>
      <c r="B741" s="199" t="s">
        <v>185</v>
      </c>
      <c r="C741" s="199" t="s">
        <v>169</v>
      </c>
      <c r="D741" s="200" t="s">
        <v>163</v>
      </c>
      <c r="E741" s="213">
        <v>0</v>
      </c>
      <c r="F741" s="201">
        <v>0</v>
      </c>
      <c r="G741" s="201">
        <v>0</v>
      </c>
      <c r="H741" s="201">
        <v>0</v>
      </c>
      <c r="I741" s="201">
        <v>1</v>
      </c>
      <c r="J741" s="201">
        <v>0</v>
      </c>
      <c r="K741" s="201">
        <v>0</v>
      </c>
      <c r="L741" s="201">
        <v>0</v>
      </c>
      <c r="M741" s="330">
        <v>0</v>
      </c>
      <c r="N741" s="202">
        <v>0</v>
      </c>
    </row>
    <row r="742" spans="1:14" ht="15.75" customHeight="1">
      <c r="A742" s="198" t="s">
        <v>159</v>
      </c>
      <c r="B742" s="199" t="s">
        <v>185</v>
      </c>
      <c r="C742" s="199" t="s">
        <v>169</v>
      </c>
      <c r="D742" s="200" t="s">
        <v>164</v>
      </c>
      <c r="E742" s="213">
        <v>0</v>
      </c>
      <c r="F742" s="201">
        <v>0</v>
      </c>
      <c r="G742" s="201">
        <v>0</v>
      </c>
      <c r="H742" s="201">
        <v>0</v>
      </c>
      <c r="I742" s="201">
        <v>1</v>
      </c>
      <c r="J742" s="201">
        <v>0</v>
      </c>
      <c r="K742" s="201">
        <v>0</v>
      </c>
      <c r="L742" s="201">
        <v>0</v>
      </c>
      <c r="M742" s="330" t="s">
        <v>172</v>
      </c>
      <c r="N742" s="202">
        <v>0</v>
      </c>
    </row>
    <row r="743" spans="1:14" ht="15.75" customHeight="1">
      <c r="A743" s="198" t="s">
        <v>159</v>
      </c>
      <c r="B743" s="199" t="s">
        <v>185</v>
      </c>
      <c r="C743" s="199" t="s">
        <v>169</v>
      </c>
      <c r="D743" s="200" t="s">
        <v>165</v>
      </c>
      <c r="E743" s="213">
        <v>0</v>
      </c>
      <c r="F743" s="201">
        <v>6</v>
      </c>
      <c r="G743" s="201">
        <v>7</v>
      </c>
      <c r="H743" s="201">
        <v>5</v>
      </c>
      <c r="I743" s="201">
        <v>8</v>
      </c>
      <c r="J743" s="201">
        <v>5</v>
      </c>
      <c r="K743" s="201">
        <v>9</v>
      </c>
      <c r="L743" s="201">
        <v>2</v>
      </c>
      <c r="M743" s="330">
        <v>1</v>
      </c>
      <c r="N743" s="202">
        <v>0</v>
      </c>
    </row>
    <row r="744" spans="1:14" ht="15.75" customHeight="1">
      <c r="A744" s="198" t="s">
        <v>159</v>
      </c>
      <c r="B744" s="199" t="s">
        <v>185</v>
      </c>
      <c r="C744" s="199" t="s">
        <v>169</v>
      </c>
      <c r="D744" s="203" t="s">
        <v>91</v>
      </c>
      <c r="E744" s="214">
        <v>0</v>
      </c>
      <c r="F744" s="204">
        <v>6</v>
      </c>
      <c r="G744" s="204">
        <v>7</v>
      </c>
      <c r="H744" s="204">
        <v>5</v>
      </c>
      <c r="I744" s="204">
        <v>9</v>
      </c>
      <c r="J744" s="204">
        <v>5</v>
      </c>
      <c r="K744" s="204">
        <v>9</v>
      </c>
      <c r="L744" s="204">
        <v>2</v>
      </c>
      <c r="M744" s="331">
        <v>1</v>
      </c>
      <c r="N744" s="202">
        <v>0</v>
      </c>
    </row>
    <row r="745" spans="1:14" ht="15.75" customHeight="1">
      <c r="A745" s="198" t="s">
        <v>159</v>
      </c>
      <c r="B745" s="199" t="s">
        <v>185</v>
      </c>
      <c r="C745" s="199" t="s">
        <v>139</v>
      </c>
      <c r="D745" s="200" t="s">
        <v>162</v>
      </c>
      <c r="E745" s="213">
        <v>0</v>
      </c>
      <c r="F745" s="201">
        <v>0</v>
      </c>
      <c r="G745" s="201">
        <v>0</v>
      </c>
      <c r="H745" s="201">
        <v>0</v>
      </c>
      <c r="I745" s="201">
        <v>0</v>
      </c>
      <c r="J745" s="201">
        <v>0</v>
      </c>
      <c r="K745" s="201">
        <v>0</v>
      </c>
      <c r="L745" s="201">
        <v>0</v>
      </c>
      <c r="M745" s="330" t="s">
        <v>172</v>
      </c>
      <c r="N745" s="202">
        <v>0</v>
      </c>
    </row>
    <row r="746" spans="1:14" ht="15.75" customHeight="1">
      <c r="A746" s="198" t="s">
        <v>159</v>
      </c>
      <c r="B746" s="199" t="s">
        <v>185</v>
      </c>
      <c r="C746" s="199" t="s">
        <v>139</v>
      </c>
      <c r="D746" s="200" t="s">
        <v>163</v>
      </c>
      <c r="E746" s="213">
        <v>0.4</v>
      </c>
      <c r="F746" s="201">
        <v>0</v>
      </c>
      <c r="G746" s="201">
        <v>0</v>
      </c>
      <c r="H746" s="201">
        <v>0</v>
      </c>
      <c r="I746" s="201">
        <v>0</v>
      </c>
      <c r="J746" s="201">
        <v>0</v>
      </c>
      <c r="K746" s="201">
        <v>0</v>
      </c>
      <c r="L746" s="201">
        <v>0</v>
      </c>
      <c r="M746" s="330">
        <v>0</v>
      </c>
      <c r="N746" s="202">
        <v>-1</v>
      </c>
    </row>
    <row r="747" spans="1:14" ht="15.75" customHeight="1">
      <c r="A747" s="198" t="s">
        <v>159</v>
      </c>
      <c r="B747" s="199" t="s">
        <v>185</v>
      </c>
      <c r="C747" s="199" t="s">
        <v>139</v>
      </c>
      <c r="D747" s="200" t="s">
        <v>164</v>
      </c>
      <c r="E747" s="213">
        <v>0.4</v>
      </c>
      <c r="F747" s="201">
        <v>0</v>
      </c>
      <c r="G747" s="201">
        <v>0</v>
      </c>
      <c r="H747" s="201">
        <v>0</v>
      </c>
      <c r="I747" s="201">
        <v>0</v>
      </c>
      <c r="J747" s="201">
        <v>0</v>
      </c>
      <c r="K747" s="201">
        <v>0</v>
      </c>
      <c r="L747" s="201">
        <v>0</v>
      </c>
      <c r="M747" s="330" t="s">
        <v>172</v>
      </c>
      <c r="N747" s="202">
        <v>-1</v>
      </c>
    </row>
    <row r="748" spans="1:14" ht="15.75" customHeight="1">
      <c r="A748" s="198" t="s">
        <v>159</v>
      </c>
      <c r="B748" s="199" t="s">
        <v>185</v>
      </c>
      <c r="C748" s="199" t="s">
        <v>139</v>
      </c>
      <c r="D748" s="200" t="s">
        <v>165</v>
      </c>
      <c r="E748" s="213">
        <v>6.4</v>
      </c>
      <c r="F748" s="201">
        <v>0</v>
      </c>
      <c r="G748" s="201">
        <v>4</v>
      </c>
      <c r="H748" s="201">
        <v>2</v>
      </c>
      <c r="I748" s="201">
        <v>7</v>
      </c>
      <c r="J748" s="201">
        <v>5</v>
      </c>
      <c r="K748" s="201">
        <v>6</v>
      </c>
      <c r="L748" s="201">
        <v>5</v>
      </c>
      <c r="M748" s="330">
        <v>5</v>
      </c>
      <c r="N748" s="202">
        <v>-0.21875000000000006</v>
      </c>
    </row>
    <row r="749" spans="1:14" ht="15.75" customHeight="1">
      <c r="A749" s="198" t="s">
        <v>159</v>
      </c>
      <c r="B749" s="199" t="s">
        <v>185</v>
      </c>
      <c r="C749" s="199" t="s">
        <v>139</v>
      </c>
      <c r="D749" s="203" t="s">
        <v>91</v>
      </c>
      <c r="E749" s="214">
        <v>6.8</v>
      </c>
      <c r="F749" s="204">
        <v>0</v>
      </c>
      <c r="G749" s="204">
        <v>4</v>
      </c>
      <c r="H749" s="204">
        <v>2</v>
      </c>
      <c r="I749" s="204">
        <v>7</v>
      </c>
      <c r="J749" s="204">
        <v>5</v>
      </c>
      <c r="K749" s="204">
        <v>6</v>
      </c>
      <c r="L749" s="204">
        <v>5</v>
      </c>
      <c r="M749" s="331">
        <v>5</v>
      </c>
      <c r="N749" s="202">
        <v>-0.26470588235294118</v>
      </c>
    </row>
    <row r="750" spans="1:14" ht="15.75" customHeight="1">
      <c r="A750" s="198" t="s">
        <v>159</v>
      </c>
      <c r="B750" s="199" t="s">
        <v>185</v>
      </c>
      <c r="C750" s="205" t="s">
        <v>91</v>
      </c>
      <c r="D750" s="203" t="s">
        <v>162</v>
      </c>
      <c r="E750" s="214">
        <v>2.4</v>
      </c>
      <c r="F750" s="204">
        <v>2</v>
      </c>
      <c r="G750" s="204">
        <v>0</v>
      </c>
      <c r="H750" s="204">
        <v>2</v>
      </c>
      <c r="I750" s="204">
        <v>3</v>
      </c>
      <c r="J750" s="204">
        <v>1</v>
      </c>
      <c r="K750" s="204">
        <v>3</v>
      </c>
      <c r="L750" s="204">
        <v>2</v>
      </c>
      <c r="M750" s="331">
        <v>0</v>
      </c>
      <c r="N750" s="202">
        <v>-1</v>
      </c>
    </row>
    <row r="751" spans="1:14" ht="15.75" customHeight="1">
      <c r="A751" s="198" t="s">
        <v>159</v>
      </c>
      <c r="B751" s="199" t="s">
        <v>170</v>
      </c>
      <c r="C751" s="205" t="s">
        <v>91</v>
      </c>
      <c r="D751" s="203" t="s">
        <v>163</v>
      </c>
      <c r="E751" s="214">
        <v>216.5</v>
      </c>
      <c r="F751" s="204">
        <v>148</v>
      </c>
      <c r="G751" s="204">
        <v>135</v>
      </c>
      <c r="H751" s="204">
        <v>145</v>
      </c>
      <c r="I751" s="204">
        <v>115</v>
      </c>
      <c r="J751" s="204">
        <v>104</v>
      </c>
      <c r="K751" s="204">
        <v>152</v>
      </c>
      <c r="L751" s="204">
        <v>142</v>
      </c>
      <c r="M751" s="331">
        <v>112</v>
      </c>
      <c r="N751" s="202">
        <v>-0.48267898383371827</v>
      </c>
    </row>
    <row r="752" spans="1:14" ht="15.75" customHeight="1">
      <c r="A752" s="198" t="s">
        <v>159</v>
      </c>
      <c r="B752" s="199" t="s">
        <v>185</v>
      </c>
      <c r="C752" s="205" t="s">
        <v>91</v>
      </c>
      <c r="D752" s="203" t="s">
        <v>164</v>
      </c>
      <c r="E752" s="214">
        <v>76.2</v>
      </c>
      <c r="F752" s="204">
        <v>67</v>
      </c>
      <c r="G752" s="204">
        <v>71</v>
      </c>
      <c r="H752" s="204">
        <v>54</v>
      </c>
      <c r="I752" s="204">
        <v>44</v>
      </c>
      <c r="J752" s="204">
        <v>41</v>
      </c>
      <c r="K752" s="204">
        <v>59</v>
      </c>
      <c r="L752" s="204">
        <v>49</v>
      </c>
      <c r="M752" s="331">
        <v>55</v>
      </c>
      <c r="N752" s="202">
        <v>-0.27821522309711288</v>
      </c>
    </row>
    <row r="753" spans="1:14" ht="15.75" customHeight="1">
      <c r="A753" s="198" t="s">
        <v>159</v>
      </c>
      <c r="B753" s="199" t="s">
        <v>185</v>
      </c>
      <c r="C753" s="205" t="s">
        <v>91</v>
      </c>
      <c r="D753" s="203" t="s">
        <v>165</v>
      </c>
      <c r="E753" s="214">
        <v>468.5</v>
      </c>
      <c r="F753" s="204">
        <v>450</v>
      </c>
      <c r="G753" s="204">
        <v>439</v>
      </c>
      <c r="H753" s="204">
        <v>443</v>
      </c>
      <c r="I753" s="204">
        <v>366</v>
      </c>
      <c r="J753" s="204">
        <v>379</v>
      </c>
      <c r="K753" s="204">
        <v>439</v>
      </c>
      <c r="L753" s="204">
        <v>386</v>
      </c>
      <c r="M753" s="331">
        <v>345</v>
      </c>
      <c r="N753" s="202">
        <v>-0.26360725720384204</v>
      </c>
    </row>
    <row r="754" spans="1:14" ht="15.75" customHeight="1">
      <c r="A754" s="198" t="s">
        <v>159</v>
      </c>
      <c r="B754" s="199" t="s">
        <v>185</v>
      </c>
      <c r="C754" s="205" t="s">
        <v>91</v>
      </c>
      <c r="D754" s="203" t="s">
        <v>91</v>
      </c>
      <c r="E754" s="214">
        <v>547.20000000000005</v>
      </c>
      <c r="F754" s="204">
        <v>519</v>
      </c>
      <c r="G754" s="204">
        <v>510</v>
      </c>
      <c r="H754" s="204">
        <v>499</v>
      </c>
      <c r="I754" s="204">
        <v>413</v>
      </c>
      <c r="J754" s="204">
        <v>421</v>
      </c>
      <c r="K754" s="204">
        <v>501</v>
      </c>
      <c r="L754" s="204">
        <v>437</v>
      </c>
      <c r="M754" s="331">
        <v>400</v>
      </c>
      <c r="N754" s="202">
        <v>-0.26900584795321641</v>
      </c>
    </row>
    <row r="755" spans="1:14" ht="15.75" customHeight="1">
      <c r="A755" s="198" t="s">
        <v>159</v>
      </c>
      <c r="B755" s="199" t="s">
        <v>186</v>
      </c>
      <c r="C755" s="199" t="s">
        <v>161</v>
      </c>
      <c r="D755" s="200" t="s">
        <v>162</v>
      </c>
      <c r="E755" s="213">
        <v>0</v>
      </c>
      <c r="F755" s="204">
        <v>0</v>
      </c>
      <c r="G755" s="204">
        <v>0</v>
      </c>
      <c r="H755" s="204">
        <v>0</v>
      </c>
      <c r="I755" s="204">
        <v>0</v>
      </c>
      <c r="J755" s="204">
        <v>0</v>
      </c>
      <c r="K755" s="204">
        <v>0</v>
      </c>
      <c r="L755" s="204">
        <v>0</v>
      </c>
      <c r="M755" s="331" t="s">
        <v>172</v>
      </c>
      <c r="N755" s="202">
        <v>0</v>
      </c>
    </row>
    <row r="756" spans="1:14">
      <c r="A756" s="198" t="s">
        <v>159</v>
      </c>
      <c r="B756" s="199" t="s">
        <v>186</v>
      </c>
      <c r="C756" s="199" t="s">
        <v>161</v>
      </c>
      <c r="D756" s="200" t="s">
        <v>163</v>
      </c>
      <c r="E756" s="213">
        <v>2.5</v>
      </c>
      <c r="F756" s="201">
        <v>0</v>
      </c>
      <c r="G756" s="201">
        <v>2</v>
      </c>
      <c r="H756" s="201">
        <v>4</v>
      </c>
      <c r="I756" s="201">
        <v>0</v>
      </c>
      <c r="J756" s="201">
        <v>0</v>
      </c>
      <c r="K756" s="201">
        <v>4</v>
      </c>
      <c r="L756" s="201">
        <v>5</v>
      </c>
      <c r="M756" s="330">
        <v>4</v>
      </c>
      <c r="N756" s="202">
        <v>0.6</v>
      </c>
    </row>
    <row r="757" spans="1:14" ht="15.75" customHeight="1">
      <c r="A757" s="198" t="s">
        <v>159</v>
      </c>
      <c r="B757" s="199" t="s">
        <v>186</v>
      </c>
      <c r="C757" s="199" t="s">
        <v>161</v>
      </c>
      <c r="D757" s="200" t="s">
        <v>164</v>
      </c>
      <c r="E757" s="213">
        <v>2.5</v>
      </c>
      <c r="F757" s="201">
        <v>0</v>
      </c>
      <c r="G757" s="201">
        <v>2</v>
      </c>
      <c r="H757" s="201">
        <v>4</v>
      </c>
      <c r="I757" s="201">
        <v>0</v>
      </c>
      <c r="J757" s="201">
        <v>0</v>
      </c>
      <c r="K757" s="201">
        <v>4</v>
      </c>
      <c r="L757" s="201">
        <v>5</v>
      </c>
      <c r="M757" s="330">
        <v>4</v>
      </c>
      <c r="N757" s="202">
        <v>0.6</v>
      </c>
    </row>
    <row r="758" spans="1:14" ht="15.75" customHeight="1">
      <c r="A758" s="198" t="s">
        <v>159</v>
      </c>
      <c r="B758" s="199" t="s">
        <v>186</v>
      </c>
      <c r="C758" s="199" t="s">
        <v>161</v>
      </c>
      <c r="D758" s="200" t="s">
        <v>165</v>
      </c>
      <c r="E758" s="213">
        <v>26.8</v>
      </c>
      <c r="F758" s="201">
        <v>26</v>
      </c>
      <c r="G758" s="201">
        <v>45</v>
      </c>
      <c r="H758" s="201">
        <v>40</v>
      </c>
      <c r="I758" s="201">
        <v>17</v>
      </c>
      <c r="J758" s="201">
        <v>24</v>
      </c>
      <c r="K758" s="201">
        <v>41</v>
      </c>
      <c r="L758" s="201">
        <v>19</v>
      </c>
      <c r="M758" s="330">
        <v>36</v>
      </c>
      <c r="N758" s="202">
        <v>0.34328358208955223</v>
      </c>
    </row>
    <row r="759" spans="1:14" ht="15.75" customHeight="1">
      <c r="A759" s="198" t="s">
        <v>159</v>
      </c>
      <c r="B759" s="199" t="s">
        <v>186</v>
      </c>
      <c r="C759" s="199" t="s">
        <v>161</v>
      </c>
      <c r="D759" s="203" t="s">
        <v>91</v>
      </c>
      <c r="E759" s="214">
        <v>29.3</v>
      </c>
      <c r="F759" s="204">
        <v>26</v>
      </c>
      <c r="G759" s="204">
        <v>47</v>
      </c>
      <c r="H759" s="204">
        <v>44</v>
      </c>
      <c r="I759" s="204">
        <v>17</v>
      </c>
      <c r="J759" s="204">
        <v>24</v>
      </c>
      <c r="K759" s="204">
        <v>45</v>
      </c>
      <c r="L759" s="204">
        <v>24</v>
      </c>
      <c r="M759" s="331">
        <v>40</v>
      </c>
      <c r="N759" s="202">
        <v>0.3651877133105802</v>
      </c>
    </row>
    <row r="760" spans="1:14" ht="15.75" customHeight="1">
      <c r="A760" s="198" t="s">
        <v>159</v>
      </c>
      <c r="B760" s="199" t="s">
        <v>186</v>
      </c>
      <c r="C760" s="199" t="s">
        <v>134</v>
      </c>
      <c r="D760" s="200" t="s">
        <v>162</v>
      </c>
      <c r="E760" s="213">
        <v>2.4</v>
      </c>
      <c r="F760" s="201">
        <v>1</v>
      </c>
      <c r="G760" s="201">
        <v>1</v>
      </c>
      <c r="H760" s="201">
        <v>0</v>
      </c>
      <c r="I760" s="201">
        <v>2</v>
      </c>
      <c r="J760" s="201">
        <v>1</v>
      </c>
      <c r="K760" s="201">
        <v>3</v>
      </c>
      <c r="L760" s="201">
        <v>1</v>
      </c>
      <c r="M760" s="330">
        <v>5</v>
      </c>
      <c r="N760" s="202">
        <v>1.0833333333333335</v>
      </c>
    </row>
    <row r="761" spans="1:14">
      <c r="A761" s="198" t="s">
        <v>159</v>
      </c>
      <c r="B761" s="199" t="s">
        <v>186</v>
      </c>
      <c r="C761" s="199" t="s">
        <v>134</v>
      </c>
      <c r="D761" s="200" t="s">
        <v>163</v>
      </c>
      <c r="E761" s="213">
        <v>45.7</v>
      </c>
      <c r="F761" s="201">
        <v>17</v>
      </c>
      <c r="G761" s="201">
        <v>29</v>
      </c>
      <c r="H761" s="201">
        <v>23</v>
      </c>
      <c r="I761" s="201">
        <v>29</v>
      </c>
      <c r="J761" s="201">
        <v>20</v>
      </c>
      <c r="K761" s="201">
        <v>29</v>
      </c>
      <c r="L761" s="201">
        <v>20</v>
      </c>
      <c r="M761" s="330">
        <v>30</v>
      </c>
      <c r="N761" s="202">
        <v>-0.34354485776805255</v>
      </c>
    </row>
    <row r="762" spans="1:14" ht="15.75" customHeight="1">
      <c r="A762" s="198" t="s">
        <v>159</v>
      </c>
      <c r="B762" s="199" t="s">
        <v>186</v>
      </c>
      <c r="C762" s="199" t="s">
        <v>134</v>
      </c>
      <c r="D762" s="200" t="s">
        <v>164</v>
      </c>
      <c r="E762" s="213">
        <v>43.3</v>
      </c>
      <c r="F762" s="201">
        <v>16</v>
      </c>
      <c r="G762" s="201">
        <v>28</v>
      </c>
      <c r="H762" s="201">
        <v>23</v>
      </c>
      <c r="I762" s="201">
        <v>27</v>
      </c>
      <c r="J762" s="201">
        <v>19</v>
      </c>
      <c r="K762" s="201">
        <v>26</v>
      </c>
      <c r="L762" s="201">
        <v>19</v>
      </c>
      <c r="M762" s="330">
        <v>25</v>
      </c>
      <c r="N762" s="202">
        <v>-0.42263279445727481</v>
      </c>
    </row>
    <row r="763" spans="1:14" ht="15.75" customHeight="1">
      <c r="A763" s="198" t="s">
        <v>159</v>
      </c>
      <c r="B763" s="199" t="s">
        <v>186</v>
      </c>
      <c r="C763" s="199" t="s">
        <v>134</v>
      </c>
      <c r="D763" s="200" t="s">
        <v>165</v>
      </c>
      <c r="E763" s="213">
        <v>490.4</v>
      </c>
      <c r="F763" s="201">
        <v>465</v>
      </c>
      <c r="G763" s="201">
        <v>463</v>
      </c>
      <c r="H763" s="201">
        <v>447</v>
      </c>
      <c r="I763" s="201">
        <v>343</v>
      </c>
      <c r="J763" s="201">
        <v>390</v>
      </c>
      <c r="K763" s="201">
        <v>414</v>
      </c>
      <c r="L763" s="201">
        <v>373</v>
      </c>
      <c r="M763" s="330">
        <v>367</v>
      </c>
      <c r="N763" s="202">
        <v>-0.25163132137030991</v>
      </c>
    </row>
    <row r="764" spans="1:14" ht="15.75" customHeight="1">
      <c r="A764" s="198" t="s">
        <v>159</v>
      </c>
      <c r="B764" s="199" t="s">
        <v>186</v>
      </c>
      <c r="C764" s="199" t="s">
        <v>134</v>
      </c>
      <c r="D764" s="203" t="s">
        <v>91</v>
      </c>
      <c r="E764" s="214">
        <v>536.1</v>
      </c>
      <c r="F764" s="204">
        <v>482</v>
      </c>
      <c r="G764" s="204">
        <v>492</v>
      </c>
      <c r="H764" s="204">
        <v>470</v>
      </c>
      <c r="I764" s="204">
        <v>372</v>
      </c>
      <c r="J764" s="204">
        <v>410</v>
      </c>
      <c r="K764" s="204">
        <v>443</v>
      </c>
      <c r="L764" s="204">
        <v>393</v>
      </c>
      <c r="M764" s="331">
        <v>397</v>
      </c>
      <c r="N764" s="202">
        <v>-0.25946651744077598</v>
      </c>
    </row>
    <row r="765" spans="1:14" ht="15.75" customHeight="1">
      <c r="A765" s="198" t="s">
        <v>159</v>
      </c>
      <c r="B765" s="199" t="s">
        <v>186</v>
      </c>
      <c r="C765" s="199" t="s">
        <v>166</v>
      </c>
      <c r="D765" s="200" t="s">
        <v>162</v>
      </c>
      <c r="E765" s="213">
        <v>0.4</v>
      </c>
      <c r="F765" s="201">
        <v>0</v>
      </c>
      <c r="G765" s="201">
        <v>0</v>
      </c>
      <c r="H765" s="201">
        <v>0</v>
      </c>
      <c r="I765" s="201">
        <v>0</v>
      </c>
      <c r="J765" s="201">
        <v>1</v>
      </c>
      <c r="K765" s="201">
        <v>1</v>
      </c>
      <c r="L765" s="201">
        <v>0</v>
      </c>
      <c r="M765" s="330" t="s">
        <v>172</v>
      </c>
      <c r="N765" s="202">
        <v>-1</v>
      </c>
    </row>
    <row r="766" spans="1:14">
      <c r="A766" s="198" t="s">
        <v>159</v>
      </c>
      <c r="B766" s="199" t="s">
        <v>186</v>
      </c>
      <c r="C766" s="199" t="s">
        <v>166</v>
      </c>
      <c r="D766" s="200" t="s">
        <v>163</v>
      </c>
      <c r="E766" s="213">
        <v>3</v>
      </c>
      <c r="F766" s="201">
        <v>3</v>
      </c>
      <c r="G766" s="201">
        <v>0</v>
      </c>
      <c r="H766" s="201">
        <v>7</v>
      </c>
      <c r="I766" s="201">
        <v>2</v>
      </c>
      <c r="J766" s="201">
        <v>2</v>
      </c>
      <c r="K766" s="201">
        <v>3</v>
      </c>
      <c r="L766" s="201">
        <v>1</v>
      </c>
      <c r="M766" s="330">
        <v>3</v>
      </c>
      <c r="N766" s="202">
        <v>0</v>
      </c>
    </row>
    <row r="767" spans="1:14" ht="15.75" customHeight="1">
      <c r="A767" s="198" t="s">
        <v>159</v>
      </c>
      <c r="B767" s="199" t="s">
        <v>186</v>
      </c>
      <c r="C767" s="199" t="s">
        <v>166</v>
      </c>
      <c r="D767" s="200" t="s">
        <v>164</v>
      </c>
      <c r="E767" s="213">
        <v>2.6</v>
      </c>
      <c r="F767" s="201">
        <v>3</v>
      </c>
      <c r="G767" s="201">
        <v>0</v>
      </c>
      <c r="H767" s="201">
        <v>7</v>
      </c>
      <c r="I767" s="201">
        <v>2</v>
      </c>
      <c r="J767" s="201">
        <v>1</v>
      </c>
      <c r="K767" s="201">
        <v>2</v>
      </c>
      <c r="L767" s="201">
        <v>1</v>
      </c>
      <c r="M767" s="330">
        <v>3</v>
      </c>
      <c r="N767" s="202">
        <v>0.1538461538461538</v>
      </c>
    </row>
    <row r="768" spans="1:14" ht="15.75" customHeight="1">
      <c r="A768" s="198" t="s">
        <v>159</v>
      </c>
      <c r="B768" s="199" t="s">
        <v>186</v>
      </c>
      <c r="C768" s="199" t="s">
        <v>166</v>
      </c>
      <c r="D768" s="200" t="s">
        <v>165</v>
      </c>
      <c r="E768" s="213">
        <v>27.2</v>
      </c>
      <c r="F768" s="201">
        <v>42</v>
      </c>
      <c r="G768" s="201">
        <v>34</v>
      </c>
      <c r="H768" s="201">
        <v>31</v>
      </c>
      <c r="I768" s="201">
        <v>19</v>
      </c>
      <c r="J768" s="201">
        <v>34</v>
      </c>
      <c r="K768" s="201">
        <v>19</v>
      </c>
      <c r="L768" s="201">
        <v>18</v>
      </c>
      <c r="M768" s="330">
        <v>14</v>
      </c>
      <c r="N768" s="202">
        <v>-0.48529411764705882</v>
      </c>
    </row>
    <row r="769" spans="1:14" ht="15.75" customHeight="1">
      <c r="A769" s="198" t="s">
        <v>159</v>
      </c>
      <c r="B769" s="199" t="s">
        <v>186</v>
      </c>
      <c r="C769" s="199" t="s">
        <v>166</v>
      </c>
      <c r="D769" s="203" t="s">
        <v>91</v>
      </c>
      <c r="E769" s="214">
        <v>30.2</v>
      </c>
      <c r="F769" s="204">
        <v>45</v>
      </c>
      <c r="G769" s="204">
        <v>34</v>
      </c>
      <c r="H769" s="204">
        <v>38</v>
      </c>
      <c r="I769" s="204">
        <v>21</v>
      </c>
      <c r="J769" s="204">
        <v>36</v>
      </c>
      <c r="K769" s="204">
        <v>22</v>
      </c>
      <c r="L769" s="204">
        <v>19</v>
      </c>
      <c r="M769" s="331">
        <v>17</v>
      </c>
      <c r="N769" s="202">
        <v>-0.4370860927152318</v>
      </c>
    </row>
    <row r="770" spans="1:14" ht="15.75" customHeight="1">
      <c r="A770" s="198" t="s">
        <v>159</v>
      </c>
      <c r="B770" s="199" t="s">
        <v>186</v>
      </c>
      <c r="C770" s="199" t="s">
        <v>133</v>
      </c>
      <c r="D770" s="200" t="s">
        <v>162</v>
      </c>
      <c r="E770" s="213">
        <v>1</v>
      </c>
      <c r="F770" s="201">
        <v>0</v>
      </c>
      <c r="G770" s="201">
        <v>1</v>
      </c>
      <c r="H770" s="201">
        <v>1</v>
      </c>
      <c r="I770" s="201">
        <v>3</v>
      </c>
      <c r="J770" s="201">
        <v>0</v>
      </c>
      <c r="K770" s="201">
        <v>1</v>
      </c>
      <c r="L770" s="201">
        <v>0</v>
      </c>
      <c r="M770" s="330">
        <v>1</v>
      </c>
      <c r="N770" s="202">
        <v>0</v>
      </c>
    </row>
    <row r="771" spans="1:14">
      <c r="A771" s="198" t="s">
        <v>159</v>
      </c>
      <c r="B771" s="199" t="s">
        <v>186</v>
      </c>
      <c r="C771" s="199" t="s">
        <v>133</v>
      </c>
      <c r="D771" s="200" t="s">
        <v>163</v>
      </c>
      <c r="E771" s="213">
        <v>21.6</v>
      </c>
      <c r="F771" s="201">
        <v>23</v>
      </c>
      <c r="G771" s="201">
        <v>18</v>
      </c>
      <c r="H771" s="201">
        <v>21</v>
      </c>
      <c r="I771" s="201">
        <v>17</v>
      </c>
      <c r="J771" s="201">
        <v>19</v>
      </c>
      <c r="K771" s="201">
        <v>19</v>
      </c>
      <c r="L771" s="201">
        <v>17</v>
      </c>
      <c r="M771" s="330">
        <v>22</v>
      </c>
      <c r="N771" s="202">
        <v>1.8518518518518452E-2</v>
      </c>
    </row>
    <row r="772" spans="1:14" ht="15.75" customHeight="1">
      <c r="A772" s="198" t="s">
        <v>159</v>
      </c>
      <c r="B772" s="199" t="s">
        <v>186</v>
      </c>
      <c r="C772" s="199" t="s">
        <v>133</v>
      </c>
      <c r="D772" s="200" t="s">
        <v>164</v>
      </c>
      <c r="E772" s="213">
        <v>20.6</v>
      </c>
      <c r="F772" s="201">
        <v>23</v>
      </c>
      <c r="G772" s="201">
        <v>17</v>
      </c>
      <c r="H772" s="201">
        <v>20</v>
      </c>
      <c r="I772" s="201">
        <v>14</v>
      </c>
      <c r="J772" s="201">
        <v>19</v>
      </c>
      <c r="K772" s="201">
        <v>18</v>
      </c>
      <c r="L772" s="201">
        <v>17</v>
      </c>
      <c r="M772" s="330">
        <v>21</v>
      </c>
      <c r="N772" s="202">
        <v>1.9417475728155269E-2</v>
      </c>
    </row>
    <row r="773" spans="1:14" ht="15.75" customHeight="1">
      <c r="A773" s="198" t="s">
        <v>159</v>
      </c>
      <c r="B773" s="199" t="s">
        <v>186</v>
      </c>
      <c r="C773" s="199" t="s">
        <v>133</v>
      </c>
      <c r="D773" s="200" t="s">
        <v>165</v>
      </c>
      <c r="E773" s="213">
        <v>54.9</v>
      </c>
      <c r="F773" s="201">
        <v>53</v>
      </c>
      <c r="G773" s="201">
        <v>35</v>
      </c>
      <c r="H773" s="201">
        <v>36</v>
      </c>
      <c r="I773" s="201">
        <v>47</v>
      </c>
      <c r="J773" s="201">
        <v>51</v>
      </c>
      <c r="K773" s="201">
        <v>43</v>
      </c>
      <c r="L773" s="201">
        <v>60</v>
      </c>
      <c r="M773" s="330">
        <v>92</v>
      </c>
      <c r="N773" s="202">
        <v>0.67577413479052828</v>
      </c>
    </row>
    <row r="774" spans="1:14" ht="15.75" customHeight="1">
      <c r="A774" s="198" t="s">
        <v>159</v>
      </c>
      <c r="B774" s="199" t="s">
        <v>186</v>
      </c>
      <c r="C774" s="199" t="s">
        <v>133</v>
      </c>
      <c r="D774" s="203" t="s">
        <v>91</v>
      </c>
      <c r="E774" s="214">
        <v>76.5</v>
      </c>
      <c r="F774" s="204">
        <v>76</v>
      </c>
      <c r="G774" s="204">
        <v>53</v>
      </c>
      <c r="H774" s="204">
        <v>57</v>
      </c>
      <c r="I774" s="204">
        <v>64</v>
      </c>
      <c r="J774" s="204">
        <v>70</v>
      </c>
      <c r="K774" s="204">
        <v>62</v>
      </c>
      <c r="L774" s="204">
        <v>77</v>
      </c>
      <c r="M774" s="331">
        <v>114</v>
      </c>
      <c r="N774" s="202">
        <v>0.49019607843137253</v>
      </c>
    </row>
    <row r="775" spans="1:14" ht="15.75" customHeight="1">
      <c r="A775" s="198" t="s">
        <v>159</v>
      </c>
      <c r="B775" s="199" t="s">
        <v>186</v>
      </c>
      <c r="C775" s="199" t="s">
        <v>167</v>
      </c>
      <c r="D775" s="200" t="s">
        <v>162</v>
      </c>
      <c r="E775" s="213">
        <v>0</v>
      </c>
      <c r="F775" s="201">
        <v>0</v>
      </c>
      <c r="G775" s="201">
        <v>0</v>
      </c>
      <c r="H775" s="201">
        <v>0</v>
      </c>
      <c r="I775" s="201">
        <v>0</v>
      </c>
      <c r="J775" s="201">
        <v>0</v>
      </c>
      <c r="K775" s="201">
        <v>0</v>
      </c>
      <c r="L775" s="201">
        <v>0</v>
      </c>
      <c r="M775" s="330" t="s">
        <v>172</v>
      </c>
      <c r="N775" s="202">
        <v>0</v>
      </c>
    </row>
    <row r="776" spans="1:14" ht="15.75" customHeight="1">
      <c r="A776" s="198" t="s">
        <v>159</v>
      </c>
      <c r="B776" s="199" t="s">
        <v>186</v>
      </c>
      <c r="C776" s="199" t="s">
        <v>167</v>
      </c>
      <c r="D776" s="200" t="s">
        <v>163</v>
      </c>
      <c r="E776" s="213">
        <v>1.7</v>
      </c>
      <c r="F776" s="201">
        <v>0</v>
      </c>
      <c r="G776" s="201">
        <v>0</v>
      </c>
      <c r="H776" s="201">
        <v>0</v>
      </c>
      <c r="I776" s="201">
        <v>0</v>
      </c>
      <c r="J776" s="201">
        <v>2</v>
      </c>
      <c r="K776" s="201">
        <v>1</v>
      </c>
      <c r="L776" s="201">
        <v>1</v>
      </c>
      <c r="M776" s="330">
        <v>3</v>
      </c>
      <c r="N776" s="202">
        <v>0.76470588235294124</v>
      </c>
    </row>
    <row r="777" spans="1:14" ht="15.75" customHeight="1">
      <c r="A777" s="198" t="s">
        <v>159</v>
      </c>
      <c r="B777" s="199" t="s">
        <v>186</v>
      </c>
      <c r="C777" s="199" t="s">
        <v>167</v>
      </c>
      <c r="D777" s="200" t="s">
        <v>164</v>
      </c>
      <c r="E777" s="213">
        <v>1.7</v>
      </c>
      <c r="F777" s="201">
        <v>0</v>
      </c>
      <c r="G777" s="201">
        <v>0</v>
      </c>
      <c r="H777" s="201">
        <v>0</v>
      </c>
      <c r="I777" s="201">
        <v>0</v>
      </c>
      <c r="J777" s="201">
        <v>2</v>
      </c>
      <c r="K777" s="201">
        <v>1</v>
      </c>
      <c r="L777" s="201">
        <v>1</v>
      </c>
      <c r="M777" s="330">
        <v>3</v>
      </c>
      <c r="N777" s="202">
        <v>0.76470588235294124</v>
      </c>
    </row>
    <row r="778" spans="1:14" ht="15.75" customHeight="1">
      <c r="A778" s="198" t="s">
        <v>159</v>
      </c>
      <c r="B778" s="199" t="s">
        <v>186</v>
      </c>
      <c r="C778" s="199" t="s">
        <v>167</v>
      </c>
      <c r="D778" s="200" t="s">
        <v>165</v>
      </c>
      <c r="E778" s="213">
        <v>5.9</v>
      </c>
      <c r="F778" s="201">
        <v>4</v>
      </c>
      <c r="G778" s="201">
        <v>7</v>
      </c>
      <c r="H778" s="201">
        <v>2</v>
      </c>
      <c r="I778" s="201">
        <v>4</v>
      </c>
      <c r="J778" s="201">
        <v>4</v>
      </c>
      <c r="K778" s="201">
        <v>12</v>
      </c>
      <c r="L778" s="201">
        <v>5</v>
      </c>
      <c r="M778" s="330">
        <v>6</v>
      </c>
      <c r="N778" s="202">
        <v>1.6949152542372819E-2</v>
      </c>
    </row>
    <row r="779" spans="1:14" ht="15.75" customHeight="1">
      <c r="A779" s="198" t="s">
        <v>159</v>
      </c>
      <c r="B779" s="199" t="s">
        <v>186</v>
      </c>
      <c r="C779" s="199" t="s">
        <v>167</v>
      </c>
      <c r="D779" s="203" t="s">
        <v>91</v>
      </c>
      <c r="E779" s="214">
        <v>7.6</v>
      </c>
      <c r="F779" s="204">
        <v>4</v>
      </c>
      <c r="G779" s="204">
        <v>7</v>
      </c>
      <c r="H779" s="204">
        <v>2</v>
      </c>
      <c r="I779" s="204">
        <v>4</v>
      </c>
      <c r="J779" s="204">
        <v>6</v>
      </c>
      <c r="K779" s="204">
        <v>13</v>
      </c>
      <c r="L779" s="204">
        <v>6</v>
      </c>
      <c r="M779" s="331">
        <v>9</v>
      </c>
      <c r="N779" s="202">
        <v>0.18421052631578952</v>
      </c>
    </row>
    <row r="780" spans="1:14" ht="15.75" customHeight="1">
      <c r="A780" s="198" t="s">
        <v>159</v>
      </c>
      <c r="B780" s="199" t="s">
        <v>186</v>
      </c>
      <c r="C780" s="199" t="s">
        <v>168</v>
      </c>
      <c r="D780" s="200" t="s">
        <v>162</v>
      </c>
      <c r="E780" s="213">
        <v>0</v>
      </c>
      <c r="F780" s="201">
        <v>1</v>
      </c>
      <c r="G780" s="201">
        <v>1</v>
      </c>
      <c r="H780" s="201">
        <v>0</v>
      </c>
      <c r="I780" s="201">
        <v>0</v>
      </c>
      <c r="J780" s="201">
        <v>2</v>
      </c>
      <c r="K780" s="201">
        <v>0</v>
      </c>
      <c r="L780" s="201">
        <v>0</v>
      </c>
      <c r="M780" s="330" t="s">
        <v>172</v>
      </c>
      <c r="N780" s="202">
        <v>0</v>
      </c>
    </row>
    <row r="781" spans="1:14" ht="15.75" customHeight="1">
      <c r="A781" s="198" t="s">
        <v>159</v>
      </c>
      <c r="B781" s="199" t="s">
        <v>186</v>
      </c>
      <c r="C781" s="199" t="s">
        <v>168</v>
      </c>
      <c r="D781" s="200" t="s">
        <v>163</v>
      </c>
      <c r="E781" s="213">
        <v>7.2</v>
      </c>
      <c r="F781" s="201">
        <v>4</v>
      </c>
      <c r="G781" s="201">
        <v>7</v>
      </c>
      <c r="H781" s="201">
        <v>5</v>
      </c>
      <c r="I781" s="201">
        <v>7</v>
      </c>
      <c r="J781" s="201">
        <v>13</v>
      </c>
      <c r="K781" s="201">
        <v>9</v>
      </c>
      <c r="L781" s="201">
        <v>10</v>
      </c>
      <c r="M781" s="330">
        <v>10</v>
      </c>
      <c r="N781" s="202">
        <v>0.38888888888888884</v>
      </c>
    </row>
    <row r="782" spans="1:14" ht="15.75" customHeight="1">
      <c r="A782" s="198" t="s">
        <v>159</v>
      </c>
      <c r="B782" s="199" t="s">
        <v>186</v>
      </c>
      <c r="C782" s="199" t="s">
        <v>168</v>
      </c>
      <c r="D782" s="200" t="s">
        <v>164</v>
      </c>
      <c r="E782" s="213">
        <v>7.2</v>
      </c>
      <c r="F782" s="201">
        <v>3</v>
      </c>
      <c r="G782" s="201">
        <v>6</v>
      </c>
      <c r="H782" s="201">
        <v>5</v>
      </c>
      <c r="I782" s="201">
        <v>7</v>
      </c>
      <c r="J782" s="201">
        <v>11</v>
      </c>
      <c r="K782" s="201">
        <v>9</v>
      </c>
      <c r="L782" s="201">
        <v>10</v>
      </c>
      <c r="M782" s="330">
        <v>10</v>
      </c>
      <c r="N782" s="202">
        <v>0.38888888888888884</v>
      </c>
    </row>
    <row r="783" spans="1:14" ht="15.75" customHeight="1">
      <c r="A783" s="198" t="s">
        <v>159</v>
      </c>
      <c r="B783" s="199" t="s">
        <v>186</v>
      </c>
      <c r="C783" s="199" t="s">
        <v>168</v>
      </c>
      <c r="D783" s="200" t="s">
        <v>165</v>
      </c>
      <c r="E783" s="213">
        <v>34.299999999999997</v>
      </c>
      <c r="F783" s="201">
        <v>31</v>
      </c>
      <c r="G783" s="201">
        <v>39</v>
      </c>
      <c r="H783" s="201">
        <v>28</v>
      </c>
      <c r="I783" s="201">
        <v>40</v>
      </c>
      <c r="J783" s="201">
        <v>35</v>
      </c>
      <c r="K783" s="201">
        <v>40</v>
      </c>
      <c r="L783" s="201">
        <v>26</v>
      </c>
      <c r="M783" s="330">
        <v>26</v>
      </c>
      <c r="N783" s="202">
        <v>-0.24198250728862966</v>
      </c>
    </row>
    <row r="784" spans="1:14" ht="15.75" customHeight="1">
      <c r="A784" s="198" t="s">
        <v>159</v>
      </c>
      <c r="B784" s="199" t="s">
        <v>186</v>
      </c>
      <c r="C784" s="199" t="s">
        <v>168</v>
      </c>
      <c r="D784" s="203" t="s">
        <v>91</v>
      </c>
      <c r="E784" s="214">
        <v>41.5</v>
      </c>
      <c r="F784" s="204">
        <v>35</v>
      </c>
      <c r="G784" s="204">
        <v>46</v>
      </c>
      <c r="H784" s="204">
        <v>33</v>
      </c>
      <c r="I784" s="204">
        <v>47</v>
      </c>
      <c r="J784" s="204">
        <v>48</v>
      </c>
      <c r="K784" s="204">
        <v>49</v>
      </c>
      <c r="L784" s="204">
        <v>36</v>
      </c>
      <c r="M784" s="331">
        <v>36</v>
      </c>
      <c r="N784" s="202">
        <v>-0.13253012048192772</v>
      </c>
    </row>
    <row r="785" spans="1:14" ht="15.75" customHeight="1">
      <c r="A785" s="198" t="s">
        <v>159</v>
      </c>
      <c r="B785" s="199" t="s">
        <v>186</v>
      </c>
      <c r="C785" s="199" t="s">
        <v>131</v>
      </c>
      <c r="D785" s="200" t="s">
        <v>162</v>
      </c>
      <c r="E785" s="213">
        <v>2.2000000000000002</v>
      </c>
      <c r="F785" s="201">
        <v>2</v>
      </c>
      <c r="G785" s="201">
        <v>0</v>
      </c>
      <c r="H785" s="201">
        <v>2</v>
      </c>
      <c r="I785" s="201">
        <v>2</v>
      </c>
      <c r="J785" s="201">
        <v>1</v>
      </c>
      <c r="K785" s="201">
        <v>0</v>
      </c>
      <c r="L785" s="201">
        <v>2</v>
      </c>
      <c r="M785" s="330">
        <v>4</v>
      </c>
      <c r="N785" s="202">
        <v>0.81818181818181801</v>
      </c>
    </row>
    <row r="786" spans="1:14" ht="15.75" customHeight="1">
      <c r="A786" s="198" t="s">
        <v>159</v>
      </c>
      <c r="B786" s="199" t="s">
        <v>186</v>
      </c>
      <c r="C786" s="199" t="s">
        <v>131</v>
      </c>
      <c r="D786" s="200" t="s">
        <v>163</v>
      </c>
      <c r="E786" s="213">
        <v>28.9</v>
      </c>
      <c r="F786" s="201">
        <v>25</v>
      </c>
      <c r="G786" s="201">
        <v>23</v>
      </c>
      <c r="H786" s="201">
        <v>31</v>
      </c>
      <c r="I786" s="201">
        <v>23</v>
      </c>
      <c r="J786" s="201">
        <v>21</v>
      </c>
      <c r="K786" s="201">
        <v>21</v>
      </c>
      <c r="L786" s="201">
        <v>13</v>
      </c>
      <c r="M786" s="330">
        <v>25</v>
      </c>
      <c r="N786" s="202">
        <v>-0.13494809688581311</v>
      </c>
    </row>
    <row r="787" spans="1:14" ht="15.75" customHeight="1">
      <c r="A787" s="198" t="s">
        <v>159</v>
      </c>
      <c r="B787" s="199" t="s">
        <v>186</v>
      </c>
      <c r="C787" s="199" t="s">
        <v>131</v>
      </c>
      <c r="D787" s="200" t="s">
        <v>164</v>
      </c>
      <c r="E787" s="213">
        <v>26.7</v>
      </c>
      <c r="F787" s="201">
        <v>23</v>
      </c>
      <c r="G787" s="201">
        <v>23</v>
      </c>
      <c r="H787" s="201">
        <v>29</v>
      </c>
      <c r="I787" s="201">
        <v>21</v>
      </c>
      <c r="J787" s="201">
        <v>20</v>
      </c>
      <c r="K787" s="201">
        <v>21</v>
      </c>
      <c r="L787" s="201">
        <v>11</v>
      </c>
      <c r="M787" s="330">
        <v>21</v>
      </c>
      <c r="N787" s="202">
        <v>-0.2134831460674157</v>
      </c>
    </row>
    <row r="788" spans="1:14" ht="15.75" customHeight="1">
      <c r="A788" s="198" t="s">
        <v>159</v>
      </c>
      <c r="B788" s="199" t="s">
        <v>186</v>
      </c>
      <c r="C788" s="199" t="s">
        <v>131</v>
      </c>
      <c r="D788" s="200" t="s">
        <v>165</v>
      </c>
      <c r="E788" s="213">
        <v>74.5</v>
      </c>
      <c r="F788" s="201">
        <v>78</v>
      </c>
      <c r="G788" s="201">
        <v>69</v>
      </c>
      <c r="H788" s="201">
        <v>71</v>
      </c>
      <c r="I788" s="201">
        <v>51</v>
      </c>
      <c r="J788" s="201">
        <v>56</v>
      </c>
      <c r="K788" s="201">
        <v>69</v>
      </c>
      <c r="L788" s="201">
        <v>64</v>
      </c>
      <c r="M788" s="330">
        <v>68</v>
      </c>
      <c r="N788" s="202">
        <v>-8.7248322147651006E-2</v>
      </c>
    </row>
    <row r="789" spans="1:14" ht="15.75" customHeight="1">
      <c r="A789" s="198" t="s">
        <v>159</v>
      </c>
      <c r="B789" s="199" t="s">
        <v>186</v>
      </c>
      <c r="C789" s="199" t="s">
        <v>131</v>
      </c>
      <c r="D789" s="203" t="s">
        <v>91</v>
      </c>
      <c r="E789" s="214">
        <v>103.3</v>
      </c>
      <c r="F789" s="204">
        <v>103</v>
      </c>
      <c r="G789" s="204">
        <v>92</v>
      </c>
      <c r="H789" s="204">
        <v>102</v>
      </c>
      <c r="I789" s="204">
        <v>74</v>
      </c>
      <c r="J789" s="204">
        <v>77</v>
      </c>
      <c r="K789" s="204">
        <v>90</v>
      </c>
      <c r="L789" s="204">
        <v>77</v>
      </c>
      <c r="M789" s="331">
        <v>93</v>
      </c>
      <c r="N789" s="202">
        <v>-9.9709583736689228E-2</v>
      </c>
    </row>
    <row r="790" spans="1:14" ht="15.75" customHeight="1">
      <c r="A790" s="198" t="s">
        <v>159</v>
      </c>
      <c r="B790" s="199" t="s">
        <v>186</v>
      </c>
      <c r="C790" s="199" t="s">
        <v>169</v>
      </c>
      <c r="D790" s="200" t="s">
        <v>162</v>
      </c>
      <c r="E790" s="213">
        <v>0</v>
      </c>
      <c r="F790" s="201">
        <v>0</v>
      </c>
      <c r="G790" s="201">
        <v>0</v>
      </c>
      <c r="H790" s="201">
        <v>0</v>
      </c>
      <c r="I790" s="201">
        <v>0</v>
      </c>
      <c r="J790" s="201">
        <v>0</v>
      </c>
      <c r="K790" s="201">
        <v>0</v>
      </c>
      <c r="L790" s="201">
        <v>0</v>
      </c>
      <c r="M790" s="330" t="s">
        <v>172</v>
      </c>
      <c r="N790" s="202">
        <v>0</v>
      </c>
    </row>
    <row r="791" spans="1:14" ht="15.75" customHeight="1">
      <c r="A791" s="198" t="s">
        <v>159</v>
      </c>
      <c r="B791" s="199" t="s">
        <v>186</v>
      </c>
      <c r="C791" s="199" t="s">
        <v>169</v>
      </c>
      <c r="D791" s="200" t="s">
        <v>163</v>
      </c>
      <c r="E791" s="213">
        <v>0</v>
      </c>
      <c r="F791" s="201">
        <v>0</v>
      </c>
      <c r="G791" s="201">
        <v>0</v>
      </c>
      <c r="H791" s="201">
        <v>0</v>
      </c>
      <c r="I791" s="201">
        <v>0</v>
      </c>
      <c r="J791" s="201">
        <v>0</v>
      </c>
      <c r="K791" s="201">
        <v>0</v>
      </c>
      <c r="L791" s="201">
        <v>0</v>
      </c>
      <c r="M791" s="330">
        <v>0</v>
      </c>
      <c r="N791" s="202">
        <v>0</v>
      </c>
    </row>
    <row r="792" spans="1:14" ht="15.75" customHeight="1">
      <c r="A792" s="198" t="s">
        <v>159</v>
      </c>
      <c r="B792" s="199" t="s">
        <v>186</v>
      </c>
      <c r="C792" s="199" t="s">
        <v>169</v>
      </c>
      <c r="D792" s="200" t="s">
        <v>164</v>
      </c>
      <c r="E792" s="213">
        <v>0</v>
      </c>
      <c r="F792" s="201">
        <v>0</v>
      </c>
      <c r="G792" s="201">
        <v>0</v>
      </c>
      <c r="H792" s="201">
        <v>0</v>
      </c>
      <c r="I792" s="201">
        <v>0</v>
      </c>
      <c r="J792" s="201">
        <v>0</v>
      </c>
      <c r="K792" s="201">
        <v>0</v>
      </c>
      <c r="L792" s="201">
        <v>0</v>
      </c>
      <c r="M792" s="330" t="s">
        <v>172</v>
      </c>
      <c r="N792" s="202">
        <v>0</v>
      </c>
    </row>
    <row r="793" spans="1:14" ht="15.75" customHeight="1">
      <c r="A793" s="198" t="s">
        <v>159</v>
      </c>
      <c r="B793" s="199" t="s">
        <v>186</v>
      </c>
      <c r="C793" s="199" t="s">
        <v>169</v>
      </c>
      <c r="D793" s="200" t="s">
        <v>165</v>
      </c>
      <c r="E793" s="213">
        <v>0</v>
      </c>
      <c r="F793" s="201">
        <v>14</v>
      </c>
      <c r="G793" s="201">
        <v>8</v>
      </c>
      <c r="H793" s="201">
        <v>4</v>
      </c>
      <c r="I793" s="201">
        <v>8</v>
      </c>
      <c r="J793" s="201">
        <v>4</v>
      </c>
      <c r="K793" s="201">
        <v>3</v>
      </c>
      <c r="L793" s="201">
        <v>2</v>
      </c>
      <c r="M793" s="330">
        <v>4</v>
      </c>
      <c r="N793" s="202">
        <v>0</v>
      </c>
    </row>
    <row r="794" spans="1:14" ht="15.75" customHeight="1">
      <c r="A794" s="198" t="s">
        <v>159</v>
      </c>
      <c r="B794" s="199" t="s">
        <v>186</v>
      </c>
      <c r="C794" s="199" t="s">
        <v>169</v>
      </c>
      <c r="D794" s="203" t="s">
        <v>91</v>
      </c>
      <c r="E794" s="214">
        <v>0</v>
      </c>
      <c r="F794" s="204">
        <v>14</v>
      </c>
      <c r="G794" s="204">
        <v>8</v>
      </c>
      <c r="H794" s="204">
        <v>4</v>
      </c>
      <c r="I794" s="204">
        <v>8</v>
      </c>
      <c r="J794" s="204">
        <v>4</v>
      </c>
      <c r="K794" s="204">
        <v>3</v>
      </c>
      <c r="L794" s="204">
        <v>2</v>
      </c>
      <c r="M794" s="331">
        <v>4</v>
      </c>
      <c r="N794" s="202">
        <v>0</v>
      </c>
    </row>
    <row r="795" spans="1:14" ht="15.75" customHeight="1">
      <c r="A795" s="198" t="s">
        <v>159</v>
      </c>
      <c r="B795" s="199" t="s">
        <v>186</v>
      </c>
      <c r="C795" s="199" t="s">
        <v>139</v>
      </c>
      <c r="D795" s="200" t="s">
        <v>162</v>
      </c>
      <c r="E795" s="213">
        <v>0</v>
      </c>
      <c r="F795" s="201">
        <v>0</v>
      </c>
      <c r="G795" s="201">
        <v>0</v>
      </c>
      <c r="H795" s="201">
        <v>0</v>
      </c>
      <c r="I795" s="201">
        <v>0</v>
      </c>
      <c r="J795" s="201">
        <v>0</v>
      </c>
      <c r="K795" s="201">
        <v>0</v>
      </c>
      <c r="L795" s="201">
        <v>0</v>
      </c>
      <c r="M795" s="330" t="s">
        <v>172</v>
      </c>
      <c r="N795" s="202">
        <v>0</v>
      </c>
    </row>
    <row r="796" spans="1:14" ht="15.75" customHeight="1">
      <c r="A796" s="198" t="s">
        <v>159</v>
      </c>
      <c r="B796" s="199" t="s">
        <v>186</v>
      </c>
      <c r="C796" s="199" t="s">
        <v>139</v>
      </c>
      <c r="D796" s="200" t="s">
        <v>163</v>
      </c>
      <c r="E796" s="213">
        <v>0.8</v>
      </c>
      <c r="F796" s="201">
        <v>0</v>
      </c>
      <c r="G796" s="201">
        <v>1</v>
      </c>
      <c r="H796" s="201">
        <v>0</v>
      </c>
      <c r="I796" s="201">
        <v>0</v>
      </c>
      <c r="J796" s="201">
        <v>0</v>
      </c>
      <c r="K796" s="201">
        <v>0</v>
      </c>
      <c r="L796" s="201">
        <v>1</v>
      </c>
      <c r="M796" s="330">
        <v>1</v>
      </c>
      <c r="N796" s="202">
        <v>0.24999999999999994</v>
      </c>
    </row>
    <row r="797" spans="1:14" ht="15.75" customHeight="1">
      <c r="A797" s="198" t="s">
        <v>159</v>
      </c>
      <c r="B797" s="199" t="s">
        <v>186</v>
      </c>
      <c r="C797" s="199" t="s">
        <v>139</v>
      </c>
      <c r="D797" s="200" t="s">
        <v>164</v>
      </c>
      <c r="E797" s="213">
        <v>0.8</v>
      </c>
      <c r="F797" s="201">
        <v>0</v>
      </c>
      <c r="G797" s="201">
        <v>1</v>
      </c>
      <c r="H797" s="201">
        <v>0</v>
      </c>
      <c r="I797" s="201">
        <v>0</v>
      </c>
      <c r="J797" s="201">
        <v>0</v>
      </c>
      <c r="K797" s="201">
        <v>0</v>
      </c>
      <c r="L797" s="201">
        <v>1</v>
      </c>
      <c r="M797" s="330">
        <v>1</v>
      </c>
      <c r="N797" s="202">
        <v>0.24999999999999994</v>
      </c>
    </row>
    <row r="798" spans="1:14" ht="15.75" customHeight="1">
      <c r="A798" s="198" t="s">
        <v>159</v>
      </c>
      <c r="B798" s="199" t="s">
        <v>186</v>
      </c>
      <c r="C798" s="199" t="s">
        <v>139</v>
      </c>
      <c r="D798" s="200" t="s">
        <v>165</v>
      </c>
      <c r="E798" s="213">
        <v>7.3</v>
      </c>
      <c r="F798" s="201">
        <v>5</v>
      </c>
      <c r="G798" s="201">
        <v>4</v>
      </c>
      <c r="H798" s="201">
        <v>11</v>
      </c>
      <c r="I798" s="201">
        <v>4</v>
      </c>
      <c r="J798" s="201">
        <v>8</v>
      </c>
      <c r="K798" s="201">
        <v>6</v>
      </c>
      <c r="L798" s="201">
        <v>13</v>
      </c>
      <c r="M798" s="330">
        <v>3</v>
      </c>
      <c r="N798" s="202">
        <v>-0.58904109589041098</v>
      </c>
    </row>
    <row r="799" spans="1:14" ht="15.75" customHeight="1">
      <c r="A799" s="198" t="s">
        <v>159</v>
      </c>
      <c r="B799" s="199" t="s">
        <v>186</v>
      </c>
      <c r="C799" s="199" t="s">
        <v>139</v>
      </c>
      <c r="D799" s="203" t="s">
        <v>91</v>
      </c>
      <c r="E799" s="214">
        <v>8.1</v>
      </c>
      <c r="F799" s="204">
        <v>5</v>
      </c>
      <c r="G799" s="204">
        <v>5</v>
      </c>
      <c r="H799" s="204">
        <v>11</v>
      </c>
      <c r="I799" s="204">
        <v>4</v>
      </c>
      <c r="J799" s="204">
        <v>8</v>
      </c>
      <c r="K799" s="204">
        <v>6</v>
      </c>
      <c r="L799" s="204">
        <v>14</v>
      </c>
      <c r="M799" s="331">
        <v>4</v>
      </c>
      <c r="N799" s="202">
        <v>-0.50617283950617287</v>
      </c>
    </row>
    <row r="800" spans="1:14" ht="15.75" customHeight="1">
      <c r="A800" s="198" t="s">
        <v>159</v>
      </c>
      <c r="B800" s="199" t="s">
        <v>186</v>
      </c>
      <c r="C800" s="205" t="s">
        <v>91</v>
      </c>
      <c r="D800" s="203" t="s">
        <v>162</v>
      </c>
      <c r="E800" s="214">
        <v>6</v>
      </c>
      <c r="F800" s="204">
        <v>4</v>
      </c>
      <c r="G800" s="204">
        <v>3</v>
      </c>
      <c r="H800" s="204">
        <v>3</v>
      </c>
      <c r="I800" s="204">
        <v>7</v>
      </c>
      <c r="J800" s="204">
        <v>5</v>
      </c>
      <c r="K800" s="204">
        <v>5</v>
      </c>
      <c r="L800" s="204">
        <v>3</v>
      </c>
      <c r="M800" s="331">
        <v>10</v>
      </c>
      <c r="N800" s="202">
        <v>0.66666666666666663</v>
      </c>
    </row>
    <row r="801" spans="1:14" ht="15.75" customHeight="1">
      <c r="A801" s="198" t="s">
        <v>175</v>
      </c>
      <c r="B801" s="199" t="s">
        <v>183</v>
      </c>
      <c r="C801" s="205" t="s">
        <v>91</v>
      </c>
      <c r="D801" s="203" t="s">
        <v>163</v>
      </c>
      <c r="E801" s="216">
        <v>138.5</v>
      </c>
      <c r="F801" s="204">
        <v>97</v>
      </c>
      <c r="G801" s="204">
        <v>112</v>
      </c>
      <c r="H801" s="204">
        <v>99</v>
      </c>
      <c r="I801" s="204">
        <v>82</v>
      </c>
      <c r="J801" s="204">
        <v>104</v>
      </c>
      <c r="K801" s="204">
        <v>110</v>
      </c>
      <c r="L801" s="204">
        <v>109</v>
      </c>
      <c r="M801" s="331">
        <v>108</v>
      </c>
      <c r="N801" s="202">
        <v>-0.22021660649819494</v>
      </c>
    </row>
    <row r="802" spans="1:14" ht="15.75" customHeight="1">
      <c r="A802" s="198" t="s">
        <v>159</v>
      </c>
      <c r="B802" s="199" t="s">
        <v>186</v>
      </c>
      <c r="C802" s="205" t="s">
        <v>91</v>
      </c>
      <c r="D802" s="203" t="s">
        <v>164</v>
      </c>
      <c r="E802" s="214">
        <v>105.3</v>
      </c>
      <c r="F802" s="204">
        <v>68</v>
      </c>
      <c r="G802" s="204">
        <v>77</v>
      </c>
      <c r="H802" s="204">
        <v>88</v>
      </c>
      <c r="I802" s="204">
        <v>71</v>
      </c>
      <c r="J802" s="204">
        <v>72</v>
      </c>
      <c r="K802" s="204">
        <v>81</v>
      </c>
      <c r="L802" s="204">
        <v>65</v>
      </c>
      <c r="M802" s="331">
        <v>88</v>
      </c>
      <c r="N802" s="202">
        <v>-0.16429249762583092</v>
      </c>
    </row>
    <row r="803" spans="1:14" ht="15.75" customHeight="1">
      <c r="A803" s="198" t="s">
        <v>159</v>
      </c>
      <c r="B803" s="199" t="s">
        <v>186</v>
      </c>
      <c r="C803" s="205" t="s">
        <v>91</v>
      </c>
      <c r="D803" s="203" t="s">
        <v>165</v>
      </c>
      <c r="E803" s="214">
        <v>721.3</v>
      </c>
      <c r="F803" s="204">
        <v>718</v>
      </c>
      <c r="G803" s="204">
        <v>704</v>
      </c>
      <c r="H803" s="204">
        <v>670</v>
      </c>
      <c r="I803" s="204">
        <v>533</v>
      </c>
      <c r="J803" s="204">
        <v>606</v>
      </c>
      <c r="K803" s="204">
        <v>647</v>
      </c>
      <c r="L803" s="204">
        <v>580</v>
      </c>
      <c r="M803" s="331">
        <v>616</v>
      </c>
      <c r="N803" s="202">
        <v>-0.14598641342021346</v>
      </c>
    </row>
    <row r="804" spans="1:14" ht="15.75" customHeight="1">
      <c r="A804" s="198" t="s">
        <v>159</v>
      </c>
      <c r="B804" s="199" t="s">
        <v>186</v>
      </c>
      <c r="C804" s="205" t="s">
        <v>91</v>
      </c>
      <c r="D804" s="203" t="s">
        <v>91</v>
      </c>
      <c r="E804" s="214">
        <v>832.6</v>
      </c>
      <c r="F804" s="204">
        <v>790</v>
      </c>
      <c r="G804" s="204">
        <v>784</v>
      </c>
      <c r="H804" s="204">
        <v>761</v>
      </c>
      <c r="I804" s="204">
        <v>611</v>
      </c>
      <c r="J804" s="204">
        <v>683</v>
      </c>
      <c r="K804" s="204">
        <v>733</v>
      </c>
      <c r="L804" s="204">
        <v>648</v>
      </c>
      <c r="M804" s="331">
        <v>714</v>
      </c>
      <c r="N804" s="202">
        <v>-0.14244535190968055</v>
      </c>
    </row>
    <row r="805" spans="1:14" ht="15.75" customHeight="1">
      <c r="A805" s="198" t="s">
        <v>159</v>
      </c>
      <c r="B805" s="199" t="s">
        <v>187</v>
      </c>
      <c r="C805" s="199" t="s">
        <v>161</v>
      </c>
      <c r="D805" s="200" t="s">
        <v>162</v>
      </c>
      <c r="E805" s="213">
        <v>0</v>
      </c>
      <c r="F805" s="201">
        <v>0</v>
      </c>
      <c r="G805" s="201">
        <v>0</v>
      </c>
      <c r="H805" s="201">
        <v>0</v>
      </c>
      <c r="I805" s="201">
        <v>0</v>
      </c>
      <c r="J805" s="201">
        <v>0</v>
      </c>
      <c r="K805" s="201">
        <v>0</v>
      </c>
      <c r="L805" s="201">
        <v>0</v>
      </c>
      <c r="M805" s="330" t="s">
        <v>172</v>
      </c>
      <c r="N805" s="202">
        <v>0</v>
      </c>
    </row>
    <row r="806" spans="1:14">
      <c r="A806" s="198" t="s">
        <v>159</v>
      </c>
      <c r="B806" s="199" t="s">
        <v>187</v>
      </c>
      <c r="C806" s="199" t="s">
        <v>161</v>
      </c>
      <c r="D806" s="200" t="s">
        <v>163</v>
      </c>
      <c r="E806" s="213">
        <v>4.0999999999999996</v>
      </c>
      <c r="F806" s="201">
        <v>2</v>
      </c>
      <c r="G806" s="201">
        <v>2</v>
      </c>
      <c r="H806" s="201">
        <v>2</v>
      </c>
      <c r="I806" s="201">
        <v>0</v>
      </c>
      <c r="J806" s="201">
        <v>2</v>
      </c>
      <c r="K806" s="201">
        <v>2</v>
      </c>
      <c r="L806" s="201">
        <v>3</v>
      </c>
      <c r="M806" s="330">
        <v>3</v>
      </c>
      <c r="N806" s="202">
        <v>-0.26829268292682923</v>
      </c>
    </row>
    <row r="807" spans="1:14" ht="15.75" customHeight="1">
      <c r="A807" s="198" t="s">
        <v>159</v>
      </c>
      <c r="B807" s="199" t="s">
        <v>187</v>
      </c>
      <c r="C807" s="199" t="s">
        <v>161</v>
      </c>
      <c r="D807" s="200" t="s">
        <v>164</v>
      </c>
      <c r="E807" s="213">
        <v>4.0999999999999996</v>
      </c>
      <c r="F807" s="201">
        <v>2</v>
      </c>
      <c r="G807" s="201">
        <v>2</v>
      </c>
      <c r="H807" s="201">
        <v>2</v>
      </c>
      <c r="I807" s="201">
        <v>0</v>
      </c>
      <c r="J807" s="201">
        <v>2</v>
      </c>
      <c r="K807" s="201">
        <v>2</v>
      </c>
      <c r="L807" s="201">
        <v>3</v>
      </c>
      <c r="M807" s="330">
        <v>3</v>
      </c>
      <c r="N807" s="202">
        <v>-0.26829268292682923</v>
      </c>
    </row>
    <row r="808" spans="1:14" ht="15.75" customHeight="1">
      <c r="A808" s="198" t="s">
        <v>159</v>
      </c>
      <c r="B808" s="199" t="s">
        <v>187</v>
      </c>
      <c r="C808" s="199" t="s">
        <v>161</v>
      </c>
      <c r="D808" s="200" t="s">
        <v>165</v>
      </c>
      <c r="E808" s="213">
        <v>27.8</v>
      </c>
      <c r="F808" s="201">
        <v>36</v>
      </c>
      <c r="G808" s="201">
        <v>34</v>
      </c>
      <c r="H808" s="201">
        <v>14</v>
      </c>
      <c r="I808" s="201">
        <v>5</v>
      </c>
      <c r="J808" s="201">
        <v>19</v>
      </c>
      <c r="K808" s="201">
        <v>26</v>
      </c>
      <c r="L808" s="201">
        <v>25</v>
      </c>
      <c r="M808" s="330">
        <v>19</v>
      </c>
      <c r="N808" s="202">
        <v>-0.31654676258992809</v>
      </c>
    </row>
    <row r="809" spans="1:14" ht="15.75" customHeight="1">
      <c r="A809" s="198" t="s">
        <v>159</v>
      </c>
      <c r="B809" s="199" t="s">
        <v>187</v>
      </c>
      <c r="C809" s="199" t="s">
        <v>161</v>
      </c>
      <c r="D809" s="203" t="s">
        <v>91</v>
      </c>
      <c r="E809" s="214">
        <v>31.9</v>
      </c>
      <c r="F809" s="204">
        <v>38</v>
      </c>
      <c r="G809" s="204">
        <v>36</v>
      </c>
      <c r="H809" s="204">
        <v>16</v>
      </c>
      <c r="I809" s="204">
        <v>5</v>
      </c>
      <c r="J809" s="204">
        <v>21</v>
      </c>
      <c r="K809" s="204">
        <v>28</v>
      </c>
      <c r="L809" s="204">
        <v>28</v>
      </c>
      <c r="M809" s="331">
        <v>22</v>
      </c>
      <c r="N809" s="202">
        <v>-0.31034482758620685</v>
      </c>
    </row>
    <row r="810" spans="1:14" ht="15.75" customHeight="1">
      <c r="A810" s="198" t="s">
        <v>159</v>
      </c>
      <c r="B810" s="199" t="s">
        <v>187</v>
      </c>
      <c r="C810" s="199" t="s">
        <v>134</v>
      </c>
      <c r="D810" s="200" t="s">
        <v>162</v>
      </c>
      <c r="E810" s="213">
        <v>1.8</v>
      </c>
      <c r="F810" s="201">
        <v>1</v>
      </c>
      <c r="G810" s="201">
        <v>2</v>
      </c>
      <c r="H810" s="201">
        <v>1</v>
      </c>
      <c r="I810" s="201">
        <v>1</v>
      </c>
      <c r="J810" s="201">
        <v>2</v>
      </c>
      <c r="K810" s="201">
        <v>0</v>
      </c>
      <c r="L810" s="201">
        <v>4</v>
      </c>
      <c r="M810" s="330">
        <v>1</v>
      </c>
      <c r="N810" s="202">
        <v>-0.44444444444444448</v>
      </c>
    </row>
    <row r="811" spans="1:14">
      <c r="A811" s="198" t="s">
        <v>159</v>
      </c>
      <c r="B811" s="199" t="s">
        <v>187</v>
      </c>
      <c r="C811" s="199" t="s">
        <v>134</v>
      </c>
      <c r="D811" s="200" t="s">
        <v>163</v>
      </c>
      <c r="E811" s="213">
        <v>55.1</v>
      </c>
      <c r="F811" s="201">
        <v>26</v>
      </c>
      <c r="G811" s="201">
        <v>44</v>
      </c>
      <c r="H811" s="201">
        <v>29</v>
      </c>
      <c r="I811" s="201">
        <v>33</v>
      </c>
      <c r="J811" s="201">
        <v>23</v>
      </c>
      <c r="K811" s="201">
        <v>33</v>
      </c>
      <c r="L811" s="201">
        <v>19</v>
      </c>
      <c r="M811" s="330">
        <v>16</v>
      </c>
      <c r="N811" s="202">
        <v>-0.70961887477313979</v>
      </c>
    </row>
    <row r="812" spans="1:14" ht="15.75" customHeight="1">
      <c r="A812" s="198" t="s">
        <v>159</v>
      </c>
      <c r="B812" s="199" t="s">
        <v>187</v>
      </c>
      <c r="C812" s="199" t="s">
        <v>134</v>
      </c>
      <c r="D812" s="200" t="s">
        <v>164</v>
      </c>
      <c r="E812" s="213">
        <v>53.3</v>
      </c>
      <c r="F812" s="201">
        <v>25</v>
      </c>
      <c r="G812" s="201">
        <v>42</v>
      </c>
      <c r="H812" s="201">
        <v>28</v>
      </c>
      <c r="I812" s="201">
        <v>32</v>
      </c>
      <c r="J812" s="201">
        <v>21</v>
      </c>
      <c r="K812" s="201">
        <v>33</v>
      </c>
      <c r="L812" s="201">
        <v>15</v>
      </c>
      <c r="M812" s="330">
        <v>15</v>
      </c>
      <c r="N812" s="202">
        <v>-0.7185741088180112</v>
      </c>
    </row>
    <row r="813" spans="1:14" ht="15.75" customHeight="1">
      <c r="A813" s="198" t="s">
        <v>159</v>
      </c>
      <c r="B813" s="199" t="s">
        <v>187</v>
      </c>
      <c r="C813" s="199" t="s">
        <v>134</v>
      </c>
      <c r="D813" s="200" t="s">
        <v>165</v>
      </c>
      <c r="E813" s="213">
        <v>595.70000000000005</v>
      </c>
      <c r="F813" s="201">
        <v>567</v>
      </c>
      <c r="G813" s="201">
        <v>506</v>
      </c>
      <c r="H813" s="201">
        <v>478</v>
      </c>
      <c r="I813" s="201">
        <v>350</v>
      </c>
      <c r="J813" s="201">
        <v>352</v>
      </c>
      <c r="K813" s="201">
        <v>458</v>
      </c>
      <c r="L813" s="201">
        <v>385</v>
      </c>
      <c r="M813" s="330">
        <v>376</v>
      </c>
      <c r="N813" s="202">
        <v>-0.36880980359241233</v>
      </c>
    </row>
    <row r="814" spans="1:14" ht="15.75" customHeight="1">
      <c r="A814" s="198" t="s">
        <v>159</v>
      </c>
      <c r="B814" s="199" t="s">
        <v>187</v>
      </c>
      <c r="C814" s="199" t="s">
        <v>134</v>
      </c>
      <c r="D814" s="203" t="s">
        <v>91</v>
      </c>
      <c r="E814" s="214">
        <v>650.9</v>
      </c>
      <c r="F814" s="204">
        <v>593</v>
      </c>
      <c r="G814" s="204">
        <v>550</v>
      </c>
      <c r="H814" s="204">
        <v>507</v>
      </c>
      <c r="I814" s="204">
        <v>383</v>
      </c>
      <c r="J814" s="204">
        <v>375</v>
      </c>
      <c r="K814" s="204">
        <v>491</v>
      </c>
      <c r="L814" s="204">
        <v>404</v>
      </c>
      <c r="M814" s="331">
        <v>392</v>
      </c>
      <c r="N814" s="202">
        <v>-0.39775695191273619</v>
      </c>
    </row>
    <row r="815" spans="1:14" ht="15.75" customHeight="1">
      <c r="A815" s="198" t="s">
        <v>159</v>
      </c>
      <c r="B815" s="199" t="s">
        <v>187</v>
      </c>
      <c r="C815" s="199" t="s">
        <v>166</v>
      </c>
      <c r="D815" s="200" t="s">
        <v>162</v>
      </c>
      <c r="E815" s="213">
        <v>0</v>
      </c>
      <c r="F815" s="201">
        <v>1</v>
      </c>
      <c r="G815" s="201">
        <v>0</v>
      </c>
      <c r="H815" s="201">
        <v>0</v>
      </c>
      <c r="I815" s="201">
        <v>0</v>
      </c>
      <c r="J815" s="201">
        <v>0</v>
      </c>
      <c r="K815" s="201">
        <v>0</v>
      </c>
      <c r="L815" s="201">
        <v>0</v>
      </c>
      <c r="M815" s="330" t="s">
        <v>172</v>
      </c>
      <c r="N815" s="202">
        <v>0</v>
      </c>
    </row>
    <row r="816" spans="1:14">
      <c r="A816" s="198" t="s">
        <v>159</v>
      </c>
      <c r="B816" s="199" t="s">
        <v>187</v>
      </c>
      <c r="C816" s="199" t="s">
        <v>166</v>
      </c>
      <c r="D816" s="200" t="s">
        <v>163</v>
      </c>
      <c r="E816" s="213">
        <v>2.1</v>
      </c>
      <c r="F816" s="201">
        <v>2</v>
      </c>
      <c r="G816" s="201">
        <v>2</v>
      </c>
      <c r="H816" s="201">
        <v>2</v>
      </c>
      <c r="I816" s="201">
        <v>2</v>
      </c>
      <c r="J816" s="201">
        <v>3</v>
      </c>
      <c r="K816" s="201">
        <v>2</v>
      </c>
      <c r="L816" s="201">
        <v>0</v>
      </c>
      <c r="M816" s="330">
        <v>1</v>
      </c>
      <c r="N816" s="202">
        <v>-0.52380952380952384</v>
      </c>
    </row>
    <row r="817" spans="1:14" ht="15.75" customHeight="1">
      <c r="A817" s="198" t="s">
        <v>159</v>
      </c>
      <c r="B817" s="199" t="s">
        <v>187</v>
      </c>
      <c r="C817" s="199" t="s">
        <v>166</v>
      </c>
      <c r="D817" s="200" t="s">
        <v>164</v>
      </c>
      <c r="E817" s="213">
        <v>2.1</v>
      </c>
      <c r="F817" s="201">
        <v>1</v>
      </c>
      <c r="G817" s="201">
        <v>2</v>
      </c>
      <c r="H817" s="201">
        <v>2</v>
      </c>
      <c r="I817" s="201">
        <v>2</v>
      </c>
      <c r="J817" s="201">
        <v>3</v>
      </c>
      <c r="K817" s="201">
        <v>2</v>
      </c>
      <c r="L817" s="201">
        <v>0</v>
      </c>
      <c r="M817" s="330">
        <v>1</v>
      </c>
      <c r="N817" s="202">
        <v>-0.52380952380952384</v>
      </c>
    </row>
    <row r="818" spans="1:14" ht="15.75" customHeight="1">
      <c r="A818" s="198" t="s">
        <v>159</v>
      </c>
      <c r="B818" s="199" t="s">
        <v>187</v>
      </c>
      <c r="C818" s="199" t="s">
        <v>166</v>
      </c>
      <c r="D818" s="200" t="s">
        <v>165</v>
      </c>
      <c r="E818" s="213">
        <v>23</v>
      </c>
      <c r="F818" s="201">
        <v>34</v>
      </c>
      <c r="G818" s="201">
        <v>16</v>
      </c>
      <c r="H818" s="201">
        <v>15</v>
      </c>
      <c r="I818" s="201">
        <v>18</v>
      </c>
      <c r="J818" s="201">
        <v>17</v>
      </c>
      <c r="K818" s="201">
        <v>20</v>
      </c>
      <c r="L818" s="201">
        <v>21</v>
      </c>
      <c r="M818" s="330">
        <v>15</v>
      </c>
      <c r="N818" s="202">
        <v>-0.34782608695652173</v>
      </c>
    </row>
    <row r="819" spans="1:14" ht="15.75" customHeight="1">
      <c r="A819" s="198" t="s">
        <v>159</v>
      </c>
      <c r="B819" s="199" t="s">
        <v>187</v>
      </c>
      <c r="C819" s="199" t="s">
        <v>166</v>
      </c>
      <c r="D819" s="203" t="s">
        <v>91</v>
      </c>
      <c r="E819" s="214">
        <v>25.1</v>
      </c>
      <c r="F819" s="204">
        <v>36</v>
      </c>
      <c r="G819" s="204">
        <v>18</v>
      </c>
      <c r="H819" s="204">
        <v>17</v>
      </c>
      <c r="I819" s="204">
        <v>20</v>
      </c>
      <c r="J819" s="204">
        <v>20</v>
      </c>
      <c r="K819" s="204">
        <v>22</v>
      </c>
      <c r="L819" s="204">
        <v>21</v>
      </c>
      <c r="M819" s="331">
        <v>16</v>
      </c>
      <c r="N819" s="202">
        <v>-0.36254980079681276</v>
      </c>
    </row>
    <row r="820" spans="1:14" ht="15.75" customHeight="1">
      <c r="A820" s="198" t="s">
        <v>159</v>
      </c>
      <c r="B820" s="199" t="s">
        <v>187</v>
      </c>
      <c r="C820" s="199" t="s">
        <v>133</v>
      </c>
      <c r="D820" s="200" t="s">
        <v>162</v>
      </c>
      <c r="E820" s="213">
        <v>1</v>
      </c>
      <c r="F820" s="201">
        <v>1</v>
      </c>
      <c r="G820" s="201">
        <v>0</v>
      </c>
      <c r="H820" s="201">
        <v>1</v>
      </c>
      <c r="I820" s="201">
        <v>2</v>
      </c>
      <c r="J820" s="201">
        <v>0</v>
      </c>
      <c r="K820" s="201">
        <v>2</v>
      </c>
      <c r="L820" s="201">
        <v>1</v>
      </c>
      <c r="M820" s="330" t="s">
        <v>172</v>
      </c>
      <c r="N820" s="202">
        <v>-1</v>
      </c>
    </row>
    <row r="821" spans="1:14">
      <c r="A821" s="198" t="s">
        <v>159</v>
      </c>
      <c r="B821" s="199" t="s">
        <v>187</v>
      </c>
      <c r="C821" s="199" t="s">
        <v>133</v>
      </c>
      <c r="D821" s="200" t="s">
        <v>163</v>
      </c>
      <c r="E821" s="213">
        <v>26.5</v>
      </c>
      <c r="F821" s="201">
        <v>21</v>
      </c>
      <c r="G821" s="201">
        <v>22</v>
      </c>
      <c r="H821" s="201">
        <v>24</v>
      </c>
      <c r="I821" s="201">
        <v>23</v>
      </c>
      <c r="J821" s="201">
        <v>21</v>
      </c>
      <c r="K821" s="201">
        <v>30</v>
      </c>
      <c r="L821" s="201">
        <v>26</v>
      </c>
      <c r="M821" s="330">
        <v>19</v>
      </c>
      <c r="N821" s="202">
        <v>-0.28301886792452829</v>
      </c>
    </row>
    <row r="822" spans="1:14" ht="15.75" customHeight="1">
      <c r="A822" s="198" t="s">
        <v>159</v>
      </c>
      <c r="B822" s="199" t="s">
        <v>187</v>
      </c>
      <c r="C822" s="199" t="s">
        <v>133</v>
      </c>
      <c r="D822" s="200" t="s">
        <v>164</v>
      </c>
      <c r="E822" s="213">
        <v>25.5</v>
      </c>
      <c r="F822" s="201">
        <v>20</v>
      </c>
      <c r="G822" s="201">
        <v>22</v>
      </c>
      <c r="H822" s="201">
        <v>23</v>
      </c>
      <c r="I822" s="201">
        <v>21</v>
      </c>
      <c r="J822" s="201">
        <v>21</v>
      </c>
      <c r="K822" s="201">
        <v>28</v>
      </c>
      <c r="L822" s="201">
        <v>25</v>
      </c>
      <c r="M822" s="330">
        <v>19</v>
      </c>
      <c r="N822" s="202">
        <v>-0.25490196078431371</v>
      </c>
    </row>
    <row r="823" spans="1:14" ht="15.75" customHeight="1">
      <c r="A823" s="198" t="s">
        <v>159</v>
      </c>
      <c r="B823" s="199" t="s">
        <v>187</v>
      </c>
      <c r="C823" s="199" t="s">
        <v>133</v>
      </c>
      <c r="D823" s="200" t="s">
        <v>165</v>
      </c>
      <c r="E823" s="213">
        <v>80.099999999999994</v>
      </c>
      <c r="F823" s="201">
        <v>68</v>
      </c>
      <c r="G823" s="201">
        <v>59</v>
      </c>
      <c r="H823" s="201">
        <v>76</v>
      </c>
      <c r="I823" s="201">
        <v>56</v>
      </c>
      <c r="J823" s="201">
        <v>77</v>
      </c>
      <c r="K823" s="201">
        <v>87</v>
      </c>
      <c r="L823" s="201">
        <v>84</v>
      </c>
      <c r="M823" s="330">
        <v>85</v>
      </c>
      <c r="N823" s="202">
        <v>6.1173533083645516E-2</v>
      </c>
    </row>
    <row r="824" spans="1:14" ht="15.75" customHeight="1">
      <c r="A824" s="198" t="s">
        <v>159</v>
      </c>
      <c r="B824" s="199" t="s">
        <v>187</v>
      </c>
      <c r="C824" s="199" t="s">
        <v>133</v>
      </c>
      <c r="D824" s="203" t="s">
        <v>91</v>
      </c>
      <c r="E824" s="214">
        <v>106.6</v>
      </c>
      <c r="F824" s="204">
        <v>89</v>
      </c>
      <c r="G824" s="204">
        <v>81</v>
      </c>
      <c r="H824" s="204">
        <v>100</v>
      </c>
      <c r="I824" s="204">
        <v>79</v>
      </c>
      <c r="J824" s="204">
        <v>98</v>
      </c>
      <c r="K824" s="204">
        <v>117</v>
      </c>
      <c r="L824" s="204">
        <v>110</v>
      </c>
      <c r="M824" s="331">
        <v>104</v>
      </c>
      <c r="N824" s="202">
        <v>-2.4390243902438973E-2</v>
      </c>
    </row>
    <row r="825" spans="1:14" ht="15.75" customHeight="1">
      <c r="A825" s="198" t="s">
        <v>159</v>
      </c>
      <c r="B825" s="199" t="s">
        <v>187</v>
      </c>
      <c r="C825" s="199" t="s">
        <v>167</v>
      </c>
      <c r="D825" s="200" t="s">
        <v>162</v>
      </c>
      <c r="E825" s="213">
        <v>0</v>
      </c>
      <c r="F825" s="201">
        <v>0</v>
      </c>
      <c r="G825" s="201">
        <v>0</v>
      </c>
      <c r="H825" s="201">
        <v>0</v>
      </c>
      <c r="I825" s="201">
        <v>0</v>
      </c>
      <c r="J825" s="201">
        <v>0</v>
      </c>
      <c r="K825" s="201">
        <v>0</v>
      </c>
      <c r="L825" s="201">
        <v>0</v>
      </c>
      <c r="M825" s="330" t="s">
        <v>172</v>
      </c>
      <c r="N825" s="202">
        <v>0</v>
      </c>
    </row>
    <row r="826" spans="1:14">
      <c r="A826" s="198" t="s">
        <v>159</v>
      </c>
      <c r="B826" s="199" t="s">
        <v>187</v>
      </c>
      <c r="C826" s="199" t="s">
        <v>167</v>
      </c>
      <c r="D826" s="200" t="s">
        <v>163</v>
      </c>
      <c r="E826" s="213">
        <v>0.5</v>
      </c>
      <c r="F826" s="201">
        <v>0</v>
      </c>
      <c r="G826" s="201">
        <v>0</v>
      </c>
      <c r="H826" s="201">
        <v>0</v>
      </c>
      <c r="I826" s="201">
        <v>2</v>
      </c>
      <c r="J826" s="201">
        <v>3</v>
      </c>
      <c r="K826" s="201">
        <v>2</v>
      </c>
      <c r="L826" s="201">
        <v>4</v>
      </c>
      <c r="M826" s="330">
        <v>0</v>
      </c>
      <c r="N826" s="202">
        <v>-1</v>
      </c>
    </row>
    <row r="827" spans="1:14" ht="15.75" customHeight="1">
      <c r="A827" s="198" t="s">
        <v>159</v>
      </c>
      <c r="B827" s="199" t="s">
        <v>187</v>
      </c>
      <c r="C827" s="199" t="s">
        <v>167</v>
      </c>
      <c r="D827" s="200" t="s">
        <v>164</v>
      </c>
      <c r="E827" s="213">
        <v>0.5</v>
      </c>
      <c r="F827" s="201">
        <v>0</v>
      </c>
      <c r="G827" s="201">
        <v>0</v>
      </c>
      <c r="H827" s="201">
        <v>0</v>
      </c>
      <c r="I827" s="201">
        <v>2</v>
      </c>
      <c r="J827" s="201">
        <v>3</v>
      </c>
      <c r="K827" s="201">
        <v>2</v>
      </c>
      <c r="L827" s="201">
        <v>4</v>
      </c>
      <c r="M827" s="330" t="s">
        <v>172</v>
      </c>
      <c r="N827" s="202">
        <v>-1</v>
      </c>
    </row>
    <row r="828" spans="1:14" ht="15.75" customHeight="1">
      <c r="A828" s="198" t="s">
        <v>159</v>
      </c>
      <c r="B828" s="199" t="s">
        <v>187</v>
      </c>
      <c r="C828" s="199" t="s">
        <v>167</v>
      </c>
      <c r="D828" s="200" t="s">
        <v>165</v>
      </c>
      <c r="E828" s="213">
        <v>5.2</v>
      </c>
      <c r="F828" s="201">
        <v>2</v>
      </c>
      <c r="G828" s="201">
        <v>2</v>
      </c>
      <c r="H828" s="201">
        <v>1</v>
      </c>
      <c r="I828" s="201">
        <v>3</v>
      </c>
      <c r="J828" s="201">
        <v>14</v>
      </c>
      <c r="K828" s="201">
        <v>0</v>
      </c>
      <c r="L828" s="201">
        <v>6</v>
      </c>
      <c r="M828" s="330">
        <v>12</v>
      </c>
      <c r="N828" s="202">
        <v>1.3076923076923077</v>
      </c>
    </row>
    <row r="829" spans="1:14" ht="15.75" customHeight="1">
      <c r="A829" s="198" t="s">
        <v>159</v>
      </c>
      <c r="B829" s="199" t="s">
        <v>187</v>
      </c>
      <c r="C829" s="199" t="s">
        <v>167</v>
      </c>
      <c r="D829" s="203" t="s">
        <v>91</v>
      </c>
      <c r="E829" s="214">
        <v>5.7</v>
      </c>
      <c r="F829" s="204">
        <v>2</v>
      </c>
      <c r="G829" s="204">
        <v>2</v>
      </c>
      <c r="H829" s="204">
        <v>1</v>
      </c>
      <c r="I829" s="204">
        <v>5</v>
      </c>
      <c r="J829" s="204">
        <v>17</v>
      </c>
      <c r="K829" s="204">
        <v>2</v>
      </c>
      <c r="L829" s="204">
        <v>10</v>
      </c>
      <c r="M829" s="331">
        <v>12</v>
      </c>
      <c r="N829" s="202">
        <v>1.1052631578947367</v>
      </c>
    </row>
    <row r="830" spans="1:14" ht="15.75" customHeight="1">
      <c r="A830" s="198" t="s">
        <v>159</v>
      </c>
      <c r="B830" s="199" t="s">
        <v>187</v>
      </c>
      <c r="C830" s="199" t="s">
        <v>168</v>
      </c>
      <c r="D830" s="200" t="s">
        <v>162</v>
      </c>
      <c r="E830" s="213">
        <v>0.4</v>
      </c>
      <c r="F830" s="201">
        <v>0</v>
      </c>
      <c r="G830" s="201">
        <v>0</v>
      </c>
      <c r="H830" s="201">
        <v>0</v>
      </c>
      <c r="I830" s="201">
        <v>1</v>
      </c>
      <c r="J830" s="201">
        <v>0</v>
      </c>
      <c r="K830" s="201">
        <v>0</v>
      </c>
      <c r="L830" s="201">
        <v>0</v>
      </c>
      <c r="M830" s="330" t="s">
        <v>172</v>
      </c>
      <c r="N830" s="202">
        <v>-1</v>
      </c>
    </row>
    <row r="831" spans="1:14" ht="15.75" customHeight="1">
      <c r="A831" s="198" t="s">
        <v>159</v>
      </c>
      <c r="B831" s="199" t="s">
        <v>187</v>
      </c>
      <c r="C831" s="199" t="s">
        <v>168</v>
      </c>
      <c r="D831" s="200" t="s">
        <v>163</v>
      </c>
      <c r="E831" s="213">
        <v>10.6</v>
      </c>
      <c r="F831" s="201">
        <v>3</v>
      </c>
      <c r="G831" s="201">
        <v>12</v>
      </c>
      <c r="H831" s="201">
        <v>14</v>
      </c>
      <c r="I831" s="201">
        <v>19</v>
      </c>
      <c r="J831" s="201">
        <v>13</v>
      </c>
      <c r="K831" s="201">
        <v>8</v>
      </c>
      <c r="L831" s="201">
        <v>12</v>
      </c>
      <c r="M831" s="330">
        <v>14</v>
      </c>
      <c r="N831" s="202">
        <v>0.32075471698113212</v>
      </c>
    </row>
    <row r="832" spans="1:14" ht="15.75" customHeight="1">
      <c r="A832" s="198" t="s">
        <v>159</v>
      </c>
      <c r="B832" s="199" t="s">
        <v>187</v>
      </c>
      <c r="C832" s="199" t="s">
        <v>168</v>
      </c>
      <c r="D832" s="200" t="s">
        <v>164</v>
      </c>
      <c r="E832" s="213">
        <v>10.199999999999999</v>
      </c>
      <c r="F832" s="201">
        <v>3</v>
      </c>
      <c r="G832" s="201">
        <v>12</v>
      </c>
      <c r="H832" s="201">
        <v>14</v>
      </c>
      <c r="I832" s="201">
        <v>18</v>
      </c>
      <c r="J832" s="201">
        <v>13</v>
      </c>
      <c r="K832" s="201">
        <v>8</v>
      </c>
      <c r="L832" s="201">
        <v>12</v>
      </c>
      <c r="M832" s="330">
        <v>14</v>
      </c>
      <c r="N832" s="202">
        <v>0.37254901960784326</v>
      </c>
    </row>
    <row r="833" spans="1:14" ht="15.75" customHeight="1">
      <c r="A833" s="198" t="s">
        <v>159</v>
      </c>
      <c r="B833" s="199" t="s">
        <v>187</v>
      </c>
      <c r="C833" s="199" t="s">
        <v>168</v>
      </c>
      <c r="D833" s="200" t="s">
        <v>165</v>
      </c>
      <c r="E833" s="213">
        <v>54.9</v>
      </c>
      <c r="F833" s="201">
        <v>35</v>
      </c>
      <c r="G833" s="201">
        <v>43</v>
      </c>
      <c r="H833" s="201">
        <v>46</v>
      </c>
      <c r="I833" s="201">
        <v>56</v>
      </c>
      <c r="J833" s="201">
        <v>46</v>
      </c>
      <c r="K833" s="201">
        <v>45</v>
      </c>
      <c r="L833" s="201">
        <v>43</v>
      </c>
      <c r="M833" s="330">
        <v>47</v>
      </c>
      <c r="N833" s="202">
        <v>-0.14389799635701273</v>
      </c>
    </row>
    <row r="834" spans="1:14" ht="15.75" customHeight="1">
      <c r="A834" s="198" t="s">
        <v>159</v>
      </c>
      <c r="B834" s="199" t="s">
        <v>187</v>
      </c>
      <c r="C834" s="199" t="s">
        <v>168</v>
      </c>
      <c r="D834" s="203" t="s">
        <v>91</v>
      </c>
      <c r="E834" s="214">
        <v>65.5</v>
      </c>
      <c r="F834" s="204">
        <v>38</v>
      </c>
      <c r="G834" s="204">
        <v>55</v>
      </c>
      <c r="H834" s="204">
        <v>60</v>
      </c>
      <c r="I834" s="204">
        <v>75</v>
      </c>
      <c r="J834" s="204">
        <v>59</v>
      </c>
      <c r="K834" s="204">
        <v>53</v>
      </c>
      <c r="L834" s="204">
        <v>55</v>
      </c>
      <c r="M834" s="331">
        <v>61</v>
      </c>
      <c r="N834" s="202">
        <v>-6.8702290076335881E-2</v>
      </c>
    </row>
    <row r="835" spans="1:14" ht="15.75" customHeight="1">
      <c r="A835" s="198" t="s">
        <v>159</v>
      </c>
      <c r="B835" s="199" t="s">
        <v>187</v>
      </c>
      <c r="C835" s="199" t="s">
        <v>131</v>
      </c>
      <c r="D835" s="200" t="s">
        <v>162</v>
      </c>
      <c r="E835" s="213">
        <v>2</v>
      </c>
      <c r="F835" s="201">
        <v>0</v>
      </c>
      <c r="G835" s="201">
        <v>4</v>
      </c>
      <c r="H835" s="201">
        <v>3</v>
      </c>
      <c r="I835" s="201">
        <v>4</v>
      </c>
      <c r="J835" s="201">
        <v>2</v>
      </c>
      <c r="K835" s="201">
        <v>2</v>
      </c>
      <c r="L835" s="201">
        <v>2</v>
      </c>
      <c r="M835" s="330">
        <v>1</v>
      </c>
      <c r="N835" s="202">
        <v>-0.5</v>
      </c>
    </row>
    <row r="836" spans="1:14" ht="15.75" customHeight="1">
      <c r="A836" s="198" t="s">
        <v>159</v>
      </c>
      <c r="B836" s="199" t="s">
        <v>187</v>
      </c>
      <c r="C836" s="199" t="s">
        <v>131</v>
      </c>
      <c r="D836" s="200" t="s">
        <v>163</v>
      </c>
      <c r="E836" s="213">
        <v>39.5</v>
      </c>
      <c r="F836" s="201">
        <v>42</v>
      </c>
      <c r="G836" s="201">
        <v>40</v>
      </c>
      <c r="H836" s="201">
        <v>38</v>
      </c>
      <c r="I836" s="201">
        <v>22</v>
      </c>
      <c r="J836" s="201">
        <v>25</v>
      </c>
      <c r="K836" s="201">
        <v>39</v>
      </c>
      <c r="L836" s="201">
        <v>43</v>
      </c>
      <c r="M836" s="330">
        <v>27</v>
      </c>
      <c r="N836" s="202">
        <v>-0.31645569620253167</v>
      </c>
    </row>
    <row r="837" spans="1:14" ht="15.75" customHeight="1">
      <c r="A837" s="198" t="s">
        <v>159</v>
      </c>
      <c r="B837" s="199" t="s">
        <v>187</v>
      </c>
      <c r="C837" s="199" t="s">
        <v>131</v>
      </c>
      <c r="D837" s="200" t="s">
        <v>164</v>
      </c>
      <c r="E837" s="213">
        <v>37.5</v>
      </c>
      <c r="F837" s="201">
        <v>42</v>
      </c>
      <c r="G837" s="201">
        <v>36</v>
      </c>
      <c r="H837" s="201">
        <v>35</v>
      </c>
      <c r="I837" s="201">
        <v>18</v>
      </c>
      <c r="J837" s="201">
        <v>23</v>
      </c>
      <c r="K837" s="201">
        <v>37</v>
      </c>
      <c r="L837" s="201">
        <v>41</v>
      </c>
      <c r="M837" s="330">
        <v>26</v>
      </c>
      <c r="N837" s="202">
        <v>-0.30666666666666664</v>
      </c>
    </row>
    <row r="838" spans="1:14" ht="15.75" customHeight="1">
      <c r="A838" s="198" t="s">
        <v>159</v>
      </c>
      <c r="B838" s="199" t="s">
        <v>187</v>
      </c>
      <c r="C838" s="199" t="s">
        <v>131</v>
      </c>
      <c r="D838" s="200" t="s">
        <v>165</v>
      </c>
      <c r="E838" s="213">
        <v>91.1</v>
      </c>
      <c r="F838" s="201">
        <v>129</v>
      </c>
      <c r="G838" s="201">
        <v>108</v>
      </c>
      <c r="H838" s="201">
        <v>87</v>
      </c>
      <c r="I838" s="201">
        <v>76</v>
      </c>
      <c r="J838" s="201">
        <v>80</v>
      </c>
      <c r="K838" s="201">
        <v>120</v>
      </c>
      <c r="L838" s="201">
        <v>93</v>
      </c>
      <c r="M838" s="330">
        <v>106</v>
      </c>
      <c r="N838" s="202">
        <v>0.16355653128430303</v>
      </c>
    </row>
    <row r="839" spans="1:14" ht="15.75" customHeight="1">
      <c r="A839" s="198" t="s">
        <v>159</v>
      </c>
      <c r="B839" s="199" t="s">
        <v>187</v>
      </c>
      <c r="C839" s="199" t="s">
        <v>131</v>
      </c>
      <c r="D839" s="203" t="s">
        <v>91</v>
      </c>
      <c r="E839" s="214">
        <v>130.69999999999999</v>
      </c>
      <c r="F839" s="204">
        <v>171</v>
      </c>
      <c r="G839" s="204">
        <v>148</v>
      </c>
      <c r="H839" s="204">
        <v>125</v>
      </c>
      <c r="I839" s="204">
        <v>98</v>
      </c>
      <c r="J839" s="204">
        <v>105</v>
      </c>
      <c r="K839" s="204">
        <v>159</v>
      </c>
      <c r="L839" s="204">
        <v>136</v>
      </c>
      <c r="M839" s="331">
        <v>133</v>
      </c>
      <c r="N839" s="202">
        <v>1.7597551644988611E-2</v>
      </c>
    </row>
    <row r="840" spans="1:14" ht="15.75" customHeight="1">
      <c r="A840" s="198" t="s">
        <v>159</v>
      </c>
      <c r="B840" s="199" t="s">
        <v>187</v>
      </c>
      <c r="C840" s="199" t="s">
        <v>169</v>
      </c>
      <c r="D840" s="200" t="s">
        <v>162</v>
      </c>
      <c r="E840" s="213">
        <v>0</v>
      </c>
      <c r="F840" s="201">
        <v>0</v>
      </c>
      <c r="G840" s="201">
        <v>0</v>
      </c>
      <c r="H840" s="201">
        <v>0</v>
      </c>
      <c r="I840" s="201">
        <v>0</v>
      </c>
      <c r="J840" s="201">
        <v>0</v>
      </c>
      <c r="K840" s="201">
        <v>0</v>
      </c>
      <c r="L840" s="201">
        <v>0</v>
      </c>
      <c r="M840" s="330" t="s">
        <v>172</v>
      </c>
      <c r="N840" s="202">
        <v>0</v>
      </c>
    </row>
    <row r="841" spans="1:14" ht="15.75" customHeight="1">
      <c r="A841" s="198" t="s">
        <v>159</v>
      </c>
      <c r="B841" s="199" t="s">
        <v>187</v>
      </c>
      <c r="C841" s="199" t="s">
        <v>169</v>
      </c>
      <c r="D841" s="200" t="s">
        <v>163</v>
      </c>
      <c r="E841" s="213">
        <v>0</v>
      </c>
      <c r="F841" s="201">
        <v>2</v>
      </c>
      <c r="G841" s="201">
        <v>2</v>
      </c>
      <c r="H841" s="201">
        <v>0</v>
      </c>
      <c r="I841" s="201">
        <v>0</v>
      </c>
      <c r="J841" s="201">
        <v>1</v>
      </c>
      <c r="K841" s="201">
        <v>0</v>
      </c>
      <c r="L841" s="201">
        <v>0</v>
      </c>
      <c r="M841" s="330">
        <v>1</v>
      </c>
      <c r="N841" s="202">
        <v>0</v>
      </c>
    </row>
    <row r="842" spans="1:14" ht="15.75" customHeight="1">
      <c r="A842" s="198" t="s">
        <v>159</v>
      </c>
      <c r="B842" s="199" t="s">
        <v>187</v>
      </c>
      <c r="C842" s="199" t="s">
        <v>169</v>
      </c>
      <c r="D842" s="200" t="s">
        <v>164</v>
      </c>
      <c r="E842" s="213">
        <v>0</v>
      </c>
      <c r="F842" s="201">
        <v>2</v>
      </c>
      <c r="G842" s="201">
        <v>2</v>
      </c>
      <c r="H842" s="201">
        <v>0</v>
      </c>
      <c r="I842" s="201">
        <v>0</v>
      </c>
      <c r="J842" s="201">
        <v>1</v>
      </c>
      <c r="K842" s="201">
        <v>0</v>
      </c>
      <c r="L842" s="201">
        <v>0</v>
      </c>
      <c r="M842" s="330">
        <v>1</v>
      </c>
      <c r="N842" s="202">
        <v>0</v>
      </c>
    </row>
    <row r="843" spans="1:14" ht="15.75" customHeight="1">
      <c r="A843" s="198" t="s">
        <v>159</v>
      </c>
      <c r="B843" s="199" t="s">
        <v>187</v>
      </c>
      <c r="C843" s="199" t="s">
        <v>169</v>
      </c>
      <c r="D843" s="200" t="s">
        <v>165</v>
      </c>
      <c r="E843" s="213">
        <v>0</v>
      </c>
      <c r="F843" s="201">
        <v>26</v>
      </c>
      <c r="G843" s="201">
        <v>20</v>
      </c>
      <c r="H843" s="201">
        <v>15</v>
      </c>
      <c r="I843" s="201">
        <v>8</v>
      </c>
      <c r="J843" s="201">
        <v>3</v>
      </c>
      <c r="K843" s="201">
        <v>4</v>
      </c>
      <c r="L843" s="201">
        <v>9</v>
      </c>
      <c r="M843" s="330">
        <v>7</v>
      </c>
      <c r="N843" s="202">
        <v>0</v>
      </c>
    </row>
    <row r="844" spans="1:14" ht="15.75" customHeight="1">
      <c r="A844" s="198" t="s">
        <v>159</v>
      </c>
      <c r="B844" s="199" t="s">
        <v>187</v>
      </c>
      <c r="C844" s="199" t="s">
        <v>169</v>
      </c>
      <c r="D844" s="203" t="s">
        <v>91</v>
      </c>
      <c r="E844" s="214">
        <v>0</v>
      </c>
      <c r="F844" s="204">
        <v>28</v>
      </c>
      <c r="G844" s="204">
        <v>22</v>
      </c>
      <c r="H844" s="204">
        <v>15</v>
      </c>
      <c r="I844" s="204">
        <v>8</v>
      </c>
      <c r="J844" s="204">
        <v>4</v>
      </c>
      <c r="K844" s="204">
        <v>4</v>
      </c>
      <c r="L844" s="204">
        <v>9</v>
      </c>
      <c r="M844" s="331">
        <v>8</v>
      </c>
      <c r="N844" s="202">
        <v>0</v>
      </c>
    </row>
    <row r="845" spans="1:14" ht="15.75" customHeight="1">
      <c r="A845" s="198" t="s">
        <v>159</v>
      </c>
      <c r="B845" s="199" t="s">
        <v>187</v>
      </c>
      <c r="C845" s="199" t="s">
        <v>139</v>
      </c>
      <c r="D845" s="200" t="s">
        <v>162</v>
      </c>
      <c r="E845" s="213">
        <v>0</v>
      </c>
      <c r="F845" s="201">
        <v>0</v>
      </c>
      <c r="G845" s="201">
        <v>0</v>
      </c>
      <c r="H845" s="201">
        <v>0</v>
      </c>
      <c r="I845" s="201">
        <v>0</v>
      </c>
      <c r="J845" s="201">
        <v>0</v>
      </c>
      <c r="K845" s="201">
        <v>0</v>
      </c>
      <c r="L845" s="201">
        <v>0</v>
      </c>
      <c r="M845" s="330" t="s">
        <v>172</v>
      </c>
      <c r="N845" s="202">
        <v>0</v>
      </c>
    </row>
    <row r="846" spans="1:14" ht="15.75" customHeight="1">
      <c r="A846" s="198" t="s">
        <v>159</v>
      </c>
      <c r="B846" s="199" t="s">
        <v>187</v>
      </c>
      <c r="C846" s="199" t="s">
        <v>139</v>
      </c>
      <c r="D846" s="200" t="s">
        <v>163</v>
      </c>
      <c r="E846" s="213">
        <v>1.1000000000000001</v>
      </c>
      <c r="F846" s="201">
        <v>0</v>
      </c>
      <c r="G846" s="201">
        <v>1</v>
      </c>
      <c r="H846" s="201">
        <v>0</v>
      </c>
      <c r="I846" s="201">
        <v>0</v>
      </c>
      <c r="J846" s="201">
        <v>0</v>
      </c>
      <c r="K846" s="201">
        <v>0</v>
      </c>
      <c r="L846" s="201">
        <v>0</v>
      </c>
      <c r="M846" s="330">
        <v>0</v>
      </c>
      <c r="N846" s="202">
        <v>-1</v>
      </c>
    </row>
    <row r="847" spans="1:14" ht="15.75" customHeight="1">
      <c r="A847" s="198" t="s">
        <v>159</v>
      </c>
      <c r="B847" s="199" t="s">
        <v>187</v>
      </c>
      <c r="C847" s="199" t="s">
        <v>139</v>
      </c>
      <c r="D847" s="200" t="s">
        <v>164</v>
      </c>
      <c r="E847" s="213">
        <v>1.1000000000000001</v>
      </c>
      <c r="F847" s="201">
        <v>0</v>
      </c>
      <c r="G847" s="201">
        <v>1</v>
      </c>
      <c r="H847" s="201">
        <v>0</v>
      </c>
      <c r="I847" s="201">
        <v>0</v>
      </c>
      <c r="J847" s="201">
        <v>0</v>
      </c>
      <c r="K847" s="201">
        <v>0</v>
      </c>
      <c r="L847" s="201">
        <v>0</v>
      </c>
      <c r="M847" s="330" t="s">
        <v>172</v>
      </c>
      <c r="N847" s="202">
        <v>-1</v>
      </c>
    </row>
    <row r="848" spans="1:14" ht="15.75" customHeight="1">
      <c r="A848" s="198" t="s">
        <v>159</v>
      </c>
      <c r="B848" s="199" t="s">
        <v>187</v>
      </c>
      <c r="C848" s="199" t="s">
        <v>139</v>
      </c>
      <c r="D848" s="200" t="s">
        <v>165</v>
      </c>
      <c r="E848" s="213">
        <v>14.9</v>
      </c>
      <c r="F848" s="201">
        <v>2</v>
      </c>
      <c r="G848" s="201">
        <v>5</v>
      </c>
      <c r="H848" s="201">
        <v>18</v>
      </c>
      <c r="I848" s="201">
        <v>10</v>
      </c>
      <c r="J848" s="201">
        <v>9</v>
      </c>
      <c r="K848" s="201">
        <v>3</v>
      </c>
      <c r="L848" s="201">
        <v>10</v>
      </c>
      <c r="M848" s="330">
        <v>5</v>
      </c>
      <c r="N848" s="202">
        <v>-0.66442953020134232</v>
      </c>
    </row>
    <row r="849" spans="1:14" ht="15.75" customHeight="1">
      <c r="A849" s="198" t="s">
        <v>159</v>
      </c>
      <c r="B849" s="199" t="s">
        <v>187</v>
      </c>
      <c r="C849" s="199" t="s">
        <v>139</v>
      </c>
      <c r="D849" s="203" t="s">
        <v>91</v>
      </c>
      <c r="E849" s="214">
        <v>16</v>
      </c>
      <c r="F849" s="204">
        <v>2</v>
      </c>
      <c r="G849" s="204">
        <v>6</v>
      </c>
      <c r="H849" s="204">
        <v>18</v>
      </c>
      <c r="I849" s="204">
        <v>10</v>
      </c>
      <c r="J849" s="204">
        <v>9</v>
      </c>
      <c r="K849" s="204">
        <v>3</v>
      </c>
      <c r="L849" s="204">
        <v>10</v>
      </c>
      <c r="M849" s="331">
        <v>5</v>
      </c>
      <c r="N849" s="202">
        <v>-0.6875</v>
      </c>
    </row>
    <row r="850" spans="1:14" ht="15.75" customHeight="1">
      <c r="A850" s="198" t="s">
        <v>159</v>
      </c>
      <c r="B850" s="199" t="s">
        <v>187</v>
      </c>
      <c r="C850" s="205" t="s">
        <v>91</v>
      </c>
      <c r="D850" s="203" t="s">
        <v>162</v>
      </c>
      <c r="E850" s="214">
        <v>5.2</v>
      </c>
      <c r="F850" s="204">
        <v>3</v>
      </c>
      <c r="G850" s="204">
        <v>6</v>
      </c>
      <c r="H850" s="204">
        <v>5</v>
      </c>
      <c r="I850" s="204">
        <v>8</v>
      </c>
      <c r="J850" s="204">
        <v>4</v>
      </c>
      <c r="K850" s="204">
        <v>4</v>
      </c>
      <c r="L850" s="204">
        <v>7</v>
      </c>
      <c r="M850" s="331">
        <v>2</v>
      </c>
      <c r="N850" s="202">
        <v>-0.61538461538461542</v>
      </c>
    </row>
    <row r="851" spans="1:14" ht="15.75" customHeight="1">
      <c r="A851" s="198" t="s">
        <v>159</v>
      </c>
      <c r="B851" s="199" t="s">
        <v>195</v>
      </c>
      <c r="C851" s="205" t="s">
        <v>91</v>
      </c>
      <c r="D851" s="203" t="s">
        <v>163</v>
      </c>
      <c r="E851" s="214">
        <v>136.19999999999999</v>
      </c>
      <c r="F851" s="204">
        <v>149</v>
      </c>
      <c r="G851" s="204">
        <v>108</v>
      </c>
      <c r="H851" s="204">
        <v>135</v>
      </c>
      <c r="I851" s="204">
        <v>102</v>
      </c>
      <c r="J851" s="204">
        <v>130</v>
      </c>
      <c r="K851" s="204">
        <v>134</v>
      </c>
      <c r="L851" s="204">
        <v>99</v>
      </c>
      <c r="M851" s="331">
        <v>107</v>
      </c>
      <c r="N851" s="202">
        <v>-0.21439060205580024</v>
      </c>
    </row>
    <row r="852" spans="1:14" ht="15.75" customHeight="1">
      <c r="A852" s="198" t="s">
        <v>159</v>
      </c>
      <c r="B852" s="199" t="s">
        <v>187</v>
      </c>
      <c r="C852" s="205" t="s">
        <v>91</v>
      </c>
      <c r="D852" s="203" t="s">
        <v>164</v>
      </c>
      <c r="E852" s="214">
        <v>134.4</v>
      </c>
      <c r="F852" s="204">
        <v>95</v>
      </c>
      <c r="G852" s="204">
        <v>119</v>
      </c>
      <c r="H852" s="204">
        <v>104</v>
      </c>
      <c r="I852" s="204">
        <v>93</v>
      </c>
      <c r="J852" s="204">
        <v>87</v>
      </c>
      <c r="K852" s="204">
        <v>112</v>
      </c>
      <c r="L852" s="204">
        <v>100</v>
      </c>
      <c r="M852" s="331">
        <v>79</v>
      </c>
      <c r="N852" s="202">
        <v>-0.41220238095238099</v>
      </c>
    </row>
    <row r="853" spans="1:14" ht="15.75" customHeight="1">
      <c r="A853" s="198" t="s">
        <v>159</v>
      </c>
      <c r="B853" s="199" t="s">
        <v>187</v>
      </c>
      <c r="C853" s="205" t="s">
        <v>91</v>
      </c>
      <c r="D853" s="203" t="s">
        <v>165</v>
      </c>
      <c r="E853" s="214">
        <v>892.8</v>
      </c>
      <c r="F853" s="204">
        <v>899</v>
      </c>
      <c r="G853" s="204">
        <v>793</v>
      </c>
      <c r="H853" s="204">
        <v>750</v>
      </c>
      <c r="I853" s="204">
        <v>582</v>
      </c>
      <c r="J853" s="204">
        <v>617</v>
      </c>
      <c r="K853" s="204">
        <v>763</v>
      </c>
      <c r="L853" s="204">
        <v>676</v>
      </c>
      <c r="M853" s="331">
        <v>672</v>
      </c>
      <c r="N853" s="202">
        <v>-0.24731182795698922</v>
      </c>
    </row>
    <row r="854" spans="1:14" ht="15.75" customHeight="1">
      <c r="A854" s="198" t="s">
        <v>159</v>
      </c>
      <c r="B854" s="199" t="s">
        <v>187</v>
      </c>
      <c r="C854" s="205" t="s">
        <v>91</v>
      </c>
      <c r="D854" s="203" t="s">
        <v>91</v>
      </c>
      <c r="E854" s="214">
        <v>1032.3</v>
      </c>
      <c r="F854" s="204">
        <v>997</v>
      </c>
      <c r="G854" s="204">
        <v>918</v>
      </c>
      <c r="H854" s="204">
        <v>859</v>
      </c>
      <c r="I854" s="204">
        <v>683</v>
      </c>
      <c r="J854" s="204">
        <v>708</v>
      </c>
      <c r="K854" s="204">
        <v>879</v>
      </c>
      <c r="L854" s="204">
        <v>783</v>
      </c>
      <c r="M854" s="331">
        <v>753</v>
      </c>
      <c r="N854" s="202">
        <v>-0.27056088346410923</v>
      </c>
    </row>
    <row r="855" spans="1:14" ht="15.75" customHeight="1">
      <c r="A855" s="198" t="s">
        <v>159</v>
      </c>
      <c r="B855" s="199" t="s">
        <v>188</v>
      </c>
      <c r="C855" s="199" t="s">
        <v>161</v>
      </c>
      <c r="D855" s="200" t="s">
        <v>162</v>
      </c>
      <c r="E855" s="213">
        <v>0</v>
      </c>
      <c r="F855" s="201">
        <v>1</v>
      </c>
      <c r="G855" s="201">
        <v>0</v>
      </c>
      <c r="H855" s="201">
        <v>0</v>
      </c>
      <c r="I855" s="201">
        <v>0</v>
      </c>
      <c r="J855" s="201">
        <v>0</v>
      </c>
      <c r="K855" s="201">
        <v>0</v>
      </c>
      <c r="L855" s="201">
        <v>0</v>
      </c>
      <c r="M855" s="330" t="s">
        <v>172</v>
      </c>
      <c r="N855" s="202">
        <v>0</v>
      </c>
    </row>
    <row r="856" spans="1:14">
      <c r="A856" s="198" t="s">
        <v>159</v>
      </c>
      <c r="B856" s="199" t="s">
        <v>188</v>
      </c>
      <c r="C856" s="199" t="s">
        <v>161</v>
      </c>
      <c r="D856" s="200" t="s">
        <v>163</v>
      </c>
      <c r="E856" s="213">
        <v>3.4</v>
      </c>
      <c r="F856" s="201">
        <v>4</v>
      </c>
      <c r="G856" s="201">
        <v>3</v>
      </c>
      <c r="H856" s="201">
        <v>4</v>
      </c>
      <c r="I856" s="201">
        <v>2</v>
      </c>
      <c r="J856" s="201">
        <v>7</v>
      </c>
      <c r="K856" s="201">
        <v>5</v>
      </c>
      <c r="L856" s="201">
        <v>5</v>
      </c>
      <c r="M856" s="330">
        <v>4</v>
      </c>
      <c r="N856" s="202">
        <v>0.17647058823529416</v>
      </c>
    </row>
    <row r="857" spans="1:14" ht="15.75" customHeight="1">
      <c r="A857" s="198" t="s">
        <v>159</v>
      </c>
      <c r="B857" s="199" t="s">
        <v>188</v>
      </c>
      <c r="C857" s="199" t="s">
        <v>161</v>
      </c>
      <c r="D857" s="200" t="s">
        <v>164</v>
      </c>
      <c r="E857" s="213">
        <v>3.4</v>
      </c>
      <c r="F857" s="201">
        <v>3</v>
      </c>
      <c r="G857" s="201">
        <v>3</v>
      </c>
      <c r="H857" s="201">
        <v>4</v>
      </c>
      <c r="I857" s="201">
        <v>2</v>
      </c>
      <c r="J857" s="201">
        <v>7</v>
      </c>
      <c r="K857" s="201">
        <v>5</v>
      </c>
      <c r="L857" s="201">
        <v>5</v>
      </c>
      <c r="M857" s="330">
        <v>4</v>
      </c>
      <c r="N857" s="202">
        <v>0.17647058823529416</v>
      </c>
    </row>
    <row r="858" spans="1:14" ht="15.75" customHeight="1">
      <c r="A858" s="198" t="s">
        <v>159</v>
      </c>
      <c r="B858" s="199" t="s">
        <v>188</v>
      </c>
      <c r="C858" s="199" t="s">
        <v>161</v>
      </c>
      <c r="D858" s="200" t="s">
        <v>165</v>
      </c>
      <c r="E858" s="213">
        <v>28.8</v>
      </c>
      <c r="F858" s="201">
        <v>43</v>
      </c>
      <c r="G858" s="201">
        <v>26</v>
      </c>
      <c r="H858" s="201">
        <v>23</v>
      </c>
      <c r="I858" s="201">
        <v>17</v>
      </c>
      <c r="J858" s="201">
        <v>27</v>
      </c>
      <c r="K858" s="201">
        <v>26</v>
      </c>
      <c r="L858" s="201">
        <v>31</v>
      </c>
      <c r="M858" s="330">
        <v>47</v>
      </c>
      <c r="N858" s="202">
        <v>0.63194444444444442</v>
      </c>
    </row>
    <row r="859" spans="1:14" ht="15.75" customHeight="1">
      <c r="A859" s="198" t="s">
        <v>159</v>
      </c>
      <c r="B859" s="199" t="s">
        <v>188</v>
      </c>
      <c r="C859" s="199" t="s">
        <v>161</v>
      </c>
      <c r="D859" s="203" t="s">
        <v>91</v>
      </c>
      <c r="E859" s="214">
        <v>32.1</v>
      </c>
      <c r="F859" s="204">
        <v>47</v>
      </c>
      <c r="G859" s="204">
        <v>29</v>
      </c>
      <c r="H859" s="204">
        <v>27</v>
      </c>
      <c r="I859" s="204">
        <v>19</v>
      </c>
      <c r="J859" s="204">
        <v>34</v>
      </c>
      <c r="K859" s="204">
        <v>31</v>
      </c>
      <c r="L859" s="204">
        <v>36</v>
      </c>
      <c r="M859" s="331">
        <v>51</v>
      </c>
      <c r="N859" s="202">
        <v>0.58878504672897192</v>
      </c>
    </row>
    <row r="860" spans="1:14" ht="15.75" customHeight="1">
      <c r="A860" s="198" t="s">
        <v>159</v>
      </c>
      <c r="B860" s="199" t="s">
        <v>188</v>
      </c>
      <c r="C860" s="199" t="s">
        <v>134</v>
      </c>
      <c r="D860" s="200" t="s">
        <v>162</v>
      </c>
      <c r="E860" s="213">
        <v>1.2</v>
      </c>
      <c r="F860" s="201">
        <v>0</v>
      </c>
      <c r="G860" s="201">
        <v>0</v>
      </c>
      <c r="H860" s="201">
        <v>1</v>
      </c>
      <c r="I860" s="201">
        <v>0</v>
      </c>
      <c r="J860" s="201">
        <v>0</v>
      </c>
      <c r="K860" s="201">
        <v>0</v>
      </c>
      <c r="L860" s="201">
        <v>1</v>
      </c>
      <c r="M860" s="330" t="s">
        <v>172</v>
      </c>
      <c r="N860" s="202">
        <v>-1</v>
      </c>
    </row>
    <row r="861" spans="1:14">
      <c r="A861" s="198" t="s">
        <v>159</v>
      </c>
      <c r="B861" s="199" t="s">
        <v>188</v>
      </c>
      <c r="C861" s="199" t="s">
        <v>134</v>
      </c>
      <c r="D861" s="200" t="s">
        <v>163</v>
      </c>
      <c r="E861" s="213">
        <v>34.6</v>
      </c>
      <c r="F861" s="201">
        <v>20</v>
      </c>
      <c r="G861" s="201">
        <v>27</v>
      </c>
      <c r="H861" s="201">
        <v>14</v>
      </c>
      <c r="I861" s="201">
        <v>13</v>
      </c>
      <c r="J861" s="201">
        <v>19</v>
      </c>
      <c r="K861" s="201">
        <v>22</v>
      </c>
      <c r="L861" s="201">
        <v>23</v>
      </c>
      <c r="M861" s="330">
        <v>16</v>
      </c>
      <c r="N861" s="202">
        <v>-0.53757225433526012</v>
      </c>
    </row>
    <row r="862" spans="1:14" ht="15.75" customHeight="1">
      <c r="A862" s="198" t="s">
        <v>159</v>
      </c>
      <c r="B862" s="199" t="s">
        <v>188</v>
      </c>
      <c r="C862" s="199" t="s">
        <v>134</v>
      </c>
      <c r="D862" s="200" t="s">
        <v>164</v>
      </c>
      <c r="E862" s="213">
        <v>33.4</v>
      </c>
      <c r="F862" s="201">
        <v>20</v>
      </c>
      <c r="G862" s="201">
        <v>27</v>
      </c>
      <c r="H862" s="201">
        <v>13</v>
      </c>
      <c r="I862" s="201">
        <v>13</v>
      </c>
      <c r="J862" s="201">
        <v>19</v>
      </c>
      <c r="K862" s="201">
        <v>22</v>
      </c>
      <c r="L862" s="201">
        <v>22</v>
      </c>
      <c r="M862" s="330">
        <v>16</v>
      </c>
      <c r="N862" s="202">
        <v>-0.52095808383233533</v>
      </c>
    </row>
    <row r="863" spans="1:14" ht="15.75" customHeight="1">
      <c r="A863" s="198" t="s">
        <v>159</v>
      </c>
      <c r="B863" s="199" t="s">
        <v>188</v>
      </c>
      <c r="C863" s="199" t="s">
        <v>134</v>
      </c>
      <c r="D863" s="200" t="s">
        <v>165</v>
      </c>
      <c r="E863" s="213">
        <v>495.4</v>
      </c>
      <c r="F863" s="201">
        <v>490</v>
      </c>
      <c r="G863" s="201">
        <v>401</v>
      </c>
      <c r="H863" s="201">
        <v>405</v>
      </c>
      <c r="I863" s="201">
        <v>292</v>
      </c>
      <c r="J863" s="201">
        <v>314</v>
      </c>
      <c r="K863" s="201">
        <v>359</v>
      </c>
      <c r="L863" s="201">
        <v>251</v>
      </c>
      <c r="M863" s="330">
        <v>247</v>
      </c>
      <c r="N863" s="202">
        <v>-0.50141299959628582</v>
      </c>
    </row>
    <row r="864" spans="1:14" ht="15.75" customHeight="1">
      <c r="A864" s="198" t="s">
        <v>159</v>
      </c>
      <c r="B864" s="199" t="s">
        <v>188</v>
      </c>
      <c r="C864" s="199" t="s">
        <v>134</v>
      </c>
      <c r="D864" s="203" t="s">
        <v>91</v>
      </c>
      <c r="E864" s="214">
        <v>530.1</v>
      </c>
      <c r="F864" s="204">
        <v>510</v>
      </c>
      <c r="G864" s="204">
        <v>428</v>
      </c>
      <c r="H864" s="204">
        <v>419</v>
      </c>
      <c r="I864" s="204">
        <v>305</v>
      </c>
      <c r="J864" s="204">
        <v>333</v>
      </c>
      <c r="K864" s="204">
        <v>381</v>
      </c>
      <c r="L864" s="204">
        <v>274</v>
      </c>
      <c r="M864" s="331">
        <v>263</v>
      </c>
      <c r="N864" s="202">
        <v>-0.50386719486889264</v>
      </c>
    </row>
    <row r="865" spans="1:14" ht="15.75" customHeight="1">
      <c r="A865" s="198" t="s">
        <v>159</v>
      </c>
      <c r="B865" s="199" t="s">
        <v>188</v>
      </c>
      <c r="C865" s="199" t="s">
        <v>166</v>
      </c>
      <c r="D865" s="200" t="s">
        <v>162</v>
      </c>
      <c r="E865" s="213">
        <v>0</v>
      </c>
      <c r="F865" s="201">
        <v>0</v>
      </c>
      <c r="G865" s="201">
        <v>0</v>
      </c>
      <c r="H865" s="201">
        <v>0</v>
      </c>
      <c r="I865" s="201">
        <v>0</v>
      </c>
      <c r="J865" s="201">
        <v>0</v>
      </c>
      <c r="K865" s="201">
        <v>0</v>
      </c>
      <c r="L865" s="201">
        <v>0</v>
      </c>
      <c r="M865" s="330" t="s">
        <v>172</v>
      </c>
      <c r="N865" s="202">
        <v>0</v>
      </c>
    </row>
    <row r="866" spans="1:14">
      <c r="A866" s="198" t="s">
        <v>159</v>
      </c>
      <c r="B866" s="199" t="s">
        <v>188</v>
      </c>
      <c r="C866" s="199" t="s">
        <v>166</v>
      </c>
      <c r="D866" s="200" t="s">
        <v>163</v>
      </c>
      <c r="E866" s="213">
        <v>2.7</v>
      </c>
      <c r="F866" s="201">
        <v>2</v>
      </c>
      <c r="G866" s="201">
        <v>0</v>
      </c>
      <c r="H866" s="201">
        <v>0</v>
      </c>
      <c r="I866" s="201">
        <v>1</v>
      </c>
      <c r="J866" s="201">
        <v>0</v>
      </c>
      <c r="K866" s="201">
        <v>1</v>
      </c>
      <c r="L866" s="201">
        <v>1</v>
      </c>
      <c r="M866" s="330">
        <v>5</v>
      </c>
      <c r="N866" s="202">
        <v>0.85185185185185175</v>
      </c>
    </row>
    <row r="867" spans="1:14" ht="15.75" customHeight="1">
      <c r="A867" s="198" t="s">
        <v>159</v>
      </c>
      <c r="B867" s="199" t="s">
        <v>188</v>
      </c>
      <c r="C867" s="199" t="s">
        <v>166</v>
      </c>
      <c r="D867" s="200" t="s">
        <v>164</v>
      </c>
      <c r="E867" s="213">
        <v>2.7</v>
      </c>
      <c r="F867" s="201">
        <v>2</v>
      </c>
      <c r="G867" s="201">
        <v>0</v>
      </c>
      <c r="H867" s="201">
        <v>0</v>
      </c>
      <c r="I867" s="201">
        <v>1</v>
      </c>
      <c r="J867" s="201">
        <v>0</v>
      </c>
      <c r="K867" s="201">
        <v>1</v>
      </c>
      <c r="L867" s="201">
        <v>1</v>
      </c>
      <c r="M867" s="330">
        <v>5</v>
      </c>
      <c r="N867" s="202">
        <v>0.85185185185185175</v>
      </c>
    </row>
    <row r="868" spans="1:14" ht="15.75" customHeight="1">
      <c r="A868" s="198" t="s">
        <v>159</v>
      </c>
      <c r="B868" s="199" t="s">
        <v>188</v>
      </c>
      <c r="C868" s="199" t="s">
        <v>166</v>
      </c>
      <c r="D868" s="200" t="s">
        <v>165</v>
      </c>
      <c r="E868" s="213">
        <v>24.4</v>
      </c>
      <c r="F868" s="201">
        <v>24</v>
      </c>
      <c r="G868" s="201">
        <v>18</v>
      </c>
      <c r="H868" s="201">
        <v>17</v>
      </c>
      <c r="I868" s="201">
        <v>22</v>
      </c>
      <c r="J868" s="201">
        <v>28</v>
      </c>
      <c r="K868" s="201">
        <v>14</v>
      </c>
      <c r="L868" s="201">
        <v>9</v>
      </c>
      <c r="M868" s="330">
        <v>15</v>
      </c>
      <c r="N868" s="202">
        <v>-0.38524590163934425</v>
      </c>
    </row>
    <row r="869" spans="1:14" ht="15.75" customHeight="1">
      <c r="A869" s="198" t="s">
        <v>159</v>
      </c>
      <c r="B869" s="199" t="s">
        <v>188</v>
      </c>
      <c r="C869" s="199" t="s">
        <v>166</v>
      </c>
      <c r="D869" s="203" t="s">
        <v>91</v>
      </c>
      <c r="E869" s="214">
        <v>27.1</v>
      </c>
      <c r="F869" s="204">
        <v>26</v>
      </c>
      <c r="G869" s="204">
        <v>18</v>
      </c>
      <c r="H869" s="204">
        <v>17</v>
      </c>
      <c r="I869" s="204">
        <v>23</v>
      </c>
      <c r="J869" s="204">
        <v>28</v>
      </c>
      <c r="K869" s="204">
        <v>15</v>
      </c>
      <c r="L869" s="204">
        <v>10</v>
      </c>
      <c r="M869" s="331">
        <v>20</v>
      </c>
      <c r="N869" s="202">
        <v>-0.26199261992619932</v>
      </c>
    </row>
    <row r="870" spans="1:14" ht="15.75" customHeight="1">
      <c r="A870" s="198" t="s">
        <v>159</v>
      </c>
      <c r="B870" s="199" t="s">
        <v>188</v>
      </c>
      <c r="C870" s="199" t="s">
        <v>133</v>
      </c>
      <c r="D870" s="200" t="s">
        <v>162</v>
      </c>
      <c r="E870" s="213">
        <v>1.2</v>
      </c>
      <c r="F870" s="201">
        <v>0</v>
      </c>
      <c r="G870" s="201">
        <v>1</v>
      </c>
      <c r="H870" s="201">
        <v>2</v>
      </c>
      <c r="I870" s="201">
        <v>2</v>
      </c>
      <c r="J870" s="201">
        <v>0</v>
      </c>
      <c r="K870" s="201">
        <v>0</v>
      </c>
      <c r="L870" s="201">
        <v>0</v>
      </c>
      <c r="M870" s="330">
        <v>2</v>
      </c>
      <c r="N870" s="202">
        <v>0.66666666666666674</v>
      </c>
    </row>
    <row r="871" spans="1:14">
      <c r="A871" s="198" t="s">
        <v>159</v>
      </c>
      <c r="B871" s="199" t="s">
        <v>188</v>
      </c>
      <c r="C871" s="199" t="s">
        <v>133</v>
      </c>
      <c r="D871" s="200" t="s">
        <v>163</v>
      </c>
      <c r="E871" s="213">
        <v>35.299999999999997</v>
      </c>
      <c r="F871" s="201">
        <v>36</v>
      </c>
      <c r="G871" s="201">
        <v>35</v>
      </c>
      <c r="H871" s="201">
        <v>27</v>
      </c>
      <c r="I871" s="201">
        <v>17</v>
      </c>
      <c r="J871" s="201">
        <v>26</v>
      </c>
      <c r="K871" s="201">
        <v>22</v>
      </c>
      <c r="L871" s="201">
        <v>35</v>
      </c>
      <c r="M871" s="330">
        <v>31</v>
      </c>
      <c r="N871" s="202">
        <v>-0.12181303116147302</v>
      </c>
    </row>
    <row r="872" spans="1:14" ht="15.75" customHeight="1">
      <c r="A872" s="198" t="s">
        <v>159</v>
      </c>
      <c r="B872" s="199" t="s">
        <v>188</v>
      </c>
      <c r="C872" s="199" t="s">
        <v>133</v>
      </c>
      <c r="D872" s="200" t="s">
        <v>164</v>
      </c>
      <c r="E872" s="213">
        <v>34.1</v>
      </c>
      <c r="F872" s="201">
        <v>36</v>
      </c>
      <c r="G872" s="201">
        <v>34</v>
      </c>
      <c r="H872" s="201">
        <v>25</v>
      </c>
      <c r="I872" s="201">
        <v>15</v>
      </c>
      <c r="J872" s="201">
        <v>26</v>
      </c>
      <c r="K872" s="201">
        <v>22</v>
      </c>
      <c r="L872" s="201">
        <v>35</v>
      </c>
      <c r="M872" s="330">
        <v>29</v>
      </c>
      <c r="N872" s="202">
        <v>-0.14956011730205282</v>
      </c>
    </row>
    <row r="873" spans="1:14" ht="15.75" customHeight="1">
      <c r="A873" s="198" t="s">
        <v>159</v>
      </c>
      <c r="B873" s="199" t="s">
        <v>188</v>
      </c>
      <c r="C873" s="199" t="s">
        <v>133</v>
      </c>
      <c r="D873" s="200" t="s">
        <v>165</v>
      </c>
      <c r="E873" s="213">
        <v>130.1</v>
      </c>
      <c r="F873" s="201">
        <v>128</v>
      </c>
      <c r="G873" s="201">
        <v>135</v>
      </c>
      <c r="H873" s="201">
        <v>105</v>
      </c>
      <c r="I873" s="201">
        <v>100</v>
      </c>
      <c r="J873" s="201">
        <v>100</v>
      </c>
      <c r="K873" s="201">
        <v>139</v>
      </c>
      <c r="L873" s="201">
        <v>116</v>
      </c>
      <c r="M873" s="330">
        <v>119</v>
      </c>
      <c r="N873" s="202">
        <v>-8.5318985395849312E-2</v>
      </c>
    </row>
    <row r="874" spans="1:14" ht="15.75" customHeight="1">
      <c r="A874" s="198" t="s">
        <v>159</v>
      </c>
      <c r="B874" s="199" t="s">
        <v>188</v>
      </c>
      <c r="C874" s="199" t="s">
        <v>133</v>
      </c>
      <c r="D874" s="203" t="s">
        <v>91</v>
      </c>
      <c r="E874" s="214">
        <v>165.4</v>
      </c>
      <c r="F874" s="204">
        <v>164</v>
      </c>
      <c r="G874" s="204">
        <v>170</v>
      </c>
      <c r="H874" s="204">
        <v>132</v>
      </c>
      <c r="I874" s="204">
        <v>117</v>
      </c>
      <c r="J874" s="204">
        <v>126</v>
      </c>
      <c r="K874" s="204">
        <v>161</v>
      </c>
      <c r="L874" s="204">
        <v>151</v>
      </c>
      <c r="M874" s="331">
        <v>150</v>
      </c>
      <c r="N874" s="202">
        <v>-9.3107617896009701E-2</v>
      </c>
    </row>
    <row r="875" spans="1:14" ht="15.75" customHeight="1">
      <c r="A875" s="198" t="s">
        <v>159</v>
      </c>
      <c r="B875" s="199" t="s">
        <v>188</v>
      </c>
      <c r="C875" s="199" t="s">
        <v>167</v>
      </c>
      <c r="D875" s="200" t="s">
        <v>162</v>
      </c>
      <c r="E875" s="213">
        <v>0</v>
      </c>
      <c r="F875" s="201">
        <v>0</v>
      </c>
      <c r="G875" s="201">
        <v>0</v>
      </c>
      <c r="H875" s="201">
        <v>0</v>
      </c>
      <c r="I875" s="201">
        <v>0</v>
      </c>
      <c r="J875" s="201">
        <v>0</v>
      </c>
      <c r="K875" s="201">
        <v>1</v>
      </c>
      <c r="L875" s="201">
        <v>0</v>
      </c>
      <c r="M875" s="330" t="s">
        <v>172</v>
      </c>
      <c r="N875" s="202">
        <v>0</v>
      </c>
    </row>
    <row r="876" spans="1:14" ht="15.75" customHeight="1">
      <c r="A876" s="198" t="s">
        <v>159</v>
      </c>
      <c r="B876" s="199" t="s">
        <v>188</v>
      </c>
      <c r="C876" s="199" t="s">
        <v>167</v>
      </c>
      <c r="D876" s="200" t="s">
        <v>163</v>
      </c>
      <c r="E876" s="213">
        <v>0.8</v>
      </c>
      <c r="F876" s="201">
        <v>0</v>
      </c>
      <c r="G876" s="201">
        <v>0</v>
      </c>
      <c r="H876" s="201">
        <v>0</v>
      </c>
      <c r="I876" s="201">
        <v>3</v>
      </c>
      <c r="J876" s="201">
        <v>7</v>
      </c>
      <c r="K876" s="201">
        <v>5</v>
      </c>
      <c r="L876" s="201">
        <v>5</v>
      </c>
      <c r="M876" s="330">
        <v>6</v>
      </c>
      <c r="N876" s="202">
        <v>6.5</v>
      </c>
    </row>
    <row r="877" spans="1:14" ht="15.75" customHeight="1">
      <c r="A877" s="198" t="s">
        <v>159</v>
      </c>
      <c r="B877" s="199" t="s">
        <v>188</v>
      </c>
      <c r="C877" s="199" t="s">
        <v>167</v>
      </c>
      <c r="D877" s="200" t="s">
        <v>164</v>
      </c>
      <c r="E877" s="213">
        <v>0.8</v>
      </c>
      <c r="F877" s="201">
        <v>0</v>
      </c>
      <c r="G877" s="201">
        <v>0</v>
      </c>
      <c r="H877" s="201">
        <v>0</v>
      </c>
      <c r="I877" s="201">
        <v>3</v>
      </c>
      <c r="J877" s="201">
        <v>7</v>
      </c>
      <c r="K877" s="201">
        <v>4</v>
      </c>
      <c r="L877" s="201">
        <v>5</v>
      </c>
      <c r="M877" s="330">
        <v>6</v>
      </c>
      <c r="N877" s="202">
        <v>6.5</v>
      </c>
    </row>
    <row r="878" spans="1:14" ht="15.75" customHeight="1">
      <c r="A878" s="198" t="s">
        <v>159</v>
      </c>
      <c r="B878" s="199" t="s">
        <v>188</v>
      </c>
      <c r="C878" s="199" t="s">
        <v>167</v>
      </c>
      <c r="D878" s="200" t="s">
        <v>165</v>
      </c>
      <c r="E878" s="213">
        <v>7.8</v>
      </c>
      <c r="F878" s="201">
        <v>3</v>
      </c>
      <c r="G878" s="201">
        <v>7</v>
      </c>
      <c r="H878" s="201">
        <v>1</v>
      </c>
      <c r="I878" s="201">
        <v>2</v>
      </c>
      <c r="J878" s="201">
        <v>8</v>
      </c>
      <c r="K878" s="201">
        <v>18</v>
      </c>
      <c r="L878" s="201">
        <v>11</v>
      </c>
      <c r="M878" s="330">
        <v>9</v>
      </c>
      <c r="N878" s="202">
        <v>0.15384615384615388</v>
      </c>
    </row>
    <row r="879" spans="1:14" ht="15.75" customHeight="1">
      <c r="A879" s="198" t="s">
        <v>159</v>
      </c>
      <c r="B879" s="199" t="s">
        <v>188</v>
      </c>
      <c r="C879" s="199" t="s">
        <v>167</v>
      </c>
      <c r="D879" s="203" t="s">
        <v>91</v>
      </c>
      <c r="E879" s="214">
        <v>8.5</v>
      </c>
      <c r="F879" s="204">
        <v>3</v>
      </c>
      <c r="G879" s="204">
        <v>7</v>
      </c>
      <c r="H879" s="204">
        <v>1</v>
      </c>
      <c r="I879" s="204">
        <v>5</v>
      </c>
      <c r="J879" s="204">
        <v>15</v>
      </c>
      <c r="K879" s="204">
        <v>23</v>
      </c>
      <c r="L879" s="204">
        <v>16</v>
      </c>
      <c r="M879" s="331">
        <v>15</v>
      </c>
      <c r="N879" s="202">
        <v>0.76470588235294112</v>
      </c>
    </row>
    <row r="880" spans="1:14" ht="15.75" customHeight="1">
      <c r="A880" s="198" t="s">
        <v>159</v>
      </c>
      <c r="B880" s="199" t="s">
        <v>188</v>
      </c>
      <c r="C880" s="199" t="s">
        <v>168</v>
      </c>
      <c r="D880" s="200" t="s">
        <v>162</v>
      </c>
      <c r="E880" s="213">
        <v>0</v>
      </c>
      <c r="F880" s="201">
        <v>0</v>
      </c>
      <c r="G880" s="201">
        <v>0</v>
      </c>
      <c r="H880" s="201">
        <v>1</v>
      </c>
      <c r="I880" s="201">
        <v>0</v>
      </c>
      <c r="J880" s="201">
        <v>0</v>
      </c>
      <c r="K880" s="201">
        <v>0</v>
      </c>
      <c r="L880" s="201">
        <v>0</v>
      </c>
      <c r="M880" s="330">
        <v>1</v>
      </c>
      <c r="N880" s="202">
        <v>0</v>
      </c>
    </row>
    <row r="881" spans="1:14">
      <c r="A881" s="198" t="s">
        <v>159</v>
      </c>
      <c r="B881" s="199" t="s">
        <v>188</v>
      </c>
      <c r="C881" s="199" t="s">
        <v>168</v>
      </c>
      <c r="D881" s="200" t="s">
        <v>163</v>
      </c>
      <c r="E881" s="213">
        <v>21.6</v>
      </c>
      <c r="F881" s="201">
        <v>12</v>
      </c>
      <c r="G881" s="201">
        <v>22</v>
      </c>
      <c r="H881" s="201">
        <v>23</v>
      </c>
      <c r="I881" s="201">
        <v>18</v>
      </c>
      <c r="J881" s="201">
        <v>19</v>
      </c>
      <c r="K881" s="201">
        <v>35</v>
      </c>
      <c r="L881" s="201">
        <v>16</v>
      </c>
      <c r="M881" s="330">
        <v>26</v>
      </c>
      <c r="N881" s="202">
        <v>0.20370370370370364</v>
      </c>
    </row>
    <row r="882" spans="1:14" ht="15.75" customHeight="1">
      <c r="A882" s="198" t="s">
        <v>159</v>
      </c>
      <c r="B882" s="199" t="s">
        <v>188</v>
      </c>
      <c r="C882" s="199" t="s">
        <v>168</v>
      </c>
      <c r="D882" s="200" t="s">
        <v>164</v>
      </c>
      <c r="E882" s="213">
        <v>21.6</v>
      </c>
      <c r="F882" s="201">
        <v>12</v>
      </c>
      <c r="G882" s="201">
        <v>22</v>
      </c>
      <c r="H882" s="201">
        <v>22</v>
      </c>
      <c r="I882" s="201">
        <v>18</v>
      </c>
      <c r="J882" s="201">
        <v>19</v>
      </c>
      <c r="K882" s="201">
        <v>35</v>
      </c>
      <c r="L882" s="201">
        <v>16</v>
      </c>
      <c r="M882" s="330">
        <v>25</v>
      </c>
      <c r="N882" s="202">
        <v>0.15740740740740733</v>
      </c>
    </row>
    <row r="883" spans="1:14" ht="15.75" customHeight="1">
      <c r="A883" s="198" t="s">
        <v>159</v>
      </c>
      <c r="B883" s="199" t="s">
        <v>188</v>
      </c>
      <c r="C883" s="199" t="s">
        <v>168</v>
      </c>
      <c r="D883" s="200" t="s">
        <v>165</v>
      </c>
      <c r="E883" s="213">
        <v>105.6</v>
      </c>
      <c r="F883" s="201">
        <v>101</v>
      </c>
      <c r="G883" s="201">
        <v>105</v>
      </c>
      <c r="H883" s="201">
        <v>100</v>
      </c>
      <c r="I883" s="201">
        <v>100</v>
      </c>
      <c r="J883" s="201">
        <v>78</v>
      </c>
      <c r="K883" s="201">
        <v>89</v>
      </c>
      <c r="L883" s="201">
        <v>94</v>
      </c>
      <c r="M883" s="330">
        <v>96</v>
      </c>
      <c r="N883" s="202">
        <v>-9.0909090909090856E-2</v>
      </c>
    </row>
    <row r="884" spans="1:14" ht="15.75" customHeight="1">
      <c r="A884" s="198" t="s">
        <v>159</v>
      </c>
      <c r="B884" s="199" t="s">
        <v>188</v>
      </c>
      <c r="C884" s="199" t="s">
        <v>168</v>
      </c>
      <c r="D884" s="203" t="s">
        <v>91</v>
      </c>
      <c r="E884" s="214">
        <v>127.2</v>
      </c>
      <c r="F884" s="204">
        <v>113</v>
      </c>
      <c r="G884" s="204">
        <v>127</v>
      </c>
      <c r="H884" s="204">
        <v>123</v>
      </c>
      <c r="I884" s="204">
        <v>118</v>
      </c>
      <c r="J884" s="204">
        <v>97</v>
      </c>
      <c r="K884" s="204">
        <v>124</v>
      </c>
      <c r="L884" s="204">
        <v>110</v>
      </c>
      <c r="M884" s="331">
        <v>122</v>
      </c>
      <c r="N884" s="202">
        <v>-4.0880503144654107E-2</v>
      </c>
    </row>
    <row r="885" spans="1:14" ht="15.75" customHeight="1">
      <c r="A885" s="198" t="s">
        <v>159</v>
      </c>
      <c r="B885" s="199" t="s">
        <v>188</v>
      </c>
      <c r="C885" s="199" t="s">
        <v>131</v>
      </c>
      <c r="D885" s="200" t="s">
        <v>162</v>
      </c>
      <c r="E885" s="213">
        <v>1.8</v>
      </c>
      <c r="F885" s="201">
        <v>1</v>
      </c>
      <c r="G885" s="201">
        <v>1</v>
      </c>
      <c r="H885" s="201">
        <v>2</v>
      </c>
      <c r="I885" s="201">
        <v>1</v>
      </c>
      <c r="J885" s="201">
        <v>2</v>
      </c>
      <c r="K885" s="201">
        <v>3</v>
      </c>
      <c r="L885" s="201">
        <v>2</v>
      </c>
      <c r="M885" s="330">
        <v>3</v>
      </c>
      <c r="N885" s="202">
        <v>0.66666666666666663</v>
      </c>
    </row>
    <row r="886" spans="1:14" ht="15.75" customHeight="1">
      <c r="A886" s="198" t="s">
        <v>159</v>
      </c>
      <c r="B886" s="199" t="s">
        <v>188</v>
      </c>
      <c r="C886" s="199" t="s">
        <v>131</v>
      </c>
      <c r="D886" s="200" t="s">
        <v>163</v>
      </c>
      <c r="E886" s="213">
        <v>41.7</v>
      </c>
      <c r="F886" s="201">
        <v>38</v>
      </c>
      <c r="G886" s="201">
        <v>33</v>
      </c>
      <c r="H886" s="201">
        <v>49</v>
      </c>
      <c r="I886" s="201">
        <v>27</v>
      </c>
      <c r="J886" s="201">
        <v>40</v>
      </c>
      <c r="K886" s="201">
        <v>51</v>
      </c>
      <c r="L886" s="201">
        <v>49</v>
      </c>
      <c r="M886" s="330">
        <v>39</v>
      </c>
      <c r="N886" s="202">
        <v>-6.474820143884899E-2</v>
      </c>
    </row>
    <row r="887" spans="1:14" ht="15.75" customHeight="1">
      <c r="A887" s="198" t="s">
        <v>159</v>
      </c>
      <c r="B887" s="199" t="s">
        <v>188</v>
      </c>
      <c r="C887" s="199" t="s">
        <v>131</v>
      </c>
      <c r="D887" s="200" t="s">
        <v>164</v>
      </c>
      <c r="E887" s="213">
        <v>39.9</v>
      </c>
      <c r="F887" s="201">
        <v>37</v>
      </c>
      <c r="G887" s="201">
        <v>32</v>
      </c>
      <c r="H887" s="201">
        <v>47</v>
      </c>
      <c r="I887" s="201">
        <v>26</v>
      </c>
      <c r="J887" s="201">
        <v>38</v>
      </c>
      <c r="K887" s="201">
        <v>48</v>
      </c>
      <c r="L887" s="201">
        <v>47</v>
      </c>
      <c r="M887" s="330">
        <v>36</v>
      </c>
      <c r="N887" s="202">
        <v>-9.7744360902255606E-2</v>
      </c>
    </row>
    <row r="888" spans="1:14" ht="15.75" customHeight="1">
      <c r="A888" s="198" t="s">
        <v>159</v>
      </c>
      <c r="B888" s="199" t="s">
        <v>188</v>
      </c>
      <c r="C888" s="199" t="s">
        <v>131</v>
      </c>
      <c r="D888" s="200" t="s">
        <v>165</v>
      </c>
      <c r="E888" s="213">
        <v>96.2</v>
      </c>
      <c r="F888" s="201">
        <v>145</v>
      </c>
      <c r="G888" s="201">
        <v>111</v>
      </c>
      <c r="H888" s="201">
        <v>101</v>
      </c>
      <c r="I888" s="201">
        <v>65</v>
      </c>
      <c r="J888" s="201">
        <v>83</v>
      </c>
      <c r="K888" s="201">
        <v>116</v>
      </c>
      <c r="L888" s="201">
        <v>91</v>
      </c>
      <c r="M888" s="330">
        <v>90</v>
      </c>
      <c r="N888" s="202">
        <v>-6.444906444906448E-2</v>
      </c>
    </row>
    <row r="889" spans="1:14" ht="15.75" customHeight="1">
      <c r="A889" s="198" t="s">
        <v>159</v>
      </c>
      <c r="B889" s="199" t="s">
        <v>188</v>
      </c>
      <c r="C889" s="199" t="s">
        <v>131</v>
      </c>
      <c r="D889" s="203" t="s">
        <v>91</v>
      </c>
      <c r="E889" s="214">
        <v>137.9</v>
      </c>
      <c r="F889" s="204">
        <v>183</v>
      </c>
      <c r="G889" s="204">
        <v>144</v>
      </c>
      <c r="H889" s="204">
        <v>150</v>
      </c>
      <c r="I889" s="204">
        <v>92</v>
      </c>
      <c r="J889" s="204">
        <v>123</v>
      </c>
      <c r="K889" s="204">
        <v>167</v>
      </c>
      <c r="L889" s="204">
        <v>140</v>
      </c>
      <c r="M889" s="331">
        <v>129</v>
      </c>
      <c r="N889" s="202">
        <v>-6.4539521392313309E-2</v>
      </c>
    </row>
    <row r="890" spans="1:14" ht="15.75" customHeight="1">
      <c r="A890" s="198" t="s">
        <v>159</v>
      </c>
      <c r="B890" s="199" t="s">
        <v>188</v>
      </c>
      <c r="C890" s="199" t="s">
        <v>169</v>
      </c>
      <c r="D890" s="200" t="s">
        <v>162</v>
      </c>
      <c r="E890" s="213">
        <v>0</v>
      </c>
      <c r="F890" s="201">
        <v>0</v>
      </c>
      <c r="G890" s="201">
        <v>0</v>
      </c>
      <c r="H890" s="201">
        <v>0</v>
      </c>
      <c r="I890" s="201">
        <v>0</v>
      </c>
      <c r="J890" s="201">
        <v>0</v>
      </c>
      <c r="K890" s="201">
        <v>0</v>
      </c>
      <c r="L890" s="201">
        <v>0</v>
      </c>
      <c r="M890" s="330" t="s">
        <v>172</v>
      </c>
      <c r="N890" s="202">
        <v>0</v>
      </c>
    </row>
    <row r="891" spans="1:14">
      <c r="A891" s="198" t="s">
        <v>159</v>
      </c>
      <c r="B891" s="199" t="s">
        <v>188</v>
      </c>
      <c r="C891" s="199" t="s">
        <v>169</v>
      </c>
      <c r="D891" s="200" t="s">
        <v>163</v>
      </c>
      <c r="E891" s="213">
        <v>0</v>
      </c>
      <c r="F891" s="201">
        <v>2</v>
      </c>
      <c r="G891" s="201">
        <v>0</v>
      </c>
      <c r="H891" s="201">
        <v>0</v>
      </c>
      <c r="I891" s="201">
        <v>1</v>
      </c>
      <c r="J891" s="201">
        <v>0</v>
      </c>
      <c r="K891" s="201">
        <v>0</v>
      </c>
      <c r="L891" s="201">
        <v>1</v>
      </c>
      <c r="M891" s="330">
        <v>0</v>
      </c>
      <c r="N891" s="202">
        <v>0</v>
      </c>
    </row>
    <row r="892" spans="1:14" ht="15.75" customHeight="1">
      <c r="A892" s="198" t="s">
        <v>159</v>
      </c>
      <c r="B892" s="199" t="s">
        <v>188</v>
      </c>
      <c r="C892" s="199" t="s">
        <v>169</v>
      </c>
      <c r="D892" s="200" t="s">
        <v>164</v>
      </c>
      <c r="E892" s="213">
        <v>0</v>
      </c>
      <c r="F892" s="201">
        <v>2</v>
      </c>
      <c r="G892" s="201">
        <v>0</v>
      </c>
      <c r="H892" s="201">
        <v>0</v>
      </c>
      <c r="I892" s="201">
        <v>1</v>
      </c>
      <c r="J892" s="201">
        <v>0</v>
      </c>
      <c r="K892" s="201">
        <v>0</v>
      </c>
      <c r="L892" s="201">
        <v>1</v>
      </c>
      <c r="M892" s="330" t="s">
        <v>172</v>
      </c>
      <c r="N892" s="202">
        <v>0</v>
      </c>
    </row>
    <row r="893" spans="1:14" ht="15.75" customHeight="1">
      <c r="A893" s="198" t="s">
        <v>159</v>
      </c>
      <c r="B893" s="199" t="s">
        <v>188</v>
      </c>
      <c r="C893" s="199" t="s">
        <v>169</v>
      </c>
      <c r="D893" s="200" t="s">
        <v>165</v>
      </c>
      <c r="E893" s="213">
        <v>0</v>
      </c>
      <c r="F893" s="201">
        <v>40</v>
      </c>
      <c r="G893" s="201">
        <v>18</v>
      </c>
      <c r="H893" s="201">
        <v>14</v>
      </c>
      <c r="I893" s="201">
        <v>8</v>
      </c>
      <c r="J893" s="201">
        <v>10</v>
      </c>
      <c r="K893" s="201">
        <v>6</v>
      </c>
      <c r="L893" s="201">
        <v>5</v>
      </c>
      <c r="M893" s="330">
        <v>6</v>
      </c>
      <c r="N893" s="202">
        <v>0</v>
      </c>
    </row>
    <row r="894" spans="1:14" ht="15.75" customHeight="1">
      <c r="A894" s="198" t="s">
        <v>159</v>
      </c>
      <c r="B894" s="199" t="s">
        <v>188</v>
      </c>
      <c r="C894" s="199" t="s">
        <v>169</v>
      </c>
      <c r="D894" s="203" t="s">
        <v>91</v>
      </c>
      <c r="E894" s="214">
        <v>0</v>
      </c>
      <c r="F894" s="204">
        <v>42</v>
      </c>
      <c r="G894" s="204">
        <v>18</v>
      </c>
      <c r="H894" s="204">
        <v>14</v>
      </c>
      <c r="I894" s="204">
        <v>9</v>
      </c>
      <c r="J894" s="204">
        <v>10</v>
      </c>
      <c r="K894" s="204">
        <v>6</v>
      </c>
      <c r="L894" s="204">
        <v>6</v>
      </c>
      <c r="M894" s="331">
        <v>6</v>
      </c>
      <c r="N894" s="202">
        <v>0</v>
      </c>
    </row>
    <row r="895" spans="1:14" ht="15.75" customHeight="1">
      <c r="A895" s="198" t="s">
        <v>159</v>
      </c>
      <c r="B895" s="199" t="s">
        <v>188</v>
      </c>
      <c r="C895" s="199" t="s">
        <v>139</v>
      </c>
      <c r="D895" s="200" t="s">
        <v>162</v>
      </c>
      <c r="E895" s="213">
        <v>0.2</v>
      </c>
      <c r="F895" s="201">
        <v>0</v>
      </c>
      <c r="G895" s="201">
        <v>0</v>
      </c>
      <c r="H895" s="201">
        <v>0</v>
      </c>
      <c r="I895" s="201">
        <v>0</v>
      </c>
      <c r="J895" s="201">
        <v>0</v>
      </c>
      <c r="K895" s="201">
        <v>0</v>
      </c>
      <c r="L895" s="201">
        <v>0</v>
      </c>
      <c r="M895" s="330" t="s">
        <v>172</v>
      </c>
      <c r="N895" s="202">
        <v>-1</v>
      </c>
    </row>
    <row r="896" spans="1:14" ht="15.75" customHeight="1">
      <c r="A896" s="198" t="s">
        <v>159</v>
      </c>
      <c r="B896" s="199" t="s">
        <v>188</v>
      </c>
      <c r="C896" s="199" t="s">
        <v>139</v>
      </c>
      <c r="D896" s="200" t="s">
        <v>163</v>
      </c>
      <c r="E896" s="213">
        <v>1.2</v>
      </c>
      <c r="F896" s="201">
        <v>0</v>
      </c>
      <c r="G896" s="201">
        <v>2</v>
      </c>
      <c r="H896" s="201">
        <v>0</v>
      </c>
      <c r="I896" s="201">
        <v>0</v>
      </c>
      <c r="J896" s="201">
        <v>0</v>
      </c>
      <c r="K896" s="201">
        <v>0</v>
      </c>
      <c r="L896" s="201">
        <v>0</v>
      </c>
      <c r="M896" s="330">
        <v>0</v>
      </c>
      <c r="N896" s="202">
        <v>-1</v>
      </c>
    </row>
    <row r="897" spans="1:14" ht="15.75" customHeight="1">
      <c r="A897" s="198" t="s">
        <v>159</v>
      </c>
      <c r="B897" s="199" t="s">
        <v>188</v>
      </c>
      <c r="C897" s="199" t="s">
        <v>139</v>
      </c>
      <c r="D897" s="200" t="s">
        <v>164</v>
      </c>
      <c r="E897" s="213">
        <v>1</v>
      </c>
      <c r="F897" s="201">
        <v>0</v>
      </c>
      <c r="G897" s="201">
        <v>2</v>
      </c>
      <c r="H897" s="201">
        <v>0</v>
      </c>
      <c r="I897" s="201">
        <v>0</v>
      </c>
      <c r="J897" s="201">
        <v>0</v>
      </c>
      <c r="K897" s="201">
        <v>0</v>
      </c>
      <c r="L897" s="201">
        <v>0</v>
      </c>
      <c r="M897" s="330" t="s">
        <v>172</v>
      </c>
      <c r="N897" s="202">
        <v>-1</v>
      </c>
    </row>
    <row r="898" spans="1:14" ht="15.75" customHeight="1">
      <c r="A898" s="198" t="s">
        <v>159</v>
      </c>
      <c r="B898" s="199" t="s">
        <v>188</v>
      </c>
      <c r="C898" s="199" t="s">
        <v>139</v>
      </c>
      <c r="D898" s="200" t="s">
        <v>165</v>
      </c>
      <c r="E898" s="213">
        <v>26.8</v>
      </c>
      <c r="F898" s="201">
        <v>2</v>
      </c>
      <c r="G898" s="201">
        <v>14</v>
      </c>
      <c r="H898" s="201">
        <v>11</v>
      </c>
      <c r="I898" s="201">
        <v>7</v>
      </c>
      <c r="J898" s="201">
        <v>5</v>
      </c>
      <c r="K898" s="201">
        <v>14</v>
      </c>
      <c r="L898" s="201">
        <v>15</v>
      </c>
      <c r="M898" s="330">
        <v>5</v>
      </c>
      <c r="N898" s="202">
        <v>-0.81343283582089554</v>
      </c>
    </row>
    <row r="899" spans="1:14" ht="15.75" customHeight="1">
      <c r="A899" s="198" t="s">
        <v>159</v>
      </c>
      <c r="B899" s="199" t="s">
        <v>188</v>
      </c>
      <c r="C899" s="199" t="s">
        <v>139</v>
      </c>
      <c r="D899" s="203" t="s">
        <v>91</v>
      </c>
      <c r="E899" s="214">
        <v>28</v>
      </c>
      <c r="F899" s="204">
        <v>2</v>
      </c>
      <c r="G899" s="204">
        <v>16</v>
      </c>
      <c r="H899" s="204">
        <v>11</v>
      </c>
      <c r="I899" s="204">
        <v>7</v>
      </c>
      <c r="J899" s="204">
        <v>5</v>
      </c>
      <c r="K899" s="204">
        <v>14</v>
      </c>
      <c r="L899" s="204">
        <v>15</v>
      </c>
      <c r="M899" s="331">
        <v>5</v>
      </c>
      <c r="N899" s="202">
        <v>-0.8214285714285714</v>
      </c>
    </row>
    <row r="900" spans="1:14" ht="15.75" customHeight="1">
      <c r="A900" s="198" t="s">
        <v>159</v>
      </c>
      <c r="B900" s="199" t="s">
        <v>188</v>
      </c>
      <c r="C900" s="205" t="s">
        <v>91</v>
      </c>
      <c r="D900" s="203" t="s">
        <v>162</v>
      </c>
      <c r="E900" s="214">
        <v>4.4000000000000004</v>
      </c>
      <c r="F900" s="204">
        <v>2</v>
      </c>
      <c r="G900" s="204">
        <v>2</v>
      </c>
      <c r="H900" s="204">
        <v>6</v>
      </c>
      <c r="I900" s="204">
        <v>3</v>
      </c>
      <c r="J900" s="204">
        <v>2</v>
      </c>
      <c r="K900" s="204">
        <v>4</v>
      </c>
      <c r="L900" s="204">
        <v>3</v>
      </c>
      <c r="M900" s="331">
        <v>6</v>
      </c>
      <c r="N900" s="202">
        <v>0.36363636363636354</v>
      </c>
    </row>
    <row r="901" spans="1:14" ht="15.75" customHeight="1">
      <c r="A901" s="198" t="s">
        <v>175</v>
      </c>
      <c r="B901" s="199" t="s">
        <v>176</v>
      </c>
      <c r="C901" s="205" t="s">
        <v>91</v>
      </c>
      <c r="D901" s="203" t="s">
        <v>163</v>
      </c>
      <c r="E901" s="216">
        <v>182</v>
      </c>
      <c r="F901" s="204">
        <v>144</v>
      </c>
      <c r="G901" s="204">
        <v>152</v>
      </c>
      <c r="H901" s="204">
        <v>141</v>
      </c>
      <c r="I901" s="204">
        <v>102</v>
      </c>
      <c r="J901" s="204">
        <v>117</v>
      </c>
      <c r="K901" s="204">
        <v>119</v>
      </c>
      <c r="L901" s="204">
        <v>116</v>
      </c>
      <c r="M901" s="331">
        <v>103</v>
      </c>
      <c r="N901" s="202">
        <v>-0.43406593406593408</v>
      </c>
    </row>
    <row r="902" spans="1:14" ht="15.75" customHeight="1">
      <c r="A902" s="198" t="s">
        <v>159</v>
      </c>
      <c r="B902" s="199" t="s">
        <v>188</v>
      </c>
      <c r="C902" s="205" t="s">
        <v>91</v>
      </c>
      <c r="D902" s="203" t="s">
        <v>164</v>
      </c>
      <c r="E902" s="214">
        <v>136.9</v>
      </c>
      <c r="F902" s="204">
        <v>112</v>
      </c>
      <c r="G902" s="204">
        <v>120</v>
      </c>
      <c r="H902" s="204">
        <v>111</v>
      </c>
      <c r="I902" s="204">
        <v>79</v>
      </c>
      <c r="J902" s="204">
        <v>116</v>
      </c>
      <c r="K902" s="204">
        <v>137</v>
      </c>
      <c r="L902" s="204">
        <v>132</v>
      </c>
      <c r="M902" s="331">
        <v>121</v>
      </c>
      <c r="N902" s="202">
        <v>-0.11614317019722428</v>
      </c>
    </row>
    <row r="903" spans="1:14" ht="15.75" customHeight="1">
      <c r="A903" s="198" t="s">
        <v>159</v>
      </c>
      <c r="B903" s="199" t="s">
        <v>188</v>
      </c>
      <c r="C903" s="205" t="s">
        <v>91</v>
      </c>
      <c r="D903" s="203" t="s">
        <v>165</v>
      </c>
      <c r="E903" s="214">
        <v>915</v>
      </c>
      <c r="F903" s="204">
        <v>976</v>
      </c>
      <c r="G903" s="204">
        <v>835</v>
      </c>
      <c r="H903" s="204">
        <v>777</v>
      </c>
      <c r="I903" s="204">
        <v>613</v>
      </c>
      <c r="J903" s="204">
        <v>653</v>
      </c>
      <c r="K903" s="204">
        <v>781</v>
      </c>
      <c r="L903" s="204">
        <v>623</v>
      </c>
      <c r="M903" s="331">
        <v>634</v>
      </c>
      <c r="N903" s="202">
        <v>-0.307103825136612</v>
      </c>
    </row>
    <row r="904" spans="1:14" ht="15.75" customHeight="1">
      <c r="A904" s="198" t="s">
        <v>159</v>
      </c>
      <c r="B904" s="199" t="s">
        <v>188</v>
      </c>
      <c r="C904" s="205" t="s">
        <v>91</v>
      </c>
      <c r="D904" s="203" t="s">
        <v>91</v>
      </c>
      <c r="E904" s="214">
        <v>1056.2</v>
      </c>
      <c r="F904" s="204">
        <v>1090</v>
      </c>
      <c r="G904" s="204">
        <v>957</v>
      </c>
      <c r="H904" s="204">
        <v>894</v>
      </c>
      <c r="I904" s="204">
        <v>695</v>
      </c>
      <c r="J904" s="204">
        <v>771</v>
      </c>
      <c r="K904" s="204">
        <v>922</v>
      </c>
      <c r="L904" s="204">
        <v>758</v>
      </c>
      <c r="M904" s="331">
        <v>761</v>
      </c>
      <c r="N904" s="202">
        <v>-0.2794925203559932</v>
      </c>
    </row>
    <row r="905" spans="1:14" ht="15.75" customHeight="1">
      <c r="A905" s="198" t="s">
        <v>175</v>
      </c>
      <c r="B905" s="199" t="s">
        <v>189</v>
      </c>
      <c r="C905" s="199" t="s">
        <v>161</v>
      </c>
      <c r="D905" s="200" t="s">
        <v>162</v>
      </c>
      <c r="E905" s="215">
        <v>0</v>
      </c>
      <c r="F905" s="201">
        <v>0</v>
      </c>
      <c r="G905" s="201">
        <v>0</v>
      </c>
      <c r="H905" s="201">
        <v>0</v>
      </c>
      <c r="I905" s="201">
        <v>0</v>
      </c>
      <c r="J905" s="201">
        <v>0</v>
      </c>
      <c r="K905" s="201">
        <v>0</v>
      </c>
      <c r="L905" s="201">
        <v>0</v>
      </c>
      <c r="M905" s="330" t="s">
        <v>172</v>
      </c>
      <c r="N905" s="202">
        <v>0</v>
      </c>
    </row>
    <row r="906" spans="1:14">
      <c r="A906" s="198" t="s">
        <v>175</v>
      </c>
      <c r="B906" s="199" t="s">
        <v>189</v>
      </c>
      <c r="C906" s="199" t="s">
        <v>161</v>
      </c>
      <c r="D906" s="200" t="s">
        <v>163</v>
      </c>
      <c r="E906" s="215">
        <v>6.7</v>
      </c>
      <c r="F906" s="201">
        <v>4</v>
      </c>
      <c r="G906" s="201">
        <v>7</v>
      </c>
      <c r="H906" s="201">
        <v>6</v>
      </c>
      <c r="I906" s="201">
        <v>2</v>
      </c>
      <c r="J906" s="201">
        <v>1</v>
      </c>
      <c r="K906" s="201">
        <v>3</v>
      </c>
      <c r="L906" s="201">
        <v>5</v>
      </c>
      <c r="M906" s="330">
        <v>1</v>
      </c>
      <c r="N906" s="202">
        <v>-0.85074626865671643</v>
      </c>
    </row>
    <row r="907" spans="1:14" ht="15.75" customHeight="1">
      <c r="A907" s="198" t="s">
        <v>175</v>
      </c>
      <c r="B907" s="199" t="s">
        <v>189</v>
      </c>
      <c r="C907" s="199" t="s">
        <v>161</v>
      </c>
      <c r="D907" s="200" t="s">
        <v>164</v>
      </c>
      <c r="E907" s="215">
        <v>6.7</v>
      </c>
      <c r="F907" s="201">
        <v>4</v>
      </c>
      <c r="G907" s="201">
        <v>7</v>
      </c>
      <c r="H907" s="201">
        <v>6</v>
      </c>
      <c r="I907" s="201">
        <v>2</v>
      </c>
      <c r="J907" s="201">
        <v>1</v>
      </c>
      <c r="K907" s="201">
        <v>3</v>
      </c>
      <c r="L907" s="201">
        <v>5</v>
      </c>
      <c r="M907" s="330">
        <v>1</v>
      </c>
      <c r="N907" s="202">
        <v>-0.85074626865671643</v>
      </c>
    </row>
    <row r="908" spans="1:14" ht="15.75" customHeight="1">
      <c r="A908" s="198" t="s">
        <v>175</v>
      </c>
      <c r="B908" s="199" t="s">
        <v>189</v>
      </c>
      <c r="C908" s="199" t="s">
        <v>161</v>
      </c>
      <c r="D908" s="200" t="s">
        <v>165</v>
      </c>
      <c r="E908" s="215">
        <v>52.2</v>
      </c>
      <c r="F908" s="201">
        <v>49</v>
      </c>
      <c r="G908" s="201">
        <v>30</v>
      </c>
      <c r="H908" s="201">
        <v>20</v>
      </c>
      <c r="I908" s="201">
        <v>13</v>
      </c>
      <c r="J908" s="201">
        <v>29</v>
      </c>
      <c r="K908" s="201">
        <v>23</v>
      </c>
      <c r="L908" s="201">
        <v>32</v>
      </c>
      <c r="M908" s="330">
        <v>21</v>
      </c>
      <c r="N908" s="202">
        <v>-0.5977011494252874</v>
      </c>
    </row>
    <row r="909" spans="1:14" ht="15.75" customHeight="1">
      <c r="A909" s="198" t="s">
        <v>175</v>
      </c>
      <c r="B909" s="199" t="s">
        <v>189</v>
      </c>
      <c r="C909" s="199" t="s">
        <v>161</v>
      </c>
      <c r="D909" s="203" t="s">
        <v>91</v>
      </c>
      <c r="E909" s="216">
        <v>58.9</v>
      </c>
      <c r="F909" s="204">
        <v>53</v>
      </c>
      <c r="G909" s="204">
        <v>37</v>
      </c>
      <c r="H909" s="204">
        <v>26</v>
      </c>
      <c r="I909" s="204">
        <v>15</v>
      </c>
      <c r="J909" s="204">
        <v>30</v>
      </c>
      <c r="K909" s="204">
        <v>26</v>
      </c>
      <c r="L909" s="204">
        <v>37</v>
      </c>
      <c r="M909" s="331">
        <v>22</v>
      </c>
      <c r="N909" s="202">
        <v>-0.62648556876061123</v>
      </c>
    </row>
    <row r="910" spans="1:14" ht="15.75" customHeight="1">
      <c r="A910" s="198" t="s">
        <v>175</v>
      </c>
      <c r="B910" s="199" t="s">
        <v>189</v>
      </c>
      <c r="C910" s="199" t="s">
        <v>134</v>
      </c>
      <c r="D910" s="200" t="s">
        <v>162</v>
      </c>
      <c r="E910" s="215">
        <v>0</v>
      </c>
      <c r="F910" s="201">
        <v>0</v>
      </c>
      <c r="G910" s="201">
        <v>0</v>
      </c>
      <c r="H910" s="201">
        <v>0</v>
      </c>
      <c r="I910" s="201">
        <v>0</v>
      </c>
      <c r="J910" s="201">
        <v>0</v>
      </c>
      <c r="K910" s="201">
        <v>1</v>
      </c>
      <c r="L910" s="201">
        <v>0</v>
      </c>
      <c r="M910" s="330" t="s">
        <v>172</v>
      </c>
      <c r="N910" s="202">
        <v>0</v>
      </c>
    </row>
    <row r="911" spans="1:14">
      <c r="A911" s="198" t="s">
        <v>175</v>
      </c>
      <c r="B911" s="199" t="s">
        <v>189</v>
      </c>
      <c r="C911" s="199" t="s">
        <v>134</v>
      </c>
      <c r="D911" s="200" t="s">
        <v>163</v>
      </c>
      <c r="E911" s="215">
        <v>14.4</v>
      </c>
      <c r="F911" s="201">
        <v>6</v>
      </c>
      <c r="G911" s="201">
        <v>12</v>
      </c>
      <c r="H911" s="201">
        <v>2</v>
      </c>
      <c r="I911" s="201">
        <v>3</v>
      </c>
      <c r="J911" s="201">
        <v>7</v>
      </c>
      <c r="K911" s="201">
        <v>6</v>
      </c>
      <c r="L911" s="201">
        <v>4</v>
      </c>
      <c r="M911" s="330">
        <v>6</v>
      </c>
      <c r="N911" s="202">
        <v>-0.58333333333333337</v>
      </c>
    </row>
    <row r="912" spans="1:14" ht="15.75" customHeight="1">
      <c r="A912" s="198" t="s">
        <v>175</v>
      </c>
      <c r="B912" s="199" t="s">
        <v>189</v>
      </c>
      <c r="C912" s="199" t="s">
        <v>134</v>
      </c>
      <c r="D912" s="200" t="s">
        <v>164</v>
      </c>
      <c r="E912" s="215">
        <v>14.4</v>
      </c>
      <c r="F912" s="201">
        <v>6</v>
      </c>
      <c r="G912" s="201">
        <v>12</v>
      </c>
      <c r="H912" s="201">
        <v>2</v>
      </c>
      <c r="I912" s="201">
        <v>3</v>
      </c>
      <c r="J912" s="201">
        <v>7</v>
      </c>
      <c r="K912" s="201">
        <v>5</v>
      </c>
      <c r="L912" s="201">
        <v>4</v>
      </c>
      <c r="M912" s="330">
        <v>6</v>
      </c>
      <c r="N912" s="202">
        <v>-0.58333333333333337</v>
      </c>
    </row>
    <row r="913" spans="1:14" ht="15.75" customHeight="1">
      <c r="A913" s="198" t="s">
        <v>175</v>
      </c>
      <c r="B913" s="199" t="s">
        <v>189</v>
      </c>
      <c r="C913" s="199" t="s">
        <v>134</v>
      </c>
      <c r="D913" s="200" t="s">
        <v>165</v>
      </c>
      <c r="E913" s="215">
        <v>174.7</v>
      </c>
      <c r="F913" s="201">
        <v>146</v>
      </c>
      <c r="G913" s="201">
        <v>147</v>
      </c>
      <c r="H913" s="201">
        <v>117</v>
      </c>
      <c r="I913" s="201">
        <v>104</v>
      </c>
      <c r="J913" s="201">
        <v>103</v>
      </c>
      <c r="K913" s="201">
        <v>96</v>
      </c>
      <c r="L913" s="201">
        <v>86</v>
      </c>
      <c r="M913" s="330">
        <v>75</v>
      </c>
      <c r="N913" s="202">
        <v>-0.57069261591299369</v>
      </c>
    </row>
    <row r="914" spans="1:14" ht="15.75" customHeight="1">
      <c r="A914" s="198" t="s">
        <v>175</v>
      </c>
      <c r="B914" s="199" t="s">
        <v>189</v>
      </c>
      <c r="C914" s="199" t="s">
        <v>134</v>
      </c>
      <c r="D914" s="203" t="s">
        <v>91</v>
      </c>
      <c r="E914" s="216">
        <v>189.2</v>
      </c>
      <c r="F914" s="204">
        <v>152</v>
      </c>
      <c r="G914" s="204">
        <v>159</v>
      </c>
      <c r="H914" s="204">
        <v>119</v>
      </c>
      <c r="I914" s="204">
        <v>107</v>
      </c>
      <c r="J914" s="204">
        <v>110</v>
      </c>
      <c r="K914" s="204">
        <v>102</v>
      </c>
      <c r="L914" s="204">
        <v>90</v>
      </c>
      <c r="M914" s="331">
        <v>81</v>
      </c>
      <c r="N914" s="202">
        <v>-0.57188160676532762</v>
      </c>
    </row>
    <row r="915" spans="1:14" ht="15.75" customHeight="1">
      <c r="A915" s="198" t="s">
        <v>175</v>
      </c>
      <c r="B915" s="199" t="s">
        <v>189</v>
      </c>
      <c r="C915" s="199" t="s">
        <v>166</v>
      </c>
      <c r="D915" s="200" t="s">
        <v>162</v>
      </c>
      <c r="E915" s="215">
        <v>0</v>
      </c>
      <c r="F915" s="201">
        <v>0</v>
      </c>
      <c r="G915" s="201">
        <v>0</v>
      </c>
      <c r="H915" s="201">
        <v>0</v>
      </c>
      <c r="I915" s="201">
        <v>0</v>
      </c>
      <c r="J915" s="201">
        <v>0</v>
      </c>
      <c r="K915" s="201">
        <v>0</v>
      </c>
      <c r="L915" s="201">
        <v>0</v>
      </c>
      <c r="M915" s="330" t="s">
        <v>172</v>
      </c>
      <c r="N915" s="202">
        <v>0</v>
      </c>
    </row>
    <row r="916" spans="1:14">
      <c r="A916" s="198" t="s">
        <v>175</v>
      </c>
      <c r="B916" s="199" t="s">
        <v>189</v>
      </c>
      <c r="C916" s="199" t="s">
        <v>166</v>
      </c>
      <c r="D916" s="200" t="s">
        <v>163</v>
      </c>
      <c r="E916" s="215">
        <v>1</v>
      </c>
      <c r="F916" s="201">
        <v>1</v>
      </c>
      <c r="G916" s="201">
        <v>0</v>
      </c>
      <c r="H916" s="201">
        <v>0</v>
      </c>
      <c r="I916" s="201">
        <v>0</v>
      </c>
      <c r="J916" s="201">
        <v>1</v>
      </c>
      <c r="K916" s="201">
        <v>0</v>
      </c>
      <c r="L916" s="201">
        <v>0</v>
      </c>
      <c r="M916" s="330">
        <v>0</v>
      </c>
      <c r="N916" s="202">
        <v>-1</v>
      </c>
    </row>
    <row r="917" spans="1:14" ht="15.75" customHeight="1">
      <c r="A917" s="198" t="s">
        <v>175</v>
      </c>
      <c r="B917" s="199" t="s">
        <v>189</v>
      </c>
      <c r="C917" s="199" t="s">
        <v>166</v>
      </c>
      <c r="D917" s="200" t="s">
        <v>164</v>
      </c>
      <c r="E917" s="215">
        <v>1</v>
      </c>
      <c r="F917" s="201">
        <v>1</v>
      </c>
      <c r="G917" s="201">
        <v>0</v>
      </c>
      <c r="H917" s="201">
        <v>0</v>
      </c>
      <c r="I917" s="201">
        <v>0</v>
      </c>
      <c r="J917" s="201">
        <v>1</v>
      </c>
      <c r="K917" s="201">
        <v>0</v>
      </c>
      <c r="L917" s="201">
        <v>0</v>
      </c>
      <c r="M917" s="330" t="s">
        <v>172</v>
      </c>
      <c r="N917" s="202">
        <v>-1</v>
      </c>
    </row>
    <row r="918" spans="1:14" ht="15.75" customHeight="1">
      <c r="A918" s="198" t="s">
        <v>175</v>
      </c>
      <c r="B918" s="199" t="s">
        <v>189</v>
      </c>
      <c r="C918" s="199" t="s">
        <v>166</v>
      </c>
      <c r="D918" s="200" t="s">
        <v>165</v>
      </c>
      <c r="E918" s="215">
        <v>10.8</v>
      </c>
      <c r="F918" s="201">
        <v>12</v>
      </c>
      <c r="G918" s="201">
        <v>15</v>
      </c>
      <c r="H918" s="201">
        <v>9</v>
      </c>
      <c r="I918" s="201">
        <v>8</v>
      </c>
      <c r="J918" s="201">
        <v>13</v>
      </c>
      <c r="K918" s="201">
        <v>11</v>
      </c>
      <c r="L918" s="201">
        <v>8</v>
      </c>
      <c r="M918" s="330">
        <v>5</v>
      </c>
      <c r="N918" s="202">
        <v>-0.53703703703703709</v>
      </c>
    </row>
    <row r="919" spans="1:14" ht="15.75" customHeight="1">
      <c r="A919" s="198" t="s">
        <v>175</v>
      </c>
      <c r="B919" s="199" t="s">
        <v>189</v>
      </c>
      <c r="C919" s="199" t="s">
        <v>166</v>
      </c>
      <c r="D919" s="203" t="s">
        <v>91</v>
      </c>
      <c r="E919" s="216">
        <v>11.8</v>
      </c>
      <c r="F919" s="204">
        <v>13</v>
      </c>
      <c r="G919" s="204">
        <v>15</v>
      </c>
      <c r="H919" s="204">
        <v>9</v>
      </c>
      <c r="I919" s="204">
        <v>8</v>
      </c>
      <c r="J919" s="204">
        <v>14</v>
      </c>
      <c r="K919" s="204">
        <v>11</v>
      </c>
      <c r="L919" s="204">
        <v>8</v>
      </c>
      <c r="M919" s="331">
        <v>5</v>
      </c>
      <c r="N919" s="202">
        <v>-0.57627118644067798</v>
      </c>
    </row>
    <row r="920" spans="1:14" ht="15.75" customHeight="1">
      <c r="A920" s="198" t="s">
        <v>175</v>
      </c>
      <c r="B920" s="199" t="s">
        <v>189</v>
      </c>
      <c r="C920" s="199" t="s">
        <v>133</v>
      </c>
      <c r="D920" s="200" t="s">
        <v>162</v>
      </c>
      <c r="E920" s="215">
        <v>0.4</v>
      </c>
      <c r="F920" s="201">
        <v>1</v>
      </c>
      <c r="G920" s="201">
        <v>0</v>
      </c>
      <c r="H920" s="201">
        <v>1</v>
      </c>
      <c r="I920" s="201">
        <v>1</v>
      </c>
      <c r="J920" s="201">
        <v>0</v>
      </c>
      <c r="K920" s="201">
        <v>0</v>
      </c>
      <c r="L920" s="201">
        <v>0</v>
      </c>
      <c r="M920" s="330">
        <v>1</v>
      </c>
      <c r="N920" s="202">
        <v>1.4999999999999998</v>
      </c>
    </row>
    <row r="921" spans="1:14">
      <c r="A921" s="198" t="s">
        <v>175</v>
      </c>
      <c r="B921" s="199" t="s">
        <v>189</v>
      </c>
      <c r="C921" s="199" t="s">
        <v>133</v>
      </c>
      <c r="D921" s="200" t="s">
        <v>163</v>
      </c>
      <c r="E921" s="215">
        <v>41.7</v>
      </c>
      <c r="F921" s="201">
        <v>28</v>
      </c>
      <c r="G921" s="201">
        <v>37</v>
      </c>
      <c r="H921" s="201">
        <v>33</v>
      </c>
      <c r="I921" s="201">
        <v>19</v>
      </c>
      <c r="J921" s="201">
        <v>24</v>
      </c>
      <c r="K921" s="201">
        <v>21</v>
      </c>
      <c r="L921" s="201">
        <v>19</v>
      </c>
      <c r="M921" s="330">
        <v>20</v>
      </c>
      <c r="N921" s="202">
        <v>-0.52038369304556353</v>
      </c>
    </row>
    <row r="922" spans="1:14" ht="15.75" customHeight="1">
      <c r="A922" s="198" t="s">
        <v>175</v>
      </c>
      <c r="B922" s="199" t="s">
        <v>189</v>
      </c>
      <c r="C922" s="199" t="s">
        <v>133</v>
      </c>
      <c r="D922" s="200" t="s">
        <v>164</v>
      </c>
      <c r="E922" s="215">
        <v>41.3</v>
      </c>
      <c r="F922" s="201">
        <v>27</v>
      </c>
      <c r="G922" s="201">
        <v>37</v>
      </c>
      <c r="H922" s="201">
        <v>32</v>
      </c>
      <c r="I922" s="201">
        <v>18</v>
      </c>
      <c r="J922" s="201">
        <v>24</v>
      </c>
      <c r="K922" s="201">
        <v>21</v>
      </c>
      <c r="L922" s="201">
        <v>19</v>
      </c>
      <c r="M922" s="330">
        <v>19</v>
      </c>
      <c r="N922" s="202">
        <v>-0.53995157384987891</v>
      </c>
    </row>
    <row r="923" spans="1:14" ht="15.75" customHeight="1">
      <c r="A923" s="198" t="s">
        <v>175</v>
      </c>
      <c r="B923" s="199" t="s">
        <v>189</v>
      </c>
      <c r="C923" s="199" t="s">
        <v>133</v>
      </c>
      <c r="D923" s="200" t="s">
        <v>165</v>
      </c>
      <c r="E923" s="215">
        <v>171.9</v>
      </c>
      <c r="F923" s="201">
        <v>191</v>
      </c>
      <c r="G923" s="201">
        <v>151</v>
      </c>
      <c r="H923" s="201">
        <v>178</v>
      </c>
      <c r="I923" s="201">
        <v>138</v>
      </c>
      <c r="J923" s="201">
        <v>173</v>
      </c>
      <c r="K923" s="201">
        <v>166</v>
      </c>
      <c r="L923" s="201">
        <v>109</v>
      </c>
      <c r="M923" s="330">
        <v>96</v>
      </c>
      <c r="N923" s="202">
        <v>-0.44153577661431065</v>
      </c>
    </row>
    <row r="924" spans="1:14" ht="15.75" customHeight="1">
      <c r="A924" s="198" t="s">
        <v>175</v>
      </c>
      <c r="B924" s="199" t="s">
        <v>189</v>
      </c>
      <c r="C924" s="199" t="s">
        <v>133</v>
      </c>
      <c r="D924" s="203" t="s">
        <v>91</v>
      </c>
      <c r="E924" s="216">
        <v>213.6</v>
      </c>
      <c r="F924" s="204">
        <v>219</v>
      </c>
      <c r="G924" s="204">
        <v>188</v>
      </c>
      <c r="H924" s="204">
        <v>211</v>
      </c>
      <c r="I924" s="204">
        <v>157</v>
      </c>
      <c r="J924" s="204">
        <v>197</v>
      </c>
      <c r="K924" s="204">
        <v>187</v>
      </c>
      <c r="L924" s="204">
        <v>128</v>
      </c>
      <c r="M924" s="331">
        <v>116</v>
      </c>
      <c r="N924" s="202">
        <v>-0.45692883895131087</v>
      </c>
    </row>
    <row r="925" spans="1:14" ht="15.75" customHeight="1">
      <c r="A925" s="198" t="s">
        <v>175</v>
      </c>
      <c r="B925" s="199" t="s">
        <v>189</v>
      </c>
      <c r="C925" s="199" t="s">
        <v>167</v>
      </c>
      <c r="D925" s="200" t="s">
        <v>162</v>
      </c>
      <c r="E925" s="215">
        <v>0</v>
      </c>
      <c r="F925" s="201">
        <v>0</v>
      </c>
      <c r="G925" s="201">
        <v>0</v>
      </c>
      <c r="H925" s="201">
        <v>0</v>
      </c>
      <c r="I925" s="201">
        <v>0</v>
      </c>
      <c r="J925" s="201">
        <v>0</v>
      </c>
      <c r="K925" s="201">
        <v>0</v>
      </c>
      <c r="L925" s="201">
        <v>0</v>
      </c>
      <c r="M925" s="330" t="s">
        <v>172</v>
      </c>
      <c r="N925" s="202">
        <v>0</v>
      </c>
    </row>
    <row r="926" spans="1:14" ht="15.75" customHeight="1">
      <c r="A926" s="198" t="s">
        <v>175</v>
      </c>
      <c r="B926" s="199" t="s">
        <v>189</v>
      </c>
      <c r="C926" s="199" t="s">
        <v>167</v>
      </c>
      <c r="D926" s="200" t="s">
        <v>163</v>
      </c>
      <c r="E926" s="215">
        <v>0.2</v>
      </c>
      <c r="F926" s="201">
        <v>0</v>
      </c>
      <c r="G926" s="201">
        <v>0</v>
      </c>
      <c r="H926" s="201">
        <v>1</v>
      </c>
      <c r="I926" s="201">
        <v>0</v>
      </c>
      <c r="J926" s="201">
        <v>6</v>
      </c>
      <c r="K926" s="201">
        <v>1</v>
      </c>
      <c r="L926" s="201">
        <v>1</v>
      </c>
      <c r="M926" s="330">
        <v>1</v>
      </c>
      <c r="N926" s="202">
        <v>4</v>
      </c>
    </row>
    <row r="927" spans="1:14" ht="15.75" customHeight="1">
      <c r="A927" s="198" t="s">
        <v>175</v>
      </c>
      <c r="B927" s="199" t="s">
        <v>189</v>
      </c>
      <c r="C927" s="199" t="s">
        <v>167</v>
      </c>
      <c r="D927" s="200" t="s">
        <v>164</v>
      </c>
      <c r="E927" s="215">
        <v>0.2</v>
      </c>
      <c r="F927" s="201">
        <v>0</v>
      </c>
      <c r="G927" s="201">
        <v>0</v>
      </c>
      <c r="H927" s="201">
        <v>1</v>
      </c>
      <c r="I927" s="201">
        <v>0</v>
      </c>
      <c r="J927" s="201">
        <v>6</v>
      </c>
      <c r="K927" s="201">
        <v>1</v>
      </c>
      <c r="L927" s="201">
        <v>1</v>
      </c>
      <c r="M927" s="330">
        <v>1</v>
      </c>
      <c r="N927" s="202">
        <v>4</v>
      </c>
    </row>
    <row r="928" spans="1:14" ht="15.75" customHeight="1">
      <c r="A928" s="198" t="s">
        <v>175</v>
      </c>
      <c r="B928" s="199" t="s">
        <v>189</v>
      </c>
      <c r="C928" s="199" t="s">
        <v>167</v>
      </c>
      <c r="D928" s="200" t="s">
        <v>165</v>
      </c>
      <c r="E928" s="215">
        <v>2.2000000000000002</v>
      </c>
      <c r="F928" s="201">
        <v>9</v>
      </c>
      <c r="G928" s="201">
        <v>3</v>
      </c>
      <c r="H928" s="201">
        <v>6</v>
      </c>
      <c r="I928" s="201">
        <v>7</v>
      </c>
      <c r="J928" s="201">
        <v>12</v>
      </c>
      <c r="K928" s="201">
        <v>7</v>
      </c>
      <c r="L928" s="201">
        <v>12</v>
      </c>
      <c r="M928" s="330">
        <v>7</v>
      </c>
      <c r="N928" s="202">
        <v>2.1818181818181817</v>
      </c>
    </row>
    <row r="929" spans="1:14" ht="15.75" customHeight="1">
      <c r="A929" s="198" t="s">
        <v>175</v>
      </c>
      <c r="B929" s="199" t="s">
        <v>189</v>
      </c>
      <c r="C929" s="199" t="s">
        <v>167</v>
      </c>
      <c r="D929" s="203" t="s">
        <v>91</v>
      </c>
      <c r="E929" s="216">
        <v>2.4</v>
      </c>
      <c r="F929" s="204">
        <v>9</v>
      </c>
      <c r="G929" s="204">
        <v>3</v>
      </c>
      <c r="H929" s="204">
        <v>7</v>
      </c>
      <c r="I929" s="204">
        <v>7</v>
      </c>
      <c r="J929" s="204">
        <v>18</v>
      </c>
      <c r="K929" s="204">
        <v>8</v>
      </c>
      <c r="L929" s="204">
        <v>13</v>
      </c>
      <c r="M929" s="331">
        <v>8</v>
      </c>
      <c r="N929" s="202">
        <v>2.3333333333333335</v>
      </c>
    </row>
    <row r="930" spans="1:14" ht="15.75" customHeight="1">
      <c r="A930" s="198" t="s">
        <v>175</v>
      </c>
      <c r="B930" s="199" t="s">
        <v>189</v>
      </c>
      <c r="C930" s="199" t="s">
        <v>168</v>
      </c>
      <c r="D930" s="200" t="s">
        <v>162</v>
      </c>
      <c r="E930" s="215">
        <v>0.6</v>
      </c>
      <c r="F930" s="201">
        <v>1</v>
      </c>
      <c r="G930" s="201">
        <v>2</v>
      </c>
      <c r="H930" s="201">
        <v>0</v>
      </c>
      <c r="I930" s="201">
        <v>0</v>
      </c>
      <c r="J930" s="201">
        <v>0</v>
      </c>
      <c r="K930" s="201">
        <v>1</v>
      </c>
      <c r="L930" s="201">
        <v>0</v>
      </c>
      <c r="M930" s="330">
        <v>1</v>
      </c>
      <c r="N930" s="202">
        <v>0.66666666666666674</v>
      </c>
    </row>
    <row r="931" spans="1:14" ht="15.75" customHeight="1">
      <c r="A931" s="198" t="s">
        <v>175</v>
      </c>
      <c r="B931" s="199" t="s">
        <v>189</v>
      </c>
      <c r="C931" s="199" t="s">
        <v>168</v>
      </c>
      <c r="D931" s="200" t="s">
        <v>163</v>
      </c>
      <c r="E931" s="215">
        <v>56.1</v>
      </c>
      <c r="F931" s="201">
        <v>37</v>
      </c>
      <c r="G931" s="201">
        <v>49</v>
      </c>
      <c r="H931" s="201">
        <v>44</v>
      </c>
      <c r="I931" s="201">
        <v>40</v>
      </c>
      <c r="J931" s="201">
        <v>39</v>
      </c>
      <c r="K931" s="201">
        <v>46</v>
      </c>
      <c r="L931" s="201">
        <v>43</v>
      </c>
      <c r="M931" s="330">
        <v>44</v>
      </c>
      <c r="N931" s="202">
        <v>-0.21568627450980393</v>
      </c>
    </row>
    <row r="932" spans="1:14" ht="15.75" customHeight="1">
      <c r="A932" s="198" t="s">
        <v>175</v>
      </c>
      <c r="B932" s="199" t="s">
        <v>189</v>
      </c>
      <c r="C932" s="199" t="s">
        <v>168</v>
      </c>
      <c r="D932" s="200" t="s">
        <v>164</v>
      </c>
      <c r="E932" s="215">
        <v>55.5</v>
      </c>
      <c r="F932" s="201">
        <v>36</v>
      </c>
      <c r="G932" s="201">
        <v>47</v>
      </c>
      <c r="H932" s="201">
        <v>44</v>
      </c>
      <c r="I932" s="201">
        <v>40</v>
      </c>
      <c r="J932" s="201">
        <v>39</v>
      </c>
      <c r="K932" s="201">
        <v>45</v>
      </c>
      <c r="L932" s="201">
        <v>43</v>
      </c>
      <c r="M932" s="330">
        <v>43</v>
      </c>
      <c r="N932" s="202">
        <v>-0.22522522522522523</v>
      </c>
    </row>
    <row r="933" spans="1:14" ht="15.75" customHeight="1">
      <c r="A933" s="198" t="s">
        <v>175</v>
      </c>
      <c r="B933" s="199" t="s">
        <v>189</v>
      </c>
      <c r="C933" s="199" t="s">
        <v>168</v>
      </c>
      <c r="D933" s="200" t="s">
        <v>165</v>
      </c>
      <c r="E933" s="215">
        <v>230.1</v>
      </c>
      <c r="F933" s="201">
        <v>207</v>
      </c>
      <c r="G933" s="201">
        <v>213</v>
      </c>
      <c r="H933" s="201">
        <v>210</v>
      </c>
      <c r="I933" s="201">
        <v>173</v>
      </c>
      <c r="J933" s="201">
        <v>205</v>
      </c>
      <c r="K933" s="201">
        <v>196</v>
      </c>
      <c r="L933" s="201">
        <v>191</v>
      </c>
      <c r="M933" s="330">
        <v>212</v>
      </c>
      <c r="N933" s="202">
        <v>-7.8661451542807459E-2</v>
      </c>
    </row>
    <row r="934" spans="1:14" ht="15.75" customHeight="1">
      <c r="A934" s="198" t="s">
        <v>175</v>
      </c>
      <c r="B934" s="199" t="s">
        <v>189</v>
      </c>
      <c r="C934" s="199" t="s">
        <v>168</v>
      </c>
      <c r="D934" s="203" t="s">
        <v>91</v>
      </c>
      <c r="E934" s="216">
        <v>286.2</v>
      </c>
      <c r="F934" s="204">
        <v>244</v>
      </c>
      <c r="G934" s="204">
        <v>262</v>
      </c>
      <c r="H934" s="204">
        <v>254</v>
      </c>
      <c r="I934" s="204">
        <v>213</v>
      </c>
      <c r="J934" s="204">
        <v>244</v>
      </c>
      <c r="K934" s="204">
        <v>242</v>
      </c>
      <c r="L934" s="204">
        <v>234</v>
      </c>
      <c r="M934" s="331">
        <v>256</v>
      </c>
      <c r="N934" s="202">
        <v>-0.10552061495457718</v>
      </c>
    </row>
    <row r="935" spans="1:14" ht="15.75" customHeight="1">
      <c r="A935" s="198" t="s">
        <v>175</v>
      </c>
      <c r="B935" s="199" t="s">
        <v>189</v>
      </c>
      <c r="C935" s="199" t="s">
        <v>131</v>
      </c>
      <c r="D935" s="200" t="s">
        <v>162</v>
      </c>
      <c r="E935" s="215">
        <v>1.2</v>
      </c>
      <c r="F935" s="201">
        <v>1</v>
      </c>
      <c r="G935" s="201">
        <v>0</v>
      </c>
      <c r="H935" s="201">
        <v>1</v>
      </c>
      <c r="I935" s="201">
        <v>1</v>
      </c>
      <c r="J935" s="201">
        <v>0</v>
      </c>
      <c r="K935" s="201">
        <v>0</v>
      </c>
      <c r="L935" s="201">
        <v>1</v>
      </c>
      <c r="M935" s="330">
        <v>1</v>
      </c>
      <c r="N935" s="202">
        <v>-0.16666666666666663</v>
      </c>
    </row>
    <row r="936" spans="1:14" ht="15.75" customHeight="1">
      <c r="A936" s="198" t="s">
        <v>175</v>
      </c>
      <c r="B936" s="199" t="s">
        <v>189</v>
      </c>
      <c r="C936" s="199" t="s">
        <v>131</v>
      </c>
      <c r="D936" s="200" t="s">
        <v>163</v>
      </c>
      <c r="E936" s="215">
        <v>52.7</v>
      </c>
      <c r="F936" s="201">
        <v>49</v>
      </c>
      <c r="G936" s="201">
        <v>34</v>
      </c>
      <c r="H936" s="201">
        <v>25</v>
      </c>
      <c r="I936" s="201">
        <v>20</v>
      </c>
      <c r="J936" s="201">
        <v>18</v>
      </c>
      <c r="K936" s="201">
        <v>34</v>
      </c>
      <c r="L936" s="201">
        <v>26</v>
      </c>
      <c r="M936" s="330">
        <v>29</v>
      </c>
      <c r="N936" s="202">
        <v>-0.44971537001897538</v>
      </c>
    </row>
    <row r="937" spans="1:14" ht="15.75" customHeight="1">
      <c r="A937" s="198" t="s">
        <v>175</v>
      </c>
      <c r="B937" s="199" t="s">
        <v>189</v>
      </c>
      <c r="C937" s="199" t="s">
        <v>131</v>
      </c>
      <c r="D937" s="200" t="s">
        <v>164</v>
      </c>
      <c r="E937" s="215">
        <v>51.5</v>
      </c>
      <c r="F937" s="201">
        <v>48</v>
      </c>
      <c r="G937" s="201">
        <v>34</v>
      </c>
      <c r="H937" s="201">
        <v>24</v>
      </c>
      <c r="I937" s="201">
        <v>19</v>
      </c>
      <c r="J937" s="201">
        <v>18</v>
      </c>
      <c r="K937" s="201">
        <v>34</v>
      </c>
      <c r="L937" s="201">
        <v>25</v>
      </c>
      <c r="M937" s="330">
        <v>28</v>
      </c>
      <c r="N937" s="202">
        <v>-0.4563106796116505</v>
      </c>
    </row>
    <row r="938" spans="1:14" ht="15.75" customHeight="1">
      <c r="A938" s="198" t="s">
        <v>175</v>
      </c>
      <c r="B938" s="199" t="s">
        <v>189</v>
      </c>
      <c r="C938" s="199" t="s">
        <v>131</v>
      </c>
      <c r="D938" s="200" t="s">
        <v>165</v>
      </c>
      <c r="E938" s="215">
        <v>143.19999999999999</v>
      </c>
      <c r="F938" s="201">
        <v>179</v>
      </c>
      <c r="G938" s="201">
        <v>125</v>
      </c>
      <c r="H938" s="201">
        <v>114</v>
      </c>
      <c r="I938" s="201">
        <v>67</v>
      </c>
      <c r="J938" s="201">
        <v>75</v>
      </c>
      <c r="K938" s="201">
        <v>77</v>
      </c>
      <c r="L938" s="201">
        <v>87</v>
      </c>
      <c r="M938" s="330">
        <v>88</v>
      </c>
      <c r="N938" s="202">
        <v>-0.38547486033519546</v>
      </c>
    </row>
    <row r="939" spans="1:14" ht="15.75" customHeight="1">
      <c r="A939" s="198" t="s">
        <v>175</v>
      </c>
      <c r="B939" s="199" t="s">
        <v>189</v>
      </c>
      <c r="C939" s="199" t="s">
        <v>131</v>
      </c>
      <c r="D939" s="203" t="s">
        <v>91</v>
      </c>
      <c r="E939" s="216">
        <v>195.9</v>
      </c>
      <c r="F939" s="204">
        <v>228</v>
      </c>
      <c r="G939" s="204">
        <v>159</v>
      </c>
      <c r="H939" s="204">
        <v>139</v>
      </c>
      <c r="I939" s="204">
        <v>87</v>
      </c>
      <c r="J939" s="204">
        <v>93</v>
      </c>
      <c r="K939" s="204">
        <v>111</v>
      </c>
      <c r="L939" s="204">
        <v>113</v>
      </c>
      <c r="M939" s="331">
        <v>117</v>
      </c>
      <c r="N939" s="202">
        <v>-0.40275650842266464</v>
      </c>
    </row>
    <row r="940" spans="1:14" ht="15.75" customHeight="1">
      <c r="A940" s="198" t="s">
        <v>175</v>
      </c>
      <c r="B940" s="199" t="s">
        <v>189</v>
      </c>
      <c r="C940" s="199" t="s">
        <v>169</v>
      </c>
      <c r="D940" s="200" t="s">
        <v>162</v>
      </c>
      <c r="E940" s="215">
        <v>0</v>
      </c>
      <c r="F940" s="201">
        <v>0</v>
      </c>
      <c r="G940" s="201">
        <v>0</v>
      </c>
      <c r="H940" s="201">
        <v>0</v>
      </c>
      <c r="I940" s="201">
        <v>0</v>
      </c>
      <c r="J940" s="201">
        <v>0</v>
      </c>
      <c r="K940" s="201">
        <v>0</v>
      </c>
      <c r="L940" s="201">
        <v>0</v>
      </c>
      <c r="M940" s="330" t="s">
        <v>172</v>
      </c>
      <c r="N940" s="202">
        <v>0</v>
      </c>
    </row>
    <row r="941" spans="1:14" ht="15.75" customHeight="1">
      <c r="A941" s="198" t="s">
        <v>175</v>
      </c>
      <c r="B941" s="199" t="s">
        <v>189</v>
      </c>
      <c r="C941" s="199" t="s">
        <v>169</v>
      </c>
      <c r="D941" s="200" t="s">
        <v>163</v>
      </c>
      <c r="E941" s="215">
        <v>0</v>
      </c>
      <c r="F941" s="201">
        <v>0</v>
      </c>
      <c r="G941" s="201">
        <v>0</v>
      </c>
      <c r="H941" s="201">
        <v>0</v>
      </c>
      <c r="I941" s="201">
        <v>0</v>
      </c>
      <c r="J941" s="201">
        <v>0</v>
      </c>
      <c r="K941" s="201">
        <v>0</v>
      </c>
      <c r="L941" s="201">
        <v>0</v>
      </c>
      <c r="M941" s="330">
        <v>0</v>
      </c>
      <c r="N941" s="202">
        <v>0</v>
      </c>
    </row>
    <row r="942" spans="1:14" ht="15.75" customHeight="1">
      <c r="A942" s="198" t="s">
        <v>175</v>
      </c>
      <c r="B942" s="199" t="s">
        <v>189</v>
      </c>
      <c r="C942" s="199" t="s">
        <v>169</v>
      </c>
      <c r="D942" s="200" t="s">
        <v>164</v>
      </c>
      <c r="E942" s="215">
        <v>0</v>
      </c>
      <c r="F942" s="201">
        <v>0</v>
      </c>
      <c r="G942" s="201">
        <v>0</v>
      </c>
      <c r="H942" s="201">
        <v>0</v>
      </c>
      <c r="I942" s="201">
        <v>0</v>
      </c>
      <c r="J942" s="201">
        <v>0</v>
      </c>
      <c r="K942" s="201">
        <v>0</v>
      </c>
      <c r="L942" s="201">
        <v>0</v>
      </c>
      <c r="M942" s="330" t="s">
        <v>172</v>
      </c>
      <c r="N942" s="202">
        <v>0</v>
      </c>
    </row>
    <row r="943" spans="1:14" ht="15.75" customHeight="1">
      <c r="A943" s="198" t="s">
        <v>175</v>
      </c>
      <c r="B943" s="199" t="s">
        <v>189</v>
      </c>
      <c r="C943" s="199" t="s">
        <v>169</v>
      </c>
      <c r="D943" s="200" t="s">
        <v>165</v>
      </c>
      <c r="E943" s="215">
        <v>0</v>
      </c>
      <c r="F943" s="201">
        <v>26</v>
      </c>
      <c r="G943" s="201">
        <v>15</v>
      </c>
      <c r="H943" s="201">
        <v>8</v>
      </c>
      <c r="I943" s="201">
        <v>6</v>
      </c>
      <c r="J943" s="201">
        <v>8</v>
      </c>
      <c r="K943" s="201">
        <v>2</v>
      </c>
      <c r="L943" s="201">
        <v>5</v>
      </c>
      <c r="M943" s="330">
        <v>2</v>
      </c>
      <c r="N943" s="202">
        <v>0</v>
      </c>
    </row>
    <row r="944" spans="1:14" ht="15.75" customHeight="1">
      <c r="A944" s="198" t="s">
        <v>175</v>
      </c>
      <c r="B944" s="199" t="s">
        <v>189</v>
      </c>
      <c r="C944" s="199" t="s">
        <v>169</v>
      </c>
      <c r="D944" s="203" t="s">
        <v>91</v>
      </c>
      <c r="E944" s="216">
        <v>0</v>
      </c>
      <c r="F944" s="204">
        <v>26</v>
      </c>
      <c r="G944" s="204">
        <v>15</v>
      </c>
      <c r="H944" s="204">
        <v>8</v>
      </c>
      <c r="I944" s="204">
        <v>6</v>
      </c>
      <c r="J944" s="204">
        <v>8</v>
      </c>
      <c r="K944" s="204">
        <v>2</v>
      </c>
      <c r="L944" s="204">
        <v>5</v>
      </c>
      <c r="M944" s="331">
        <v>2</v>
      </c>
      <c r="N944" s="202">
        <v>0</v>
      </c>
    </row>
    <row r="945" spans="1:14" ht="15.75" customHeight="1">
      <c r="A945" s="198" t="s">
        <v>175</v>
      </c>
      <c r="B945" s="199" t="s">
        <v>189</v>
      </c>
      <c r="C945" s="199" t="s">
        <v>139</v>
      </c>
      <c r="D945" s="200" t="s">
        <v>162</v>
      </c>
      <c r="E945" s="215">
        <v>0</v>
      </c>
      <c r="F945" s="201">
        <v>0</v>
      </c>
      <c r="G945" s="201">
        <v>0</v>
      </c>
      <c r="H945" s="201">
        <v>0</v>
      </c>
      <c r="I945" s="201">
        <v>0</v>
      </c>
      <c r="J945" s="201">
        <v>0</v>
      </c>
      <c r="K945" s="201">
        <v>0</v>
      </c>
      <c r="L945" s="201">
        <v>0</v>
      </c>
      <c r="M945" s="330" t="s">
        <v>172</v>
      </c>
      <c r="N945" s="202">
        <v>0</v>
      </c>
    </row>
    <row r="946" spans="1:14" ht="15.75" customHeight="1">
      <c r="A946" s="198" t="s">
        <v>175</v>
      </c>
      <c r="B946" s="199" t="s">
        <v>189</v>
      </c>
      <c r="C946" s="199" t="s">
        <v>139</v>
      </c>
      <c r="D946" s="200" t="s">
        <v>163</v>
      </c>
      <c r="E946" s="215">
        <v>2.2999999999999998</v>
      </c>
      <c r="F946" s="201">
        <v>0</v>
      </c>
      <c r="G946" s="201">
        <v>2</v>
      </c>
      <c r="H946" s="201">
        <v>0</v>
      </c>
      <c r="I946" s="201">
        <v>0</v>
      </c>
      <c r="J946" s="201">
        <v>0</v>
      </c>
      <c r="K946" s="201">
        <v>0</v>
      </c>
      <c r="L946" s="201">
        <v>0</v>
      </c>
      <c r="M946" s="330">
        <v>0</v>
      </c>
      <c r="N946" s="202">
        <v>-1</v>
      </c>
    </row>
    <row r="947" spans="1:14" ht="15.75" customHeight="1">
      <c r="A947" s="198" t="s">
        <v>175</v>
      </c>
      <c r="B947" s="199" t="s">
        <v>189</v>
      </c>
      <c r="C947" s="199" t="s">
        <v>139</v>
      </c>
      <c r="D947" s="200" t="s">
        <v>164</v>
      </c>
      <c r="E947" s="215">
        <v>2.2999999999999998</v>
      </c>
      <c r="F947" s="201">
        <v>0</v>
      </c>
      <c r="G947" s="201">
        <v>2</v>
      </c>
      <c r="H947" s="201">
        <v>0</v>
      </c>
      <c r="I947" s="201">
        <v>0</v>
      </c>
      <c r="J947" s="201">
        <v>0</v>
      </c>
      <c r="K947" s="201">
        <v>0</v>
      </c>
      <c r="L947" s="201">
        <v>0</v>
      </c>
      <c r="M947" s="330" t="s">
        <v>172</v>
      </c>
      <c r="N947" s="202">
        <v>-1</v>
      </c>
    </row>
    <row r="948" spans="1:14" ht="15.75" customHeight="1">
      <c r="A948" s="198" t="s">
        <v>175</v>
      </c>
      <c r="B948" s="199" t="s">
        <v>189</v>
      </c>
      <c r="C948" s="199" t="s">
        <v>139</v>
      </c>
      <c r="D948" s="200" t="s">
        <v>165</v>
      </c>
      <c r="E948" s="215">
        <v>25.4</v>
      </c>
      <c r="F948" s="201">
        <v>10</v>
      </c>
      <c r="G948" s="201">
        <v>12</v>
      </c>
      <c r="H948" s="201">
        <v>18</v>
      </c>
      <c r="I948" s="201">
        <v>13</v>
      </c>
      <c r="J948" s="201">
        <v>10</v>
      </c>
      <c r="K948" s="201">
        <v>6</v>
      </c>
      <c r="L948" s="201">
        <v>6</v>
      </c>
      <c r="M948" s="330">
        <v>11</v>
      </c>
      <c r="N948" s="202">
        <v>-0.56692913385826771</v>
      </c>
    </row>
    <row r="949" spans="1:14" ht="15.75" customHeight="1">
      <c r="A949" s="198" t="s">
        <v>175</v>
      </c>
      <c r="B949" s="199" t="s">
        <v>189</v>
      </c>
      <c r="C949" s="199" t="s">
        <v>139</v>
      </c>
      <c r="D949" s="203" t="s">
        <v>91</v>
      </c>
      <c r="E949" s="216">
        <v>27.7</v>
      </c>
      <c r="F949" s="204">
        <v>10</v>
      </c>
      <c r="G949" s="204">
        <v>14</v>
      </c>
      <c r="H949" s="204">
        <v>18</v>
      </c>
      <c r="I949" s="204">
        <v>13</v>
      </c>
      <c r="J949" s="204">
        <v>10</v>
      </c>
      <c r="K949" s="204">
        <v>6</v>
      </c>
      <c r="L949" s="204">
        <v>6</v>
      </c>
      <c r="M949" s="331">
        <v>11</v>
      </c>
      <c r="N949" s="202">
        <v>-0.6028880866425993</v>
      </c>
    </row>
    <row r="950" spans="1:14" ht="15.75" customHeight="1">
      <c r="A950" s="198" t="s">
        <v>175</v>
      </c>
      <c r="B950" s="199" t="s">
        <v>189</v>
      </c>
      <c r="C950" s="205" t="s">
        <v>91</v>
      </c>
      <c r="D950" s="203" t="s">
        <v>162</v>
      </c>
      <c r="E950" s="216">
        <v>2.2000000000000002</v>
      </c>
      <c r="F950" s="204">
        <v>3</v>
      </c>
      <c r="G950" s="204">
        <v>2</v>
      </c>
      <c r="H950" s="204">
        <v>2</v>
      </c>
      <c r="I950" s="204">
        <v>2</v>
      </c>
      <c r="J950" s="204">
        <v>0</v>
      </c>
      <c r="K950" s="204">
        <v>2</v>
      </c>
      <c r="L950" s="204">
        <v>1</v>
      </c>
      <c r="M950" s="331">
        <v>3</v>
      </c>
      <c r="N950" s="202">
        <v>0.36363636363636354</v>
      </c>
    </row>
    <row r="951" spans="1:14" ht="15.75" customHeight="1">
      <c r="A951" s="198" t="s">
        <v>175</v>
      </c>
      <c r="B951" s="199" t="s">
        <v>189</v>
      </c>
      <c r="C951" s="205" t="s">
        <v>91</v>
      </c>
      <c r="D951" s="203" t="s">
        <v>163</v>
      </c>
      <c r="E951" s="216">
        <v>175.1</v>
      </c>
      <c r="F951" s="204">
        <v>125</v>
      </c>
      <c r="G951" s="204">
        <v>141</v>
      </c>
      <c r="H951" s="204">
        <v>111</v>
      </c>
      <c r="I951" s="204">
        <v>84</v>
      </c>
      <c r="J951" s="204">
        <v>96</v>
      </c>
      <c r="K951" s="204">
        <v>111</v>
      </c>
      <c r="L951" s="204">
        <v>98</v>
      </c>
      <c r="M951" s="331">
        <v>101</v>
      </c>
      <c r="N951" s="202">
        <v>-0.42318675042832665</v>
      </c>
    </row>
    <row r="952" spans="1:14" ht="15.75" customHeight="1">
      <c r="A952" s="198" t="s">
        <v>175</v>
      </c>
      <c r="B952" s="199" t="s">
        <v>189</v>
      </c>
      <c r="C952" s="205" t="s">
        <v>91</v>
      </c>
      <c r="D952" s="203" t="s">
        <v>164</v>
      </c>
      <c r="E952" s="216">
        <v>172.9</v>
      </c>
      <c r="F952" s="204">
        <v>122</v>
      </c>
      <c r="G952" s="204">
        <v>139</v>
      </c>
      <c r="H952" s="204">
        <v>109</v>
      </c>
      <c r="I952" s="204">
        <v>82</v>
      </c>
      <c r="J952" s="204">
        <v>96</v>
      </c>
      <c r="K952" s="204">
        <v>109</v>
      </c>
      <c r="L952" s="204">
        <v>97</v>
      </c>
      <c r="M952" s="331">
        <v>98</v>
      </c>
      <c r="N952" s="202">
        <v>-0.43319838056680166</v>
      </c>
    </row>
    <row r="953" spans="1:14" ht="15.75" customHeight="1">
      <c r="A953" s="198" t="s">
        <v>175</v>
      </c>
      <c r="B953" s="199" t="s">
        <v>189</v>
      </c>
      <c r="C953" s="205" t="s">
        <v>91</v>
      </c>
      <c r="D953" s="203" t="s">
        <v>165</v>
      </c>
      <c r="E953" s="216">
        <v>810.6</v>
      </c>
      <c r="F953" s="204">
        <v>829</v>
      </c>
      <c r="G953" s="204">
        <v>711</v>
      </c>
      <c r="H953" s="204">
        <v>680</v>
      </c>
      <c r="I953" s="204">
        <v>529</v>
      </c>
      <c r="J953" s="204">
        <v>628</v>
      </c>
      <c r="K953" s="204">
        <v>584</v>
      </c>
      <c r="L953" s="204">
        <v>536</v>
      </c>
      <c r="M953" s="331">
        <v>517</v>
      </c>
      <c r="N953" s="202">
        <v>-0.36220083888477672</v>
      </c>
    </row>
    <row r="954" spans="1:14" ht="15.75" customHeight="1">
      <c r="A954" s="198" t="s">
        <v>175</v>
      </c>
      <c r="B954" s="199" t="s">
        <v>189</v>
      </c>
      <c r="C954" s="205" t="s">
        <v>91</v>
      </c>
      <c r="D954" s="203" t="s">
        <v>91</v>
      </c>
      <c r="E954" s="216">
        <v>985.7</v>
      </c>
      <c r="F954" s="204">
        <v>954</v>
      </c>
      <c r="G954" s="204">
        <v>852</v>
      </c>
      <c r="H954" s="204">
        <v>791</v>
      </c>
      <c r="I954" s="204">
        <v>613</v>
      </c>
      <c r="J954" s="204">
        <v>724</v>
      </c>
      <c r="K954" s="204">
        <v>695</v>
      </c>
      <c r="L954" s="204">
        <v>634</v>
      </c>
      <c r="M954" s="331">
        <v>618</v>
      </c>
      <c r="N954" s="202">
        <v>-0.37303439180277975</v>
      </c>
    </row>
    <row r="955" spans="1:14" ht="15.75" customHeight="1">
      <c r="A955" s="198" t="s">
        <v>175</v>
      </c>
      <c r="B955" s="199" t="s">
        <v>190</v>
      </c>
      <c r="C955" s="199" t="s">
        <v>161</v>
      </c>
      <c r="D955" s="200" t="s">
        <v>162</v>
      </c>
      <c r="E955" s="215">
        <v>0</v>
      </c>
      <c r="F955" s="201">
        <v>0</v>
      </c>
      <c r="G955" s="201">
        <v>0</v>
      </c>
      <c r="H955" s="201">
        <v>1</v>
      </c>
      <c r="I955" s="201">
        <v>0</v>
      </c>
      <c r="J955" s="201">
        <v>0</v>
      </c>
      <c r="K955" s="201">
        <v>0</v>
      </c>
      <c r="L955" s="201">
        <v>0</v>
      </c>
      <c r="M955" s="330" t="s">
        <v>172</v>
      </c>
      <c r="N955" s="202">
        <v>0</v>
      </c>
    </row>
    <row r="956" spans="1:14">
      <c r="A956" s="198" t="s">
        <v>175</v>
      </c>
      <c r="B956" s="199" t="s">
        <v>190</v>
      </c>
      <c r="C956" s="199" t="s">
        <v>161</v>
      </c>
      <c r="D956" s="200" t="s">
        <v>163</v>
      </c>
      <c r="E956" s="215">
        <v>4.8</v>
      </c>
      <c r="F956" s="201">
        <v>3</v>
      </c>
      <c r="G956" s="201">
        <v>4</v>
      </c>
      <c r="H956" s="201">
        <v>3</v>
      </c>
      <c r="I956" s="201">
        <v>2</v>
      </c>
      <c r="J956" s="201">
        <v>0</v>
      </c>
      <c r="K956" s="201">
        <v>5</v>
      </c>
      <c r="L956" s="201">
        <v>4</v>
      </c>
      <c r="M956" s="330">
        <v>5</v>
      </c>
      <c r="N956" s="202">
        <v>4.1666666666666706E-2</v>
      </c>
    </row>
    <row r="957" spans="1:14" ht="15.75" customHeight="1">
      <c r="A957" s="198" t="s">
        <v>175</v>
      </c>
      <c r="B957" s="199" t="s">
        <v>190</v>
      </c>
      <c r="C957" s="199" t="s">
        <v>161</v>
      </c>
      <c r="D957" s="200" t="s">
        <v>164</v>
      </c>
      <c r="E957" s="215">
        <v>4.8</v>
      </c>
      <c r="F957" s="201">
        <v>3</v>
      </c>
      <c r="G957" s="201">
        <v>4</v>
      </c>
      <c r="H957" s="201">
        <v>2</v>
      </c>
      <c r="I957" s="201">
        <v>2</v>
      </c>
      <c r="J957" s="201">
        <v>0</v>
      </c>
      <c r="K957" s="201">
        <v>5</v>
      </c>
      <c r="L957" s="201">
        <v>4</v>
      </c>
      <c r="M957" s="330">
        <v>5</v>
      </c>
      <c r="N957" s="202">
        <v>4.1666666666666706E-2</v>
      </c>
    </row>
    <row r="958" spans="1:14" ht="15.75" customHeight="1">
      <c r="A958" s="198" t="s">
        <v>175</v>
      </c>
      <c r="B958" s="199" t="s">
        <v>190</v>
      </c>
      <c r="C958" s="199" t="s">
        <v>161</v>
      </c>
      <c r="D958" s="200" t="s">
        <v>165</v>
      </c>
      <c r="E958" s="215">
        <v>31</v>
      </c>
      <c r="F958" s="201">
        <v>42</v>
      </c>
      <c r="G958" s="201">
        <v>28</v>
      </c>
      <c r="H958" s="201">
        <v>25</v>
      </c>
      <c r="I958" s="201">
        <v>16</v>
      </c>
      <c r="J958" s="201">
        <v>24</v>
      </c>
      <c r="K958" s="201">
        <v>12</v>
      </c>
      <c r="L958" s="201">
        <v>16</v>
      </c>
      <c r="M958" s="330">
        <v>15</v>
      </c>
      <c r="N958" s="202">
        <v>-0.5161290322580645</v>
      </c>
    </row>
    <row r="959" spans="1:14" ht="15.75" customHeight="1">
      <c r="A959" s="198" t="s">
        <v>175</v>
      </c>
      <c r="B959" s="199" t="s">
        <v>190</v>
      </c>
      <c r="C959" s="199" t="s">
        <v>161</v>
      </c>
      <c r="D959" s="203" t="s">
        <v>91</v>
      </c>
      <c r="E959" s="216">
        <v>35.799999999999997</v>
      </c>
      <c r="F959" s="204">
        <v>45</v>
      </c>
      <c r="G959" s="204">
        <v>32</v>
      </c>
      <c r="H959" s="204">
        <v>28</v>
      </c>
      <c r="I959" s="204">
        <v>18</v>
      </c>
      <c r="J959" s="204">
        <v>24</v>
      </c>
      <c r="K959" s="204">
        <v>17</v>
      </c>
      <c r="L959" s="204">
        <v>20</v>
      </c>
      <c r="M959" s="331">
        <v>20</v>
      </c>
      <c r="N959" s="202">
        <v>-0.44134078212290501</v>
      </c>
    </row>
    <row r="960" spans="1:14" ht="15.75" customHeight="1">
      <c r="A960" s="198" t="s">
        <v>175</v>
      </c>
      <c r="B960" s="199" t="s">
        <v>190</v>
      </c>
      <c r="C960" s="199" t="s">
        <v>134</v>
      </c>
      <c r="D960" s="200" t="s">
        <v>162</v>
      </c>
      <c r="E960" s="215">
        <v>0</v>
      </c>
      <c r="F960" s="201">
        <v>1</v>
      </c>
      <c r="G960" s="201">
        <v>0</v>
      </c>
      <c r="H960" s="201">
        <v>0</v>
      </c>
      <c r="I960" s="201">
        <v>0</v>
      </c>
      <c r="J960" s="201">
        <v>0</v>
      </c>
      <c r="K960" s="201">
        <v>0</v>
      </c>
      <c r="L960" s="201">
        <v>0</v>
      </c>
      <c r="M960" s="330">
        <v>1</v>
      </c>
      <c r="N960" s="202">
        <v>0</v>
      </c>
    </row>
    <row r="961" spans="1:14">
      <c r="A961" s="198" t="s">
        <v>175</v>
      </c>
      <c r="B961" s="199" t="s">
        <v>190</v>
      </c>
      <c r="C961" s="199" t="s">
        <v>134</v>
      </c>
      <c r="D961" s="200" t="s">
        <v>163</v>
      </c>
      <c r="E961" s="215">
        <v>10.6</v>
      </c>
      <c r="F961" s="201">
        <v>10</v>
      </c>
      <c r="G961" s="201">
        <v>5</v>
      </c>
      <c r="H961" s="201">
        <v>8</v>
      </c>
      <c r="I961" s="201">
        <v>5</v>
      </c>
      <c r="J961" s="201">
        <v>4</v>
      </c>
      <c r="K961" s="201">
        <v>5</v>
      </c>
      <c r="L961" s="201">
        <v>4</v>
      </c>
      <c r="M961" s="330">
        <v>8</v>
      </c>
      <c r="N961" s="202">
        <v>-0.2452830188679245</v>
      </c>
    </row>
    <row r="962" spans="1:14" ht="15.75" customHeight="1">
      <c r="A962" s="198" t="s">
        <v>175</v>
      </c>
      <c r="B962" s="199" t="s">
        <v>190</v>
      </c>
      <c r="C962" s="199" t="s">
        <v>134</v>
      </c>
      <c r="D962" s="200" t="s">
        <v>164</v>
      </c>
      <c r="E962" s="215">
        <v>10.6</v>
      </c>
      <c r="F962" s="201">
        <v>9</v>
      </c>
      <c r="G962" s="201">
        <v>5</v>
      </c>
      <c r="H962" s="201">
        <v>8</v>
      </c>
      <c r="I962" s="201">
        <v>5</v>
      </c>
      <c r="J962" s="201">
        <v>4</v>
      </c>
      <c r="K962" s="201">
        <v>5</v>
      </c>
      <c r="L962" s="201">
        <v>4</v>
      </c>
      <c r="M962" s="330">
        <v>7</v>
      </c>
      <c r="N962" s="202">
        <v>-0.33962264150943394</v>
      </c>
    </row>
    <row r="963" spans="1:14" ht="15.75" customHeight="1">
      <c r="A963" s="198" t="s">
        <v>175</v>
      </c>
      <c r="B963" s="199" t="s">
        <v>190</v>
      </c>
      <c r="C963" s="199" t="s">
        <v>134</v>
      </c>
      <c r="D963" s="200" t="s">
        <v>165</v>
      </c>
      <c r="E963" s="215">
        <v>143.69999999999999</v>
      </c>
      <c r="F963" s="201">
        <v>153</v>
      </c>
      <c r="G963" s="201">
        <v>137</v>
      </c>
      <c r="H963" s="201">
        <v>112</v>
      </c>
      <c r="I963" s="201">
        <v>100</v>
      </c>
      <c r="J963" s="201">
        <v>86</v>
      </c>
      <c r="K963" s="201">
        <v>85</v>
      </c>
      <c r="L963" s="201">
        <v>70</v>
      </c>
      <c r="M963" s="330">
        <v>83</v>
      </c>
      <c r="N963" s="202">
        <v>-0.42240779401530965</v>
      </c>
    </row>
    <row r="964" spans="1:14" ht="15.75" customHeight="1">
      <c r="A964" s="198" t="s">
        <v>175</v>
      </c>
      <c r="B964" s="199" t="s">
        <v>190</v>
      </c>
      <c r="C964" s="199" t="s">
        <v>134</v>
      </c>
      <c r="D964" s="203" t="s">
        <v>91</v>
      </c>
      <c r="E964" s="216">
        <v>154.19999999999999</v>
      </c>
      <c r="F964" s="204">
        <v>163</v>
      </c>
      <c r="G964" s="204">
        <v>142</v>
      </c>
      <c r="H964" s="204">
        <v>120</v>
      </c>
      <c r="I964" s="204">
        <v>105</v>
      </c>
      <c r="J964" s="204">
        <v>90</v>
      </c>
      <c r="K964" s="204">
        <v>90</v>
      </c>
      <c r="L964" s="204">
        <v>74</v>
      </c>
      <c r="M964" s="331">
        <v>91</v>
      </c>
      <c r="N964" s="202">
        <v>-0.40985732814526582</v>
      </c>
    </row>
    <row r="965" spans="1:14" ht="15.75" customHeight="1">
      <c r="A965" s="198" t="s">
        <v>175</v>
      </c>
      <c r="B965" s="199" t="s">
        <v>190</v>
      </c>
      <c r="C965" s="199" t="s">
        <v>166</v>
      </c>
      <c r="D965" s="200" t="s">
        <v>162</v>
      </c>
      <c r="E965" s="215">
        <v>0</v>
      </c>
      <c r="F965" s="201">
        <v>0</v>
      </c>
      <c r="G965" s="201">
        <v>0</v>
      </c>
      <c r="H965" s="201">
        <v>0</v>
      </c>
      <c r="I965" s="201">
        <v>0</v>
      </c>
      <c r="J965" s="201">
        <v>0</v>
      </c>
      <c r="K965" s="201">
        <v>0</v>
      </c>
      <c r="L965" s="201">
        <v>0</v>
      </c>
      <c r="M965" s="330" t="s">
        <v>172</v>
      </c>
      <c r="N965" s="202">
        <v>0</v>
      </c>
    </row>
    <row r="966" spans="1:14">
      <c r="A966" s="198" t="s">
        <v>175</v>
      </c>
      <c r="B966" s="199" t="s">
        <v>190</v>
      </c>
      <c r="C966" s="199" t="s">
        <v>166</v>
      </c>
      <c r="D966" s="200" t="s">
        <v>163</v>
      </c>
      <c r="E966" s="215">
        <v>1.2</v>
      </c>
      <c r="F966" s="201">
        <v>0</v>
      </c>
      <c r="G966" s="201">
        <v>0</v>
      </c>
      <c r="H966" s="201">
        <v>1</v>
      </c>
      <c r="I966" s="201">
        <v>0</v>
      </c>
      <c r="J966" s="201">
        <v>0</v>
      </c>
      <c r="K966" s="201">
        <v>0</v>
      </c>
      <c r="L966" s="201">
        <v>2</v>
      </c>
      <c r="M966" s="330">
        <v>1</v>
      </c>
      <c r="N966" s="202">
        <v>-0.16666666666666663</v>
      </c>
    </row>
    <row r="967" spans="1:14" ht="15.75" customHeight="1">
      <c r="A967" s="198" t="s">
        <v>175</v>
      </c>
      <c r="B967" s="199" t="s">
        <v>190</v>
      </c>
      <c r="C967" s="199" t="s">
        <v>166</v>
      </c>
      <c r="D967" s="200" t="s">
        <v>164</v>
      </c>
      <c r="E967" s="215">
        <v>1.2</v>
      </c>
      <c r="F967" s="201">
        <v>0</v>
      </c>
      <c r="G967" s="201">
        <v>0</v>
      </c>
      <c r="H967" s="201">
        <v>1</v>
      </c>
      <c r="I967" s="201">
        <v>0</v>
      </c>
      <c r="J967" s="201">
        <v>0</v>
      </c>
      <c r="K967" s="201">
        <v>0</v>
      </c>
      <c r="L967" s="201">
        <v>2</v>
      </c>
      <c r="M967" s="330">
        <v>1</v>
      </c>
      <c r="N967" s="202">
        <v>-0.16666666666666663</v>
      </c>
    </row>
    <row r="968" spans="1:14" ht="15.75" customHeight="1">
      <c r="A968" s="198" t="s">
        <v>175</v>
      </c>
      <c r="B968" s="199" t="s">
        <v>190</v>
      </c>
      <c r="C968" s="199" t="s">
        <v>166</v>
      </c>
      <c r="D968" s="200" t="s">
        <v>165</v>
      </c>
      <c r="E968" s="215">
        <v>12.4</v>
      </c>
      <c r="F968" s="201">
        <v>8</v>
      </c>
      <c r="G968" s="201">
        <v>13</v>
      </c>
      <c r="H968" s="201">
        <v>13</v>
      </c>
      <c r="I968" s="201">
        <v>6</v>
      </c>
      <c r="J968" s="201">
        <v>2</v>
      </c>
      <c r="K968" s="201">
        <v>5</v>
      </c>
      <c r="L968" s="201">
        <v>10</v>
      </c>
      <c r="M968" s="330">
        <v>5</v>
      </c>
      <c r="N968" s="202">
        <v>-0.59677419354838712</v>
      </c>
    </row>
    <row r="969" spans="1:14" ht="15.75" customHeight="1">
      <c r="A969" s="198" t="s">
        <v>175</v>
      </c>
      <c r="B969" s="199" t="s">
        <v>190</v>
      </c>
      <c r="C969" s="199" t="s">
        <v>166</v>
      </c>
      <c r="D969" s="203" t="s">
        <v>91</v>
      </c>
      <c r="E969" s="216">
        <v>13.5</v>
      </c>
      <c r="F969" s="204">
        <v>8</v>
      </c>
      <c r="G969" s="204">
        <v>13</v>
      </c>
      <c r="H969" s="204">
        <v>14</v>
      </c>
      <c r="I969" s="204">
        <v>6</v>
      </c>
      <c r="J969" s="204">
        <v>2</v>
      </c>
      <c r="K969" s="204">
        <v>5</v>
      </c>
      <c r="L969" s="204">
        <v>12</v>
      </c>
      <c r="M969" s="331">
        <v>6</v>
      </c>
      <c r="N969" s="202">
        <v>-0.55555555555555558</v>
      </c>
    </row>
    <row r="970" spans="1:14" ht="15.75" customHeight="1">
      <c r="A970" s="198" t="s">
        <v>175</v>
      </c>
      <c r="B970" s="199" t="s">
        <v>190</v>
      </c>
      <c r="C970" s="199" t="s">
        <v>133</v>
      </c>
      <c r="D970" s="200" t="s">
        <v>162</v>
      </c>
      <c r="E970" s="215">
        <v>0.4</v>
      </c>
      <c r="F970" s="201">
        <v>2</v>
      </c>
      <c r="G970" s="201">
        <v>1</v>
      </c>
      <c r="H970" s="201">
        <v>0</v>
      </c>
      <c r="I970" s="201">
        <v>0</v>
      </c>
      <c r="J970" s="201">
        <v>1</v>
      </c>
      <c r="K970" s="201">
        <v>2</v>
      </c>
      <c r="L970" s="201">
        <v>0</v>
      </c>
      <c r="M970" s="330" t="s">
        <v>172</v>
      </c>
      <c r="N970" s="202">
        <v>-1</v>
      </c>
    </row>
    <row r="971" spans="1:14">
      <c r="A971" s="198" t="s">
        <v>175</v>
      </c>
      <c r="B971" s="199" t="s">
        <v>190</v>
      </c>
      <c r="C971" s="199" t="s">
        <v>133</v>
      </c>
      <c r="D971" s="200" t="s">
        <v>163</v>
      </c>
      <c r="E971" s="215">
        <v>41.4</v>
      </c>
      <c r="F971" s="201">
        <v>33</v>
      </c>
      <c r="G971" s="201">
        <v>39</v>
      </c>
      <c r="H971" s="201">
        <v>38</v>
      </c>
      <c r="I971" s="201">
        <v>16</v>
      </c>
      <c r="J971" s="201">
        <v>20</v>
      </c>
      <c r="K971" s="201">
        <v>29</v>
      </c>
      <c r="L971" s="201">
        <v>27</v>
      </c>
      <c r="M971" s="330">
        <v>34</v>
      </c>
      <c r="N971" s="202">
        <v>-0.17874396135265697</v>
      </c>
    </row>
    <row r="972" spans="1:14" ht="15.75" customHeight="1">
      <c r="A972" s="198" t="s">
        <v>175</v>
      </c>
      <c r="B972" s="199" t="s">
        <v>190</v>
      </c>
      <c r="C972" s="199" t="s">
        <v>133</v>
      </c>
      <c r="D972" s="200" t="s">
        <v>164</v>
      </c>
      <c r="E972" s="215">
        <v>41</v>
      </c>
      <c r="F972" s="201">
        <v>31</v>
      </c>
      <c r="G972" s="201">
        <v>38</v>
      </c>
      <c r="H972" s="201">
        <v>38</v>
      </c>
      <c r="I972" s="201">
        <v>16</v>
      </c>
      <c r="J972" s="201">
        <v>19</v>
      </c>
      <c r="K972" s="201">
        <v>27</v>
      </c>
      <c r="L972" s="201">
        <v>27</v>
      </c>
      <c r="M972" s="330">
        <v>34</v>
      </c>
      <c r="N972" s="202">
        <v>-0.17073170731707318</v>
      </c>
    </row>
    <row r="973" spans="1:14" ht="15.75" customHeight="1">
      <c r="A973" s="198" t="s">
        <v>175</v>
      </c>
      <c r="B973" s="199" t="s">
        <v>190</v>
      </c>
      <c r="C973" s="199" t="s">
        <v>133</v>
      </c>
      <c r="D973" s="200" t="s">
        <v>165</v>
      </c>
      <c r="E973" s="215">
        <v>170.4</v>
      </c>
      <c r="F973" s="201">
        <v>179</v>
      </c>
      <c r="G973" s="201">
        <v>151</v>
      </c>
      <c r="H973" s="201">
        <v>196</v>
      </c>
      <c r="I973" s="201">
        <v>186</v>
      </c>
      <c r="J973" s="201">
        <v>185</v>
      </c>
      <c r="K973" s="201">
        <v>202</v>
      </c>
      <c r="L973" s="201">
        <v>221</v>
      </c>
      <c r="M973" s="330">
        <v>134</v>
      </c>
      <c r="N973" s="202">
        <v>-0.21361502347417843</v>
      </c>
    </row>
    <row r="974" spans="1:14" ht="15.75" customHeight="1">
      <c r="A974" s="198" t="s">
        <v>175</v>
      </c>
      <c r="B974" s="199" t="s">
        <v>190</v>
      </c>
      <c r="C974" s="199" t="s">
        <v>133</v>
      </c>
      <c r="D974" s="203" t="s">
        <v>91</v>
      </c>
      <c r="E974" s="216">
        <v>211.8</v>
      </c>
      <c r="F974" s="204">
        <v>212</v>
      </c>
      <c r="G974" s="204">
        <v>190</v>
      </c>
      <c r="H974" s="204">
        <v>234</v>
      </c>
      <c r="I974" s="204">
        <v>202</v>
      </c>
      <c r="J974" s="204">
        <v>205</v>
      </c>
      <c r="K974" s="204">
        <v>231</v>
      </c>
      <c r="L974" s="204">
        <v>248</v>
      </c>
      <c r="M974" s="331">
        <v>168</v>
      </c>
      <c r="N974" s="202">
        <v>-0.20679886685552412</v>
      </c>
    </row>
    <row r="975" spans="1:14" ht="15.75" customHeight="1">
      <c r="A975" s="198" t="s">
        <v>175</v>
      </c>
      <c r="B975" s="199" t="s">
        <v>190</v>
      </c>
      <c r="C975" s="199" t="s">
        <v>167</v>
      </c>
      <c r="D975" s="200" t="s">
        <v>162</v>
      </c>
      <c r="E975" s="215">
        <v>0</v>
      </c>
      <c r="F975" s="201">
        <v>0</v>
      </c>
      <c r="G975" s="201">
        <v>0</v>
      </c>
      <c r="H975" s="201">
        <v>0</v>
      </c>
      <c r="I975" s="201">
        <v>0</v>
      </c>
      <c r="J975" s="201">
        <v>0</v>
      </c>
      <c r="K975" s="201">
        <v>0</v>
      </c>
      <c r="L975" s="201">
        <v>0</v>
      </c>
      <c r="M975" s="330" t="s">
        <v>172</v>
      </c>
      <c r="N975" s="202">
        <v>0</v>
      </c>
    </row>
    <row r="976" spans="1:14" ht="15.75" customHeight="1">
      <c r="A976" s="198" t="s">
        <v>175</v>
      </c>
      <c r="B976" s="199" t="s">
        <v>190</v>
      </c>
      <c r="C976" s="199" t="s">
        <v>167</v>
      </c>
      <c r="D976" s="200" t="s">
        <v>163</v>
      </c>
      <c r="E976" s="215">
        <v>0.7</v>
      </c>
      <c r="F976" s="201">
        <v>0</v>
      </c>
      <c r="G976" s="201">
        <v>1</v>
      </c>
      <c r="H976" s="201">
        <v>3</v>
      </c>
      <c r="I976" s="201">
        <v>2</v>
      </c>
      <c r="J976" s="201">
        <v>3</v>
      </c>
      <c r="K976" s="201">
        <v>3</v>
      </c>
      <c r="L976" s="201">
        <v>1</v>
      </c>
      <c r="M976" s="330">
        <v>5</v>
      </c>
      <c r="N976" s="202">
        <v>6.1428571428571432</v>
      </c>
    </row>
    <row r="977" spans="1:14" ht="15.75" customHeight="1">
      <c r="A977" s="198" t="s">
        <v>175</v>
      </c>
      <c r="B977" s="199" t="s">
        <v>190</v>
      </c>
      <c r="C977" s="199" t="s">
        <v>167</v>
      </c>
      <c r="D977" s="200" t="s">
        <v>164</v>
      </c>
      <c r="E977" s="215">
        <v>0.7</v>
      </c>
      <c r="F977" s="201">
        <v>0</v>
      </c>
      <c r="G977" s="201">
        <v>1</v>
      </c>
      <c r="H977" s="201">
        <v>3</v>
      </c>
      <c r="I977" s="201">
        <v>2</v>
      </c>
      <c r="J977" s="201">
        <v>3</v>
      </c>
      <c r="K977" s="201">
        <v>3</v>
      </c>
      <c r="L977" s="201">
        <v>1</v>
      </c>
      <c r="M977" s="330">
        <v>5</v>
      </c>
      <c r="N977" s="202">
        <v>6.1428571428571432</v>
      </c>
    </row>
    <row r="978" spans="1:14" ht="15.75" customHeight="1">
      <c r="A978" s="198" t="s">
        <v>175</v>
      </c>
      <c r="B978" s="199" t="s">
        <v>190</v>
      </c>
      <c r="C978" s="199" t="s">
        <v>167</v>
      </c>
      <c r="D978" s="200" t="s">
        <v>165</v>
      </c>
      <c r="E978" s="215">
        <v>2.8</v>
      </c>
      <c r="F978" s="201">
        <v>4</v>
      </c>
      <c r="G978" s="201">
        <v>1</v>
      </c>
      <c r="H978" s="201">
        <v>0</v>
      </c>
      <c r="I978" s="201">
        <v>10</v>
      </c>
      <c r="J978" s="201">
        <v>16</v>
      </c>
      <c r="K978" s="201">
        <v>12</v>
      </c>
      <c r="L978" s="201">
        <v>4</v>
      </c>
      <c r="M978" s="330">
        <v>6</v>
      </c>
      <c r="N978" s="202">
        <v>1.142857142857143</v>
      </c>
    </row>
    <row r="979" spans="1:14" ht="15.75" customHeight="1">
      <c r="A979" s="198" t="s">
        <v>175</v>
      </c>
      <c r="B979" s="199" t="s">
        <v>190</v>
      </c>
      <c r="C979" s="199" t="s">
        <v>167</v>
      </c>
      <c r="D979" s="203" t="s">
        <v>91</v>
      </c>
      <c r="E979" s="216">
        <v>3.5</v>
      </c>
      <c r="F979" s="204">
        <v>4</v>
      </c>
      <c r="G979" s="204">
        <v>2</v>
      </c>
      <c r="H979" s="204">
        <v>3</v>
      </c>
      <c r="I979" s="204">
        <v>12</v>
      </c>
      <c r="J979" s="204">
        <v>19</v>
      </c>
      <c r="K979" s="204">
        <v>15</v>
      </c>
      <c r="L979" s="204">
        <v>5</v>
      </c>
      <c r="M979" s="331">
        <v>11</v>
      </c>
      <c r="N979" s="202">
        <v>2.1428571428571428</v>
      </c>
    </row>
    <row r="980" spans="1:14" ht="15.75" customHeight="1">
      <c r="A980" s="198" t="s">
        <v>175</v>
      </c>
      <c r="B980" s="199" t="s">
        <v>190</v>
      </c>
      <c r="C980" s="199" t="s">
        <v>168</v>
      </c>
      <c r="D980" s="200" t="s">
        <v>162</v>
      </c>
      <c r="E980" s="215">
        <v>0</v>
      </c>
      <c r="F980" s="201">
        <v>2</v>
      </c>
      <c r="G980" s="201">
        <v>1</v>
      </c>
      <c r="H980" s="201">
        <v>0</v>
      </c>
      <c r="I980" s="201">
        <v>0</v>
      </c>
      <c r="J980" s="201">
        <v>0</v>
      </c>
      <c r="K980" s="201">
        <v>0</v>
      </c>
      <c r="L980" s="201">
        <v>1</v>
      </c>
      <c r="M980" s="330" t="s">
        <v>172</v>
      </c>
      <c r="N980" s="202">
        <v>0</v>
      </c>
    </row>
    <row r="981" spans="1:14" ht="15.75" customHeight="1">
      <c r="A981" s="198" t="s">
        <v>175</v>
      </c>
      <c r="B981" s="199" t="s">
        <v>190</v>
      </c>
      <c r="C981" s="199" t="s">
        <v>168</v>
      </c>
      <c r="D981" s="200" t="s">
        <v>163</v>
      </c>
      <c r="E981" s="215">
        <v>39.4</v>
      </c>
      <c r="F981" s="201">
        <v>29</v>
      </c>
      <c r="G981" s="201">
        <v>26</v>
      </c>
      <c r="H981" s="201">
        <v>27</v>
      </c>
      <c r="I981" s="201">
        <v>29</v>
      </c>
      <c r="J981" s="201">
        <v>31</v>
      </c>
      <c r="K981" s="201">
        <v>36</v>
      </c>
      <c r="L981" s="201">
        <v>41</v>
      </c>
      <c r="M981" s="330">
        <v>43</v>
      </c>
      <c r="N981" s="202">
        <v>9.1370558375634556E-2</v>
      </c>
    </row>
    <row r="982" spans="1:14" ht="15.75" customHeight="1">
      <c r="A982" s="198" t="s">
        <v>175</v>
      </c>
      <c r="B982" s="199" t="s">
        <v>190</v>
      </c>
      <c r="C982" s="199" t="s">
        <v>168</v>
      </c>
      <c r="D982" s="200" t="s">
        <v>164</v>
      </c>
      <c r="E982" s="215">
        <v>39.4</v>
      </c>
      <c r="F982" s="201">
        <v>27</v>
      </c>
      <c r="G982" s="201">
        <v>25</v>
      </c>
      <c r="H982" s="201">
        <v>27</v>
      </c>
      <c r="I982" s="201">
        <v>29</v>
      </c>
      <c r="J982" s="201">
        <v>31</v>
      </c>
      <c r="K982" s="201">
        <v>36</v>
      </c>
      <c r="L982" s="201">
        <v>40</v>
      </c>
      <c r="M982" s="330">
        <v>43</v>
      </c>
      <c r="N982" s="202">
        <v>9.1370558375634556E-2</v>
      </c>
    </row>
    <row r="983" spans="1:14" ht="15.75" customHeight="1">
      <c r="A983" s="198" t="s">
        <v>175</v>
      </c>
      <c r="B983" s="199" t="s">
        <v>190</v>
      </c>
      <c r="C983" s="199" t="s">
        <v>168</v>
      </c>
      <c r="D983" s="200" t="s">
        <v>165</v>
      </c>
      <c r="E983" s="215">
        <v>164.5</v>
      </c>
      <c r="F983" s="201">
        <v>129</v>
      </c>
      <c r="G983" s="201">
        <v>151</v>
      </c>
      <c r="H983" s="201">
        <v>138</v>
      </c>
      <c r="I983" s="201">
        <v>123</v>
      </c>
      <c r="J983" s="201">
        <v>145</v>
      </c>
      <c r="K983" s="201">
        <v>104</v>
      </c>
      <c r="L983" s="201">
        <v>131</v>
      </c>
      <c r="M983" s="330">
        <v>138</v>
      </c>
      <c r="N983" s="202">
        <v>-0.16109422492401215</v>
      </c>
    </row>
    <row r="984" spans="1:14" ht="15.75" customHeight="1">
      <c r="A984" s="198" t="s">
        <v>175</v>
      </c>
      <c r="B984" s="199" t="s">
        <v>190</v>
      </c>
      <c r="C984" s="199" t="s">
        <v>168</v>
      </c>
      <c r="D984" s="203" t="s">
        <v>91</v>
      </c>
      <c r="E984" s="216">
        <v>204</v>
      </c>
      <c r="F984" s="204">
        <v>158</v>
      </c>
      <c r="G984" s="204">
        <v>177</v>
      </c>
      <c r="H984" s="204">
        <v>165</v>
      </c>
      <c r="I984" s="204">
        <v>152</v>
      </c>
      <c r="J984" s="204">
        <v>176</v>
      </c>
      <c r="K984" s="204">
        <v>140</v>
      </c>
      <c r="L984" s="204">
        <v>172</v>
      </c>
      <c r="M984" s="331">
        <v>181</v>
      </c>
      <c r="N984" s="202">
        <v>-0.11274509803921569</v>
      </c>
    </row>
    <row r="985" spans="1:14" ht="15.75" customHeight="1">
      <c r="A985" s="198" t="s">
        <v>175</v>
      </c>
      <c r="B985" s="199" t="s">
        <v>190</v>
      </c>
      <c r="C985" s="199" t="s">
        <v>131</v>
      </c>
      <c r="D985" s="200" t="s">
        <v>162</v>
      </c>
      <c r="E985" s="215">
        <v>2.2000000000000002</v>
      </c>
      <c r="F985" s="201">
        <v>1</v>
      </c>
      <c r="G985" s="201">
        <v>1</v>
      </c>
      <c r="H985" s="201">
        <v>1</v>
      </c>
      <c r="I985" s="201">
        <v>0</v>
      </c>
      <c r="J985" s="201">
        <v>3</v>
      </c>
      <c r="K985" s="201">
        <v>2</v>
      </c>
      <c r="L985" s="201">
        <v>2</v>
      </c>
      <c r="M985" s="330" t="s">
        <v>172</v>
      </c>
      <c r="N985" s="202">
        <v>-1</v>
      </c>
    </row>
    <row r="986" spans="1:14" ht="15.75" customHeight="1">
      <c r="A986" s="198" t="s">
        <v>175</v>
      </c>
      <c r="B986" s="199" t="s">
        <v>190</v>
      </c>
      <c r="C986" s="199" t="s">
        <v>131</v>
      </c>
      <c r="D986" s="200" t="s">
        <v>163</v>
      </c>
      <c r="E986" s="215">
        <v>53.4</v>
      </c>
      <c r="F986" s="201">
        <v>39</v>
      </c>
      <c r="G986" s="201">
        <v>50</v>
      </c>
      <c r="H986" s="201">
        <v>33</v>
      </c>
      <c r="I986" s="201">
        <v>18</v>
      </c>
      <c r="J986" s="201">
        <v>26</v>
      </c>
      <c r="K986" s="201">
        <v>37</v>
      </c>
      <c r="L986" s="201">
        <v>44</v>
      </c>
      <c r="M986" s="330">
        <v>36</v>
      </c>
      <c r="N986" s="202">
        <v>-0.32584269662921345</v>
      </c>
    </row>
    <row r="987" spans="1:14" ht="15.75" customHeight="1">
      <c r="A987" s="198" t="s">
        <v>175</v>
      </c>
      <c r="B987" s="199" t="s">
        <v>190</v>
      </c>
      <c r="C987" s="199" t="s">
        <v>131</v>
      </c>
      <c r="D987" s="200" t="s">
        <v>164</v>
      </c>
      <c r="E987" s="215">
        <v>51.2</v>
      </c>
      <c r="F987" s="201">
        <v>38</v>
      </c>
      <c r="G987" s="201">
        <v>49</v>
      </c>
      <c r="H987" s="201">
        <v>32</v>
      </c>
      <c r="I987" s="201">
        <v>18</v>
      </c>
      <c r="J987" s="201">
        <v>23</v>
      </c>
      <c r="K987" s="201">
        <v>35</v>
      </c>
      <c r="L987" s="201">
        <v>42</v>
      </c>
      <c r="M987" s="330">
        <v>36</v>
      </c>
      <c r="N987" s="202">
        <v>-0.29687500000000006</v>
      </c>
    </row>
    <row r="988" spans="1:14" ht="15.75" customHeight="1">
      <c r="A988" s="198" t="s">
        <v>175</v>
      </c>
      <c r="B988" s="199" t="s">
        <v>190</v>
      </c>
      <c r="C988" s="199" t="s">
        <v>131</v>
      </c>
      <c r="D988" s="200" t="s">
        <v>165</v>
      </c>
      <c r="E988" s="215">
        <v>134.9</v>
      </c>
      <c r="F988" s="201">
        <v>138</v>
      </c>
      <c r="G988" s="201">
        <v>112</v>
      </c>
      <c r="H988" s="201">
        <v>150</v>
      </c>
      <c r="I988" s="201">
        <v>75</v>
      </c>
      <c r="J988" s="201">
        <v>81</v>
      </c>
      <c r="K988" s="201">
        <v>102</v>
      </c>
      <c r="L988" s="201">
        <v>95</v>
      </c>
      <c r="M988" s="330">
        <v>82</v>
      </c>
      <c r="N988" s="202">
        <v>-0.3921423276501112</v>
      </c>
    </row>
    <row r="989" spans="1:14" ht="15.75" customHeight="1">
      <c r="A989" s="198" t="s">
        <v>175</v>
      </c>
      <c r="B989" s="199" t="s">
        <v>190</v>
      </c>
      <c r="C989" s="199" t="s">
        <v>131</v>
      </c>
      <c r="D989" s="203" t="s">
        <v>91</v>
      </c>
      <c r="E989" s="216">
        <v>188.3</v>
      </c>
      <c r="F989" s="204">
        <v>177</v>
      </c>
      <c r="G989" s="204">
        <v>162</v>
      </c>
      <c r="H989" s="204">
        <v>183</v>
      </c>
      <c r="I989" s="204">
        <v>93</v>
      </c>
      <c r="J989" s="204">
        <v>107</v>
      </c>
      <c r="K989" s="204">
        <v>139</v>
      </c>
      <c r="L989" s="204">
        <v>139</v>
      </c>
      <c r="M989" s="331">
        <v>118</v>
      </c>
      <c r="N989" s="202">
        <v>-0.37334041423260755</v>
      </c>
    </row>
    <row r="990" spans="1:14" ht="15.75" customHeight="1">
      <c r="A990" s="198" t="s">
        <v>175</v>
      </c>
      <c r="B990" s="199" t="s">
        <v>190</v>
      </c>
      <c r="C990" s="199" t="s">
        <v>169</v>
      </c>
      <c r="D990" s="200" t="s">
        <v>162</v>
      </c>
      <c r="E990" s="215">
        <v>0</v>
      </c>
      <c r="F990" s="201">
        <v>0</v>
      </c>
      <c r="G990" s="201">
        <v>0</v>
      </c>
      <c r="H990" s="201">
        <v>0</v>
      </c>
      <c r="I990" s="201">
        <v>0</v>
      </c>
      <c r="J990" s="201">
        <v>0</v>
      </c>
      <c r="K990" s="201">
        <v>0</v>
      </c>
      <c r="L990" s="201">
        <v>0</v>
      </c>
      <c r="M990" s="330" t="s">
        <v>172</v>
      </c>
      <c r="N990" s="202">
        <v>0</v>
      </c>
    </row>
    <row r="991" spans="1:14" ht="15.75" customHeight="1">
      <c r="A991" s="198" t="s">
        <v>175</v>
      </c>
      <c r="B991" s="199" t="s">
        <v>190</v>
      </c>
      <c r="C991" s="199" t="s">
        <v>169</v>
      </c>
      <c r="D991" s="200" t="s">
        <v>163</v>
      </c>
      <c r="E991" s="215">
        <v>0</v>
      </c>
      <c r="F991" s="201">
        <v>0</v>
      </c>
      <c r="G991" s="201">
        <v>0</v>
      </c>
      <c r="H991" s="201">
        <v>0</v>
      </c>
      <c r="I991" s="201">
        <v>0</v>
      </c>
      <c r="J991" s="201">
        <v>1</v>
      </c>
      <c r="K991" s="201">
        <v>0</v>
      </c>
      <c r="L991" s="201">
        <v>0</v>
      </c>
      <c r="M991" s="330">
        <v>0</v>
      </c>
      <c r="N991" s="202">
        <v>0</v>
      </c>
    </row>
    <row r="992" spans="1:14" ht="15.75" customHeight="1">
      <c r="A992" s="198" t="s">
        <v>175</v>
      </c>
      <c r="B992" s="199" t="s">
        <v>190</v>
      </c>
      <c r="C992" s="199" t="s">
        <v>169</v>
      </c>
      <c r="D992" s="200" t="s">
        <v>164</v>
      </c>
      <c r="E992" s="215">
        <v>0</v>
      </c>
      <c r="F992" s="201">
        <v>0</v>
      </c>
      <c r="G992" s="201">
        <v>0</v>
      </c>
      <c r="H992" s="201">
        <v>0</v>
      </c>
      <c r="I992" s="201">
        <v>0</v>
      </c>
      <c r="J992" s="201">
        <v>1</v>
      </c>
      <c r="K992" s="201">
        <v>0</v>
      </c>
      <c r="L992" s="201">
        <v>0</v>
      </c>
      <c r="M992" s="330" t="s">
        <v>172</v>
      </c>
      <c r="N992" s="202">
        <v>0</v>
      </c>
    </row>
    <row r="993" spans="1:14" ht="15.75" customHeight="1">
      <c r="A993" s="198" t="s">
        <v>175</v>
      </c>
      <c r="B993" s="199" t="s">
        <v>190</v>
      </c>
      <c r="C993" s="199" t="s">
        <v>169</v>
      </c>
      <c r="D993" s="200" t="s">
        <v>165</v>
      </c>
      <c r="E993" s="215">
        <v>0</v>
      </c>
      <c r="F993" s="201">
        <v>19</v>
      </c>
      <c r="G993" s="201">
        <v>20</v>
      </c>
      <c r="H993" s="201">
        <v>14</v>
      </c>
      <c r="I993" s="201">
        <v>10</v>
      </c>
      <c r="J993" s="201">
        <v>8</v>
      </c>
      <c r="K993" s="201">
        <v>14</v>
      </c>
      <c r="L993" s="201">
        <v>4</v>
      </c>
      <c r="M993" s="330">
        <v>10</v>
      </c>
      <c r="N993" s="202">
        <v>0</v>
      </c>
    </row>
    <row r="994" spans="1:14" ht="15.75" customHeight="1">
      <c r="A994" s="198" t="s">
        <v>175</v>
      </c>
      <c r="B994" s="199" t="s">
        <v>190</v>
      </c>
      <c r="C994" s="199" t="s">
        <v>169</v>
      </c>
      <c r="D994" s="203" t="s">
        <v>91</v>
      </c>
      <c r="E994" s="216">
        <v>0</v>
      </c>
      <c r="F994" s="204">
        <v>19</v>
      </c>
      <c r="G994" s="204">
        <v>20</v>
      </c>
      <c r="H994" s="204">
        <v>14</v>
      </c>
      <c r="I994" s="204">
        <v>10</v>
      </c>
      <c r="J994" s="204">
        <v>9</v>
      </c>
      <c r="K994" s="204">
        <v>14</v>
      </c>
      <c r="L994" s="204">
        <v>4</v>
      </c>
      <c r="M994" s="331">
        <v>10</v>
      </c>
      <c r="N994" s="202">
        <v>0</v>
      </c>
    </row>
    <row r="995" spans="1:14" ht="15.75" customHeight="1">
      <c r="A995" s="198" t="s">
        <v>175</v>
      </c>
      <c r="B995" s="199" t="s">
        <v>190</v>
      </c>
      <c r="C995" s="199" t="s">
        <v>139</v>
      </c>
      <c r="D995" s="200" t="s">
        <v>162</v>
      </c>
      <c r="E995" s="215">
        <v>0</v>
      </c>
      <c r="F995" s="201">
        <v>0</v>
      </c>
      <c r="G995" s="201">
        <v>0</v>
      </c>
      <c r="H995" s="201">
        <v>0</v>
      </c>
      <c r="I995" s="201">
        <v>0</v>
      </c>
      <c r="J995" s="201">
        <v>0</v>
      </c>
      <c r="K995" s="201">
        <v>0</v>
      </c>
      <c r="L995" s="201">
        <v>0</v>
      </c>
      <c r="M995" s="330" t="s">
        <v>172</v>
      </c>
      <c r="N995" s="202">
        <v>0</v>
      </c>
    </row>
    <row r="996" spans="1:14" ht="15.75" customHeight="1">
      <c r="A996" s="198" t="s">
        <v>175</v>
      </c>
      <c r="B996" s="199" t="s">
        <v>190</v>
      </c>
      <c r="C996" s="199" t="s">
        <v>139</v>
      </c>
      <c r="D996" s="200" t="s">
        <v>163</v>
      </c>
      <c r="E996" s="215">
        <v>1.4</v>
      </c>
      <c r="F996" s="201">
        <v>2</v>
      </c>
      <c r="G996" s="201">
        <v>1</v>
      </c>
      <c r="H996" s="201">
        <v>0</v>
      </c>
      <c r="I996" s="201">
        <v>1</v>
      </c>
      <c r="J996" s="201">
        <v>0</v>
      </c>
      <c r="K996" s="201">
        <v>0</v>
      </c>
      <c r="L996" s="201">
        <v>2</v>
      </c>
      <c r="M996" s="330">
        <v>0</v>
      </c>
      <c r="N996" s="202">
        <v>-1</v>
      </c>
    </row>
    <row r="997" spans="1:14" ht="15.75" customHeight="1">
      <c r="A997" s="198" t="s">
        <v>175</v>
      </c>
      <c r="B997" s="199" t="s">
        <v>190</v>
      </c>
      <c r="C997" s="199" t="s">
        <v>139</v>
      </c>
      <c r="D997" s="200" t="s">
        <v>164</v>
      </c>
      <c r="E997" s="215">
        <v>1.4</v>
      </c>
      <c r="F997" s="201">
        <v>2</v>
      </c>
      <c r="G997" s="201">
        <v>1</v>
      </c>
      <c r="H997" s="201">
        <v>0</v>
      </c>
      <c r="I997" s="201">
        <v>1</v>
      </c>
      <c r="J997" s="201">
        <v>0</v>
      </c>
      <c r="K997" s="201">
        <v>0</v>
      </c>
      <c r="L997" s="201">
        <v>2</v>
      </c>
      <c r="M997" s="330" t="s">
        <v>172</v>
      </c>
      <c r="N997" s="202">
        <v>-1</v>
      </c>
    </row>
    <row r="998" spans="1:14" ht="15.75" customHeight="1">
      <c r="A998" s="198" t="s">
        <v>175</v>
      </c>
      <c r="B998" s="199" t="s">
        <v>190</v>
      </c>
      <c r="C998" s="199" t="s">
        <v>139</v>
      </c>
      <c r="D998" s="200" t="s">
        <v>165</v>
      </c>
      <c r="E998" s="215">
        <v>25.4</v>
      </c>
      <c r="F998" s="201">
        <v>11</v>
      </c>
      <c r="G998" s="201">
        <v>11</v>
      </c>
      <c r="H998" s="201">
        <v>20</v>
      </c>
      <c r="I998" s="201">
        <v>5</v>
      </c>
      <c r="J998" s="201">
        <v>10</v>
      </c>
      <c r="K998" s="201">
        <v>13</v>
      </c>
      <c r="L998" s="201">
        <v>5</v>
      </c>
      <c r="M998" s="330">
        <v>7</v>
      </c>
      <c r="N998" s="202">
        <v>-0.72440944881889757</v>
      </c>
    </row>
    <row r="999" spans="1:14" ht="15.75" customHeight="1">
      <c r="A999" s="198" t="s">
        <v>175</v>
      </c>
      <c r="B999" s="199" t="s">
        <v>190</v>
      </c>
      <c r="C999" s="199" t="s">
        <v>139</v>
      </c>
      <c r="D999" s="203" t="s">
        <v>91</v>
      </c>
      <c r="E999" s="216">
        <v>26.8</v>
      </c>
      <c r="F999" s="204">
        <v>13</v>
      </c>
      <c r="G999" s="204">
        <v>12</v>
      </c>
      <c r="H999" s="204">
        <v>20</v>
      </c>
      <c r="I999" s="204">
        <v>6</v>
      </c>
      <c r="J999" s="204">
        <v>10</v>
      </c>
      <c r="K999" s="204">
        <v>13</v>
      </c>
      <c r="L999" s="204">
        <v>7</v>
      </c>
      <c r="M999" s="331">
        <v>7</v>
      </c>
      <c r="N999" s="202">
        <v>-0.73880597014925375</v>
      </c>
    </row>
    <row r="1000" spans="1:14" ht="15.75" customHeight="1">
      <c r="A1000" s="198" t="s">
        <v>175</v>
      </c>
      <c r="B1000" s="199" t="s">
        <v>190</v>
      </c>
      <c r="C1000" s="205" t="s">
        <v>91</v>
      </c>
      <c r="D1000" s="203" t="s">
        <v>162</v>
      </c>
      <c r="E1000" s="216">
        <v>2.6</v>
      </c>
      <c r="F1000" s="204">
        <v>6</v>
      </c>
      <c r="G1000" s="204">
        <v>3</v>
      </c>
      <c r="H1000" s="204">
        <v>2</v>
      </c>
      <c r="I1000" s="204">
        <v>0</v>
      </c>
      <c r="J1000" s="204">
        <v>4</v>
      </c>
      <c r="K1000" s="204">
        <v>4</v>
      </c>
      <c r="L1000" s="204">
        <v>3</v>
      </c>
      <c r="M1000" s="331">
        <v>1</v>
      </c>
      <c r="N1000" s="202">
        <v>-0.61538461538461542</v>
      </c>
    </row>
    <row r="1001" spans="1:14" ht="15.75" customHeight="1">
      <c r="A1001" s="198" t="s">
        <v>159</v>
      </c>
      <c r="B1001" s="199" t="s">
        <v>184</v>
      </c>
      <c r="C1001" s="205" t="s">
        <v>91</v>
      </c>
      <c r="D1001" s="203" t="s">
        <v>163</v>
      </c>
      <c r="E1001" s="214">
        <v>164.8</v>
      </c>
      <c r="F1001" s="204">
        <v>138</v>
      </c>
      <c r="G1001" s="204">
        <v>118</v>
      </c>
      <c r="H1001" s="204">
        <v>110</v>
      </c>
      <c r="I1001" s="204">
        <v>81</v>
      </c>
      <c r="J1001" s="204">
        <v>100</v>
      </c>
      <c r="K1001" s="204">
        <v>117</v>
      </c>
      <c r="L1001" s="204">
        <v>111</v>
      </c>
      <c r="M1001" s="331">
        <v>98</v>
      </c>
      <c r="N1001" s="202">
        <v>-0.40533980582524276</v>
      </c>
    </row>
    <row r="1002" spans="1:14" ht="15.75" customHeight="1">
      <c r="A1002" s="198" t="s">
        <v>175</v>
      </c>
      <c r="B1002" s="199" t="s">
        <v>190</v>
      </c>
      <c r="C1002" s="205" t="s">
        <v>91</v>
      </c>
      <c r="D1002" s="203" t="s">
        <v>164</v>
      </c>
      <c r="E1002" s="216">
        <v>150.19999999999999</v>
      </c>
      <c r="F1002" s="204">
        <v>110</v>
      </c>
      <c r="G1002" s="204">
        <v>123</v>
      </c>
      <c r="H1002" s="204">
        <v>111</v>
      </c>
      <c r="I1002" s="204">
        <v>73</v>
      </c>
      <c r="J1002" s="204">
        <v>81</v>
      </c>
      <c r="K1002" s="204">
        <v>111</v>
      </c>
      <c r="L1002" s="204">
        <v>122</v>
      </c>
      <c r="M1002" s="331">
        <v>131</v>
      </c>
      <c r="N1002" s="202">
        <v>-0.12782956058588543</v>
      </c>
    </row>
    <row r="1003" spans="1:14" ht="15.75" customHeight="1">
      <c r="A1003" s="198" t="s">
        <v>175</v>
      </c>
      <c r="B1003" s="199" t="s">
        <v>190</v>
      </c>
      <c r="C1003" s="205" t="s">
        <v>91</v>
      </c>
      <c r="D1003" s="203" t="s">
        <v>165</v>
      </c>
      <c r="E1003" s="216">
        <v>685.1</v>
      </c>
      <c r="F1003" s="204">
        <v>683</v>
      </c>
      <c r="G1003" s="204">
        <v>624</v>
      </c>
      <c r="H1003" s="204">
        <v>668</v>
      </c>
      <c r="I1003" s="204">
        <v>531</v>
      </c>
      <c r="J1003" s="204">
        <v>557</v>
      </c>
      <c r="K1003" s="204">
        <v>549</v>
      </c>
      <c r="L1003" s="204">
        <v>556</v>
      </c>
      <c r="M1003" s="331">
        <v>480</v>
      </c>
      <c r="N1003" s="202">
        <v>-0.29937235440081744</v>
      </c>
    </row>
    <row r="1004" spans="1:14" ht="15.75" customHeight="1">
      <c r="A1004" s="198" t="s">
        <v>175</v>
      </c>
      <c r="B1004" s="199" t="s">
        <v>190</v>
      </c>
      <c r="C1004" s="205" t="s">
        <v>91</v>
      </c>
      <c r="D1004" s="203" t="s">
        <v>91</v>
      </c>
      <c r="E1004" s="216">
        <v>837.9</v>
      </c>
      <c r="F1004" s="204">
        <v>799</v>
      </c>
      <c r="G1004" s="204">
        <v>750</v>
      </c>
      <c r="H1004" s="204">
        <v>781</v>
      </c>
      <c r="I1004" s="204">
        <v>604</v>
      </c>
      <c r="J1004" s="204">
        <v>642</v>
      </c>
      <c r="K1004" s="204">
        <v>664</v>
      </c>
      <c r="L1004" s="204">
        <v>681</v>
      </c>
      <c r="M1004" s="331">
        <v>612</v>
      </c>
      <c r="N1004" s="202">
        <v>-0.26960257787325453</v>
      </c>
    </row>
    <row r="1005" spans="1:14" ht="15.75" customHeight="1">
      <c r="A1005" s="198" t="s">
        <v>159</v>
      </c>
      <c r="B1005" s="199" t="s">
        <v>191</v>
      </c>
      <c r="C1005" s="199" t="s">
        <v>161</v>
      </c>
      <c r="D1005" s="200" t="s">
        <v>162</v>
      </c>
      <c r="E1005" s="213">
        <v>0</v>
      </c>
      <c r="F1005" s="201">
        <v>0</v>
      </c>
      <c r="G1005" s="201">
        <v>0</v>
      </c>
      <c r="H1005" s="201">
        <v>0</v>
      </c>
      <c r="I1005" s="201">
        <v>0</v>
      </c>
      <c r="J1005" s="201">
        <v>0</v>
      </c>
      <c r="K1005" s="201">
        <v>0</v>
      </c>
      <c r="L1005" s="201">
        <v>0</v>
      </c>
      <c r="M1005" s="330">
        <v>1</v>
      </c>
      <c r="N1005" s="202">
        <v>0</v>
      </c>
    </row>
    <row r="1006" spans="1:14">
      <c r="A1006" s="198" t="s">
        <v>159</v>
      </c>
      <c r="B1006" s="199" t="s">
        <v>191</v>
      </c>
      <c r="C1006" s="199" t="s">
        <v>161</v>
      </c>
      <c r="D1006" s="200" t="s">
        <v>163</v>
      </c>
      <c r="E1006" s="213">
        <v>3.3</v>
      </c>
      <c r="F1006" s="201">
        <v>0</v>
      </c>
      <c r="G1006" s="201">
        <v>4</v>
      </c>
      <c r="H1006" s="201">
        <v>0</v>
      </c>
      <c r="I1006" s="201">
        <v>3</v>
      </c>
      <c r="J1006" s="201">
        <v>0</v>
      </c>
      <c r="K1006" s="201">
        <v>3</v>
      </c>
      <c r="L1006" s="201">
        <v>0</v>
      </c>
      <c r="M1006" s="330">
        <v>6</v>
      </c>
      <c r="N1006" s="202">
        <v>0.81818181818181823</v>
      </c>
    </row>
    <row r="1007" spans="1:14" ht="15.75" customHeight="1">
      <c r="A1007" s="198" t="s">
        <v>159</v>
      </c>
      <c r="B1007" s="199" t="s">
        <v>191</v>
      </c>
      <c r="C1007" s="199" t="s">
        <v>161</v>
      </c>
      <c r="D1007" s="200" t="s">
        <v>164</v>
      </c>
      <c r="E1007" s="213">
        <v>3.3</v>
      </c>
      <c r="F1007" s="201">
        <v>0</v>
      </c>
      <c r="G1007" s="201">
        <v>4</v>
      </c>
      <c r="H1007" s="201">
        <v>0</v>
      </c>
      <c r="I1007" s="201">
        <v>3</v>
      </c>
      <c r="J1007" s="201">
        <v>0</v>
      </c>
      <c r="K1007" s="201">
        <v>3</v>
      </c>
      <c r="L1007" s="201">
        <v>0</v>
      </c>
      <c r="M1007" s="330">
        <v>5</v>
      </c>
      <c r="N1007" s="202">
        <v>0.51515151515151525</v>
      </c>
    </row>
    <row r="1008" spans="1:14" ht="15.75" customHeight="1">
      <c r="A1008" s="198" t="s">
        <v>159</v>
      </c>
      <c r="B1008" s="199" t="s">
        <v>191</v>
      </c>
      <c r="C1008" s="199" t="s">
        <v>161</v>
      </c>
      <c r="D1008" s="200" t="s">
        <v>165</v>
      </c>
      <c r="E1008" s="213">
        <v>16.3</v>
      </c>
      <c r="F1008" s="201">
        <v>18</v>
      </c>
      <c r="G1008" s="201">
        <v>8</v>
      </c>
      <c r="H1008" s="201">
        <v>15</v>
      </c>
      <c r="I1008" s="201">
        <v>23</v>
      </c>
      <c r="J1008" s="201">
        <v>7</v>
      </c>
      <c r="K1008" s="201">
        <v>13</v>
      </c>
      <c r="L1008" s="201">
        <v>9</v>
      </c>
      <c r="M1008" s="330">
        <v>10</v>
      </c>
      <c r="N1008" s="202">
        <v>-0.38650306748466262</v>
      </c>
    </row>
    <row r="1009" spans="1:14" ht="15.75" customHeight="1">
      <c r="A1009" s="198" t="s">
        <v>159</v>
      </c>
      <c r="B1009" s="199" t="s">
        <v>191</v>
      </c>
      <c r="C1009" s="199" t="s">
        <v>161</v>
      </c>
      <c r="D1009" s="203" t="s">
        <v>91</v>
      </c>
      <c r="E1009" s="214">
        <v>19.7</v>
      </c>
      <c r="F1009" s="204">
        <v>18</v>
      </c>
      <c r="G1009" s="204">
        <v>12</v>
      </c>
      <c r="H1009" s="204">
        <v>15</v>
      </c>
      <c r="I1009" s="204">
        <v>26</v>
      </c>
      <c r="J1009" s="204">
        <v>7</v>
      </c>
      <c r="K1009" s="204">
        <v>16</v>
      </c>
      <c r="L1009" s="204">
        <v>9</v>
      </c>
      <c r="M1009" s="331">
        <v>16</v>
      </c>
      <c r="N1009" s="202">
        <v>-0.18781725888324871</v>
      </c>
    </row>
    <row r="1010" spans="1:14" ht="15.75" customHeight="1">
      <c r="A1010" s="198" t="s">
        <v>159</v>
      </c>
      <c r="B1010" s="199" t="s">
        <v>191</v>
      </c>
      <c r="C1010" s="199" t="s">
        <v>134</v>
      </c>
      <c r="D1010" s="200" t="s">
        <v>162</v>
      </c>
      <c r="E1010" s="213">
        <v>0.4</v>
      </c>
      <c r="F1010" s="201">
        <v>0</v>
      </c>
      <c r="G1010" s="201">
        <v>1</v>
      </c>
      <c r="H1010" s="201">
        <v>0</v>
      </c>
      <c r="I1010" s="201">
        <v>1</v>
      </c>
      <c r="J1010" s="201">
        <v>0</v>
      </c>
      <c r="K1010" s="201">
        <v>0</v>
      </c>
      <c r="L1010" s="201">
        <v>1</v>
      </c>
      <c r="M1010" s="330" t="s">
        <v>172</v>
      </c>
      <c r="N1010" s="202">
        <v>-1</v>
      </c>
    </row>
    <row r="1011" spans="1:14">
      <c r="A1011" s="198" t="s">
        <v>159</v>
      </c>
      <c r="B1011" s="199" t="s">
        <v>191</v>
      </c>
      <c r="C1011" s="199" t="s">
        <v>134</v>
      </c>
      <c r="D1011" s="200" t="s">
        <v>163</v>
      </c>
      <c r="E1011" s="213">
        <v>16.899999999999999</v>
      </c>
      <c r="F1011" s="201">
        <v>3</v>
      </c>
      <c r="G1011" s="201">
        <v>8</v>
      </c>
      <c r="H1011" s="201">
        <v>7</v>
      </c>
      <c r="I1011" s="201">
        <v>7</v>
      </c>
      <c r="J1011" s="201">
        <v>6</v>
      </c>
      <c r="K1011" s="201">
        <v>5</v>
      </c>
      <c r="L1011" s="201">
        <v>10</v>
      </c>
      <c r="M1011" s="330">
        <v>13</v>
      </c>
      <c r="N1011" s="202">
        <v>-0.2307692307692307</v>
      </c>
    </row>
    <row r="1012" spans="1:14" ht="15.75" customHeight="1">
      <c r="A1012" s="198" t="s">
        <v>159</v>
      </c>
      <c r="B1012" s="199" t="s">
        <v>191</v>
      </c>
      <c r="C1012" s="199" t="s">
        <v>134</v>
      </c>
      <c r="D1012" s="200" t="s">
        <v>164</v>
      </c>
      <c r="E1012" s="213">
        <v>16.5</v>
      </c>
      <c r="F1012" s="201">
        <v>3</v>
      </c>
      <c r="G1012" s="201">
        <v>7</v>
      </c>
      <c r="H1012" s="201">
        <v>7</v>
      </c>
      <c r="I1012" s="201">
        <v>6</v>
      </c>
      <c r="J1012" s="201">
        <v>6</v>
      </c>
      <c r="K1012" s="201">
        <v>5</v>
      </c>
      <c r="L1012" s="201">
        <v>9</v>
      </c>
      <c r="M1012" s="330">
        <v>13</v>
      </c>
      <c r="N1012" s="202">
        <v>-0.21212121212121213</v>
      </c>
    </row>
    <row r="1013" spans="1:14" ht="15.75" customHeight="1">
      <c r="A1013" s="198" t="s">
        <v>159</v>
      </c>
      <c r="B1013" s="199" t="s">
        <v>191</v>
      </c>
      <c r="C1013" s="199" t="s">
        <v>134</v>
      </c>
      <c r="D1013" s="200" t="s">
        <v>165</v>
      </c>
      <c r="E1013" s="213">
        <v>192.1</v>
      </c>
      <c r="F1013" s="201">
        <v>158</v>
      </c>
      <c r="G1013" s="201">
        <v>132</v>
      </c>
      <c r="H1013" s="201">
        <v>154</v>
      </c>
      <c r="I1013" s="201">
        <v>120</v>
      </c>
      <c r="J1013" s="201">
        <v>126</v>
      </c>
      <c r="K1013" s="201">
        <v>114</v>
      </c>
      <c r="L1013" s="201">
        <v>90</v>
      </c>
      <c r="M1013" s="330">
        <v>96</v>
      </c>
      <c r="N1013" s="202">
        <v>-0.50026028110359189</v>
      </c>
    </row>
    <row r="1014" spans="1:14" ht="15.75" customHeight="1">
      <c r="A1014" s="198" t="s">
        <v>159</v>
      </c>
      <c r="B1014" s="199" t="s">
        <v>191</v>
      </c>
      <c r="C1014" s="199" t="s">
        <v>134</v>
      </c>
      <c r="D1014" s="203" t="s">
        <v>91</v>
      </c>
      <c r="E1014" s="214">
        <v>209</v>
      </c>
      <c r="F1014" s="204">
        <v>161</v>
      </c>
      <c r="G1014" s="204">
        <v>140</v>
      </c>
      <c r="H1014" s="204">
        <v>161</v>
      </c>
      <c r="I1014" s="204">
        <v>127</v>
      </c>
      <c r="J1014" s="204">
        <v>132</v>
      </c>
      <c r="K1014" s="204">
        <v>119</v>
      </c>
      <c r="L1014" s="204">
        <v>100</v>
      </c>
      <c r="M1014" s="331">
        <v>109</v>
      </c>
      <c r="N1014" s="202">
        <v>-0.4784688995215311</v>
      </c>
    </row>
    <row r="1015" spans="1:14" ht="15.75" customHeight="1">
      <c r="A1015" s="198" t="s">
        <v>159</v>
      </c>
      <c r="B1015" s="199" t="s">
        <v>191</v>
      </c>
      <c r="C1015" s="199" t="s">
        <v>166</v>
      </c>
      <c r="D1015" s="200" t="s">
        <v>162</v>
      </c>
      <c r="E1015" s="213">
        <v>0</v>
      </c>
      <c r="F1015" s="201">
        <v>0</v>
      </c>
      <c r="G1015" s="201">
        <v>0</v>
      </c>
      <c r="H1015" s="201">
        <v>0</v>
      </c>
      <c r="I1015" s="201">
        <v>0</v>
      </c>
      <c r="J1015" s="201">
        <v>0</v>
      </c>
      <c r="K1015" s="201">
        <v>0</v>
      </c>
      <c r="L1015" s="201">
        <v>0</v>
      </c>
      <c r="M1015" s="330" t="s">
        <v>172</v>
      </c>
      <c r="N1015" s="202">
        <v>0</v>
      </c>
    </row>
    <row r="1016" spans="1:14">
      <c r="A1016" s="198" t="s">
        <v>159</v>
      </c>
      <c r="B1016" s="199" t="s">
        <v>191</v>
      </c>
      <c r="C1016" s="199" t="s">
        <v>166</v>
      </c>
      <c r="D1016" s="200" t="s">
        <v>163</v>
      </c>
      <c r="E1016" s="213">
        <v>0.8</v>
      </c>
      <c r="F1016" s="201">
        <v>1</v>
      </c>
      <c r="G1016" s="201">
        <v>2</v>
      </c>
      <c r="H1016" s="201">
        <v>2</v>
      </c>
      <c r="I1016" s="201">
        <v>0</v>
      </c>
      <c r="J1016" s="201">
        <v>1</v>
      </c>
      <c r="K1016" s="201">
        <v>0</v>
      </c>
      <c r="L1016" s="201">
        <v>0</v>
      </c>
      <c r="M1016" s="330">
        <v>0</v>
      </c>
      <c r="N1016" s="202">
        <v>-1</v>
      </c>
    </row>
    <row r="1017" spans="1:14" ht="15.75" customHeight="1">
      <c r="A1017" s="198" t="s">
        <v>159</v>
      </c>
      <c r="B1017" s="199" t="s">
        <v>191</v>
      </c>
      <c r="C1017" s="199" t="s">
        <v>166</v>
      </c>
      <c r="D1017" s="200" t="s">
        <v>164</v>
      </c>
      <c r="E1017" s="213">
        <v>0.8</v>
      </c>
      <c r="F1017" s="201">
        <v>1</v>
      </c>
      <c r="G1017" s="201">
        <v>2</v>
      </c>
      <c r="H1017" s="201">
        <v>2</v>
      </c>
      <c r="I1017" s="201">
        <v>0</v>
      </c>
      <c r="J1017" s="201">
        <v>1</v>
      </c>
      <c r="K1017" s="201">
        <v>0</v>
      </c>
      <c r="L1017" s="201">
        <v>0</v>
      </c>
      <c r="M1017" s="330" t="s">
        <v>172</v>
      </c>
      <c r="N1017" s="202">
        <v>-1</v>
      </c>
    </row>
    <row r="1018" spans="1:14" ht="15.75" customHeight="1">
      <c r="A1018" s="198" t="s">
        <v>159</v>
      </c>
      <c r="B1018" s="199" t="s">
        <v>191</v>
      </c>
      <c r="C1018" s="199" t="s">
        <v>166</v>
      </c>
      <c r="D1018" s="200" t="s">
        <v>165</v>
      </c>
      <c r="E1018" s="213">
        <v>9.9</v>
      </c>
      <c r="F1018" s="201">
        <v>8</v>
      </c>
      <c r="G1018" s="201">
        <v>2</v>
      </c>
      <c r="H1018" s="201">
        <v>9</v>
      </c>
      <c r="I1018" s="201">
        <v>6</v>
      </c>
      <c r="J1018" s="201">
        <v>4</v>
      </c>
      <c r="K1018" s="201">
        <v>3</v>
      </c>
      <c r="L1018" s="201">
        <v>7</v>
      </c>
      <c r="M1018" s="330">
        <v>6</v>
      </c>
      <c r="N1018" s="202">
        <v>-0.39393939393939398</v>
      </c>
    </row>
    <row r="1019" spans="1:14" ht="15.75" customHeight="1">
      <c r="A1019" s="198" t="s">
        <v>159</v>
      </c>
      <c r="B1019" s="199" t="s">
        <v>191</v>
      </c>
      <c r="C1019" s="199" t="s">
        <v>166</v>
      </c>
      <c r="D1019" s="203" t="s">
        <v>91</v>
      </c>
      <c r="E1019" s="214">
        <v>10.7</v>
      </c>
      <c r="F1019" s="204">
        <v>9</v>
      </c>
      <c r="G1019" s="204">
        <v>4</v>
      </c>
      <c r="H1019" s="204">
        <v>11</v>
      </c>
      <c r="I1019" s="204">
        <v>6</v>
      </c>
      <c r="J1019" s="204">
        <v>5</v>
      </c>
      <c r="K1019" s="204">
        <v>3</v>
      </c>
      <c r="L1019" s="204">
        <v>7</v>
      </c>
      <c r="M1019" s="331">
        <v>6</v>
      </c>
      <c r="N1019" s="202">
        <v>-0.43925233644859807</v>
      </c>
    </row>
    <row r="1020" spans="1:14" ht="15.75" customHeight="1">
      <c r="A1020" s="198" t="s">
        <v>159</v>
      </c>
      <c r="B1020" s="199" t="s">
        <v>191</v>
      </c>
      <c r="C1020" s="199" t="s">
        <v>133</v>
      </c>
      <c r="D1020" s="200" t="s">
        <v>162</v>
      </c>
      <c r="E1020" s="213">
        <v>0.4</v>
      </c>
      <c r="F1020" s="201">
        <v>1</v>
      </c>
      <c r="G1020" s="201">
        <v>0</v>
      </c>
      <c r="H1020" s="201">
        <v>0</v>
      </c>
      <c r="I1020" s="201">
        <v>1</v>
      </c>
      <c r="J1020" s="201">
        <v>0</v>
      </c>
      <c r="K1020" s="201">
        <v>0</v>
      </c>
      <c r="L1020" s="201">
        <v>0</v>
      </c>
      <c r="M1020" s="330" t="s">
        <v>172</v>
      </c>
      <c r="N1020" s="202">
        <v>-1</v>
      </c>
    </row>
    <row r="1021" spans="1:14">
      <c r="A1021" s="198" t="s">
        <v>159</v>
      </c>
      <c r="B1021" s="199" t="s">
        <v>191</v>
      </c>
      <c r="C1021" s="199" t="s">
        <v>133</v>
      </c>
      <c r="D1021" s="200" t="s">
        <v>163</v>
      </c>
      <c r="E1021" s="213">
        <v>19.3</v>
      </c>
      <c r="F1021" s="201">
        <v>19</v>
      </c>
      <c r="G1021" s="201">
        <v>10</v>
      </c>
      <c r="H1021" s="201">
        <v>16</v>
      </c>
      <c r="I1021" s="201">
        <v>13</v>
      </c>
      <c r="J1021" s="201">
        <v>13</v>
      </c>
      <c r="K1021" s="201">
        <v>10</v>
      </c>
      <c r="L1021" s="201">
        <v>11</v>
      </c>
      <c r="M1021" s="330">
        <v>11</v>
      </c>
      <c r="N1021" s="202">
        <v>-0.43005181347150262</v>
      </c>
    </row>
    <row r="1022" spans="1:14" ht="15.75" customHeight="1">
      <c r="A1022" s="198" t="s">
        <v>159</v>
      </c>
      <c r="B1022" s="199" t="s">
        <v>191</v>
      </c>
      <c r="C1022" s="199" t="s">
        <v>133</v>
      </c>
      <c r="D1022" s="200" t="s">
        <v>164</v>
      </c>
      <c r="E1022" s="213">
        <v>18.899999999999999</v>
      </c>
      <c r="F1022" s="201">
        <v>18</v>
      </c>
      <c r="G1022" s="201">
        <v>10</v>
      </c>
      <c r="H1022" s="201">
        <v>16</v>
      </c>
      <c r="I1022" s="201">
        <v>12</v>
      </c>
      <c r="J1022" s="201">
        <v>13</v>
      </c>
      <c r="K1022" s="201">
        <v>10</v>
      </c>
      <c r="L1022" s="201">
        <v>11</v>
      </c>
      <c r="M1022" s="330">
        <v>11</v>
      </c>
      <c r="N1022" s="202">
        <v>-0.41798941798941797</v>
      </c>
    </row>
    <row r="1023" spans="1:14" ht="15.75" customHeight="1">
      <c r="A1023" s="198" t="s">
        <v>159</v>
      </c>
      <c r="B1023" s="199" t="s">
        <v>191</v>
      </c>
      <c r="C1023" s="199" t="s">
        <v>133</v>
      </c>
      <c r="D1023" s="200" t="s">
        <v>165</v>
      </c>
      <c r="E1023" s="213">
        <v>60.2</v>
      </c>
      <c r="F1023" s="201">
        <v>66</v>
      </c>
      <c r="G1023" s="201">
        <v>58</v>
      </c>
      <c r="H1023" s="201">
        <v>64</v>
      </c>
      <c r="I1023" s="201">
        <v>50</v>
      </c>
      <c r="J1023" s="201">
        <v>63</v>
      </c>
      <c r="K1023" s="201">
        <v>62</v>
      </c>
      <c r="L1023" s="201">
        <v>50</v>
      </c>
      <c r="M1023" s="330">
        <v>62</v>
      </c>
      <c r="N1023" s="202">
        <v>2.9900332225913574E-2</v>
      </c>
    </row>
    <row r="1024" spans="1:14" ht="15.75" customHeight="1">
      <c r="A1024" s="198" t="s">
        <v>159</v>
      </c>
      <c r="B1024" s="199" t="s">
        <v>191</v>
      </c>
      <c r="C1024" s="199" t="s">
        <v>133</v>
      </c>
      <c r="D1024" s="203" t="s">
        <v>91</v>
      </c>
      <c r="E1024" s="214">
        <v>79.5</v>
      </c>
      <c r="F1024" s="204">
        <v>85</v>
      </c>
      <c r="G1024" s="204">
        <v>68</v>
      </c>
      <c r="H1024" s="204">
        <v>80</v>
      </c>
      <c r="I1024" s="204">
        <v>63</v>
      </c>
      <c r="J1024" s="204">
        <v>76</v>
      </c>
      <c r="K1024" s="204">
        <v>72</v>
      </c>
      <c r="L1024" s="204">
        <v>61</v>
      </c>
      <c r="M1024" s="331">
        <v>73</v>
      </c>
      <c r="N1024" s="202">
        <v>-8.1761006289308172E-2</v>
      </c>
    </row>
    <row r="1025" spans="1:14" ht="15.75" customHeight="1">
      <c r="A1025" s="198" t="s">
        <v>159</v>
      </c>
      <c r="B1025" s="199" t="s">
        <v>191</v>
      </c>
      <c r="C1025" s="199" t="s">
        <v>167</v>
      </c>
      <c r="D1025" s="200" t="s">
        <v>162</v>
      </c>
      <c r="E1025" s="213">
        <v>0</v>
      </c>
      <c r="F1025" s="201">
        <v>0</v>
      </c>
      <c r="G1025" s="201">
        <v>0</v>
      </c>
      <c r="H1025" s="201">
        <v>0</v>
      </c>
      <c r="I1025" s="201">
        <v>0</v>
      </c>
      <c r="J1025" s="201">
        <v>0</v>
      </c>
      <c r="K1025" s="201">
        <v>0</v>
      </c>
      <c r="L1025" s="201">
        <v>0</v>
      </c>
      <c r="M1025" s="330" t="s">
        <v>172</v>
      </c>
      <c r="N1025" s="202">
        <v>0</v>
      </c>
    </row>
    <row r="1026" spans="1:14" ht="15.75" customHeight="1">
      <c r="A1026" s="198" t="s">
        <v>159</v>
      </c>
      <c r="B1026" s="199" t="s">
        <v>191</v>
      </c>
      <c r="C1026" s="199" t="s">
        <v>167</v>
      </c>
      <c r="D1026" s="200" t="s">
        <v>163</v>
      </c>
      <c r="E1026" s="213">
        <v>0.2</v>
      </c>
      <c r="F1026" s="201">
        <v>0</v>
      </c>
      <c r="G1026" s="201">
        <v>0</v>
      </c>
      <c r="H1026" s="201">
        <v>0</v>
      </c>
      <c r="I1026" s="201">
        <v>1</v>
      </c>
      <c r="J1026" s="201">
        <v>2</v>
      </c>
      <c r="K1026" s="201">
        <v>1</v>
      </c>
      <c r="L1026" s="201">
        <v>0</v>
      </c>
      <c r="M1026" s="330">
        <v>1</v>
      </c>
      <c r="N1026" s="202">
        <v>4</v>
      </c>
    </row>
    <row r="1027" spans="1:14" ht="15.75" customHeight="1">
      <c r="A1027" s="198" t="s">
        <v>159</v>
      </c>
      <c r="B1027" s="199" t="s">
        <v>191</v>
      </c>
      <c r="C1027" s="199" t="s">
        <v>167</v>
      </c>
      <c r="D1027" s="200" t="s">
        <v>164</v>
      </c>
      <c r="E1027" s="213">
        <v>0.2</v>
      </c>
      <c r="F1027" s="201">
        <v>0</v>
      </c>
      <c r="G1027" s="201">
        <v>0</v>
      </c>
      <c r="H1027" s="201">
        <v>0</v>
      </c>
      <c r="I1027" s="201">
        <v>1</v>
      </c>
      <c r="J1027" s="201">
        <v>2</v>
      </c>
      <c r="K1027" s="201">
        <v>1</v>
      </c>
      <c r="L1027" s="201">
        <v>0</v>
      </c>
      <c r="M1027" s="330">
        <v>1</v>
      </c>
      <c r="N1027" s="202">
        <v>4</v>
      </c>
    </row>
    <row r="1028" spans="1:14" ht="15.75" customHeight="1">
      <c r="A1028" s="198" t="s">
        <v>159</v>
      </c>
      <c r="B1028" s="199" t="s">
        <v>191</v>
      </c>
      <c r="C1028" s="199" t="s">
        <v>167</v>
      </c>
      <c r="D1028" s="200" t="s">
        <v>165</v>
      </c>
      <c r="E1028" s="213">
        <v>2.4</v>
      </c>
      <c r="F1028" s="201">
        <v>2</v>
      </c>
      <c r="G1028" s="201">
        <v>0</v>
      </c>
      <c r="H1028" s="201">
        <v>2</v>
      </c>
      <c r="I1028" s="201">
        <v>3</v>
      </c>
      <c r="J1028" s="201">
        <v>2</v>
      </c>
      <c r="K1028" s="201">
        <v>2</v>
      </c>
      <c r="L1028" s="201">
        <v>1</v>
      </c>
      <c r="M1028" s="330">
        <v>1</v>
      </c>
      <c r="N1028" s="202">
        <v>-0.58333333333333337</v>
      </c>
    </row>
    <row r="1029" spans="1:14" ht="15.75" customHeight="1">
      <c r="A1029" s="198" t="s">
        <v>159</v>
      </c>
      <c r="B1029" s="199" t="s">
        <v>191</v>
      </c>
      <c r="C1029" s="199" t="s">
        <v>167</v>
      </c>
      <c r="D1029" s="203" t="s">
        <v>91</v>
      </c>
      <c r="E1029" s="214">
        <v>2.6</v>
      </c>
      <c r="F1029" s="204">
        <v>2</v>
      </c>
      <c r="G1029" s="204">
        <v>0</v>
      </c>
      <c r="H1029" s="204">
        <v>2</v>
      </c>
      <c r="I1029" s="204">
        <v>4</v>
      </c>
      <c r="J1029" s="204">
        <v>4</v>
      </c>
      <c r="K1029" s="204">
        <v>3</v>
      </c>
      <c r="L1029" s="204">
        <v>1</v>
      </c>
      <c r="M1029" s="331">
        <v>2</v>
      </c>
      <c r="N1029" s="202">
        <v>-0.23076923076923078</v>
      </c>
    </row>
    <row r="1030" spans="1:14" ht="15.75" customHeight="1">
      <c r="A1030" s="198" t="s">
        <v>159</v>
      </c>
      <c r="B1030" s="199" t="s">
        <v>191</v>
      </c>
      <c r="C1030" s="199" t="s">
        <v>168</v>
      </c>
      <c r="D1030" s="200" t="s">
        <v>162</v>
      </c>
      <c r="E1030" s="213">
        <v>0.2</v>
      </c>
      <c r="F1030" s="201">
        <v>0</v>
      </c>
      <c r="G1030" s="201">
        <v>0</v>
      </c>
      <c r="H1030" s="201">
        <v>0</v>
      </c>
      <c r="I1030" s="201">
        <v>0</v>
      </c>
      <c r="J1030" s="201">
        <v>0</v>
      </c>
      <c r="K1030" s="201">
        <v>0</v>
      </c>
      <c r="L1030" s="201">
        <v>0</v>
      </c>
      <c r="M1030" s="330" t="s">
        <v>172</v>
      </c>
      <c r="N1030" s="202">
        <v>-1</v>
      </c>
    </row>
    <row r="1031" spans="1:14" ht="15.75" customHeight="1">
      <c r="A1031" s="198" t="s">
        <v>159</v>
      </c>
      <c r="B1031" s="199" t="s">
        <v>191</v>
      </c>
      <c r="C1031" s="199" t="s">
        <v>168</v>
      </c>
      <c r="D1031" s="200" t="s">
        <v>163</v>
      </c>
      <c r="E1031" s="213">
        <v>16.3</v>
      </c>
      <c r="F1031" s="201">
        <v>9</v>
      </c>
      <c r="G1031" s="201">
        <v>14</v>
      </c>
      <c r="H1031" s="201">
        <v>18</v>
      </c>
      <c r="I1031" s="201">
        <v>13</v>
      </c>
      <c r="J1031" s="201">
        <v>24</v>
      </c>
      <c r="K1031" s="201">
        <v>11</v>
      </c>
      <c r="L1031" s="201">
        <v>22</v>
      </c>
      <c r="M1031" s="330">
        <v>13</v>
      </c>
      <c r="N1031" s="202">
        <v>-0.20245398773006137</v>
      </c>
    </row>
    <row r="1032" spans="1:14" ht="15.75" customHeight="1">
      <c r="A1032" s="198" t="s">
        <v>159</v>
      </c>
      <c r="B1032" s="199" t="s">
        <v>191</v>
      </c>
      <c r="C1032" s="199" t="s">
        <v>168</v>
      </c>
      <c r="D1032" s="200" t="s">
        <v>164</v>
      </c>
      <c r="E1032" s="213">
        <v>16.100000000000001</v>
      </c>
      <c r="F1032" s="201">
        <v>9</v>
      </c>
      <c r="G1032" s="201">
        <v>14</v>
      </c>
      <c r="H1032" s="201">
        <v>18</v>
      </c>
      <c r="I1032" s="201">
        <v>13</v>
      </c>
      <c r="J1032" s="201">
        <v>24</v>
      </c>
      <c r="K1032" s="201">
        <v>11</v>
      </c>
      <c r="L1032" s="201">
        <v>22</v>
      </c>
      <c r="M1032" s="330">
        <v>13</v>
      </c>
      <c r="N1032" s="202">
        <v>-0.19254658385093174</v>
      </c>
    </row>
    <row r="1033" spans="1:14" ht="15.75" customHeight="1">
      <c r="A1033" s="198" t="s">
        <v>159</v>
      </c>
      <c r="B1033" s="199" t="s">
        <v>191</v>
      </c>
      <c r="C1033" s="199" t="s">
        <v>168</v>
      </c>
      <c r="D1033" s="200" t="s">
        <v>165</v>
      </c>
      <c r="E1033" s="213">
        <v>70.599999999999994</v>
      </c>
      <c r="F1033" s="201">
        <v>69</v>
      </c>
      <c r="G1033" s="201">
        <v>73</v>
      </c>
      <c r="H1033" s="201">
        <v>53</v>
      </c>
      <c r="I1033" s="201">
        <v>63</v>
      </c>
      <c r="J1033" s="201">
        <v>66</v>
      </c>
      <c r="K1033" s="201">
        <v>73</v>
      </c>
      <c r="L1033" s="201">
        <v>56</v>
      </c>
      <c r="M1033" s="330">
        <v>62</v>
      </c>
      <c r="N1033" s="202">
        <v>-0.12181303116147302</v>
      </c>
    </row>
    <row r="1034" spans="1:14" ht="15.75" customHeight="1">
      <c r="A1034" s="198" t="s">
        <v>159</v>
      </c>
      <c r="B1034" s="199" t="s">
        <v>191</v>
      </c>
      <c r="C1034" s="199" t="s">
        <v>168</v>
      </c>
      <c r="D1034" s="203" t="s">
        <v>91</v>
      </c>
      <c r="E1034" s="214">
        <v>86.9</v>
      </c>
      <c r="F1034" s="204">
        <v>78</v>
      </c>
      <c r="G1034" s="204">
        <v>87</v>
      </c>
      <c r="H1034" s="204">
        <v>71</v>
      </c>
      <c r="I1034" s="204">
        <v>76</v>
      </c>
      <c r="J1034" s="204">
        <v>90</v>
      </c>
      <c r="K1034" s="204">
        <v>84</v>
      </c>
      <c r="L1034" s="204">
        <v>78</v>
      </c>
      <c r="M1034" s="331">
        <v>75</v>
      </c>
      <c r="N1034" s="202">
        <v>-0.13693901035673192</v>
      </c>
    </row>
    <row r="1035" spans="1:14" ht="15.75" customHeight="1">
      <c r="A1035" s="198" t="s">
        <v>159</v>
      </c>
      <c r="B1035" s="199" t="s">
        <v>191</v>
      </c>
      <c r="C1035" s="199" t="s">
        <v>131</v>
      </c>
      <c r="D1035" s="200" t="s">
        <v>162</v>
      </c>
      <c r="E1035" s="213">
        <v>0.4</v>
      </c>
      <c r="F1035" s="201">
        <v>0</v>
      </c>
      <c r="G1035" s="201">
        <v>1</v>
      </c>
      <c r="H1035" s="201">
        <v>1</v>
      </c>
      <c r="I1035" s="201">
        <v>0</v>
      </c>
      <c r="J1035" s="201">
        <v>1</v>
      </c>
      <c r="K1035" s="201">
        <v>1</v>
      </c>
      <c r="L1035" s="201">
        <v>1</v>
      </c>
      <c r="M1035" s="330" t="s">
        <v>172</v>
      </c>
      <c r="N1035" s="202">
        <v>-1</v>
      </c>
    </row>
    <row r="1036" spans="1:14" ht="15.75" customHeight="1">
      <c r="A1036" s="198" t="s">
        <v>159</v>
      </c>
      <c r="B1036" s="199" t="s">
        <v>191</v>
      </c>
      <c r="C1036" s="199" t="s">
        <v>131</v>
      </c>
      <c r="D1036" s="200" t="s">
        <v>163</v>
      </c>
      <c r="E1036" s="213">
        <v>18.600000000000001</v>
      </c>
      <c r="F1036" s="201">
        <v>17</v>
      </c>
      <c r="G1036" s="201">
        <v>16</v>
      </c>
      <c r="H1036" s="201">
        <v>17</v>
      </c>
      <c r="I1036" s="201">
        <v>10</v>
      </c>
      <c r="J1036" s="201">
        <v>10</v>
      </c>
      <c r="K1036" s="201">
        <v>22</v>
      </c>
      <c r="L1036" s="201">
        <v>17</v>
      </c>
      <c r="M1036" s="330">
        <v>19</v>
      </c>
      <c r="N1036" s="202">
        <v>2.1505376344085943E-2</v>
      </c>
    </row>
    <row r="1037" spans="1:14" ht="15.75" customHeight="1">
      <c r="A1037" s="198" t="s">
        <v>159</v>
      </c>
      <c r="B1037" s="199" t="s">
        <v>191</v>
      </c>
      <c r="C1037" s="199" t="s">
        <v>131</v>
      </c>
      <c r="D1037" s="200" t="s">
        <v>164</v>
      </c>
      <c r="E1037" s="213">
        <v>18.2</v>
      </c>
      <c r="F1037" s="201">
        <v>17</v>
      </c>
      <c r="G1037" s="201">
        <v>15</v>
      </c>
      <c r="H1037" s="201">
        <v>16</v>
      </c>
      <c r="I1037" s="201">
        <v>10</v>
      </c>
      <c r="J1037" s="201">
        <v>9</v>
      </c>
      <c r="K1037" s="201">
        <v>21</v>
      </c>
      <c r="L1037" s="201">
        <v>16</v>
      </c>
      <c r="M1037" s="330">
        <v>19</v>
      </c>
      <c r="N1037" s="202">
        <v>4.3956043956043994E-2</v>
      </c>
    </row>
    <row r="1038" spans="1:14" ht="15.75" customHeight="1">
      <c r="A1038" s="198" t="s">
        <v>159</v>
      </c>
      <c r="B1038" s="199" t="s">
        <v>191</v>
      </c>
      <c r="C1038" s="199" t="s">
        <v>131</v>
      </c>
      <c r="D1038" s="200" t="s">
        <v>165</v>
      </c>
      <c r="E1038" s="213">
        <v>55</v>
      </c>
      <c r="F1038" s="201">
        <v>48</v>
      </c>
      <c r="G1038" s="201">
        <v>56</v>
      </c>
      <c r="H1038" s="201">
        <v>41</v>
      </c>
      <c r="I1038" s="201">
        <v>32</v>
      </c>
      <c r="J1038" s="201">
        <v>31</v>
      </c>
      <c r="K1038" s="201">
        <v>36</v>
      </c>
      <c r="L1038" s="201">
        <v>30</v>
      </c>
      <c r="M1038" s="330">
        <v>37</v>
      </c>
      <c r="N1038" s="202">
        <v>-0.32727272727272727</v>
      </c>
    </row>
    <row r="1039" spans="1:14" ht="15.75" customHeight="1">
      <c r="A1039" s="198" t="s">
        <v>159</v>
      </c>
      <c r="B1039" s="199" t="s">
        <v>191</v>
      </c>
      <c r="C1039" s="199" t="s">
        <v>131</v>
      </c>
      <c r="D1039" s="203" t="s">
        <v>91</v>
      </c>
      <c r="E1039" s="214">
        <v>73.599999999999994</v>
      </c>
      <c r="F1039" s="204">
        <v>65</v>
      </c>
      <c r="G1039" s="204">
        <v>72</v>
      </c>
      <c r="H1039" s="204">
        <v>58</v>
      </c>
      <c r="I1039" s="204">
        <v>42</v>
      </c>
      <c r="J1039" s="204">
        <v>41</v>
      </c>
      <c r="K1039" s="204">
        <v>58</v>
      </c>
      <c r="L1039" s="204">
        <v>47</v>
      </c>
      <c r="M1039" s="331">
        <v>56</v>
      </c>
      <c r="N1039" s="202">
        <v>-0.23913043478260865</v>
      </c>
    </row>
    <row r="1040" spans="1:14" ht="15.75" customHeight="1">
      <c r="A1040" s="198" t="s">
        <v>159</v>
      </c>
      <c r="B1040" s="199" t="s">
        <v>191</v>
      </c>
      <c r="C1040" s="199" t="s">
        <v>169</v>
      </c>
      <c r="D1040" s="200" t="s">
        <v>162</v>
      </c>
      <c r="E1040" s="213">
        <v>0</v>
      </c>
      <c r="F1040" s="201">
        <v>0</v>
      </c>
      <c r="G1040" s="201">
        <v>0</v>
      </c>
      <c r="H1040" s="201">
        <v>0</v>
      </c>
      <c r="I1040" s="201">
        <v>0</v>
      </c>
      <c r="J1040" s="201">
        <v>0</v>
      </c>
      <c r="K1040" s="201">
        <v>0</v>
      </c>
      <c r="L1040" s="201">
        <v>0</v>
      </c>
      <c r="M1040" s="330" t="s">
        <v>172</v>
      </c>
      <c r="N1040" s="202">
        <v>0</v>
      </c>
    </row>
    <row r="1041" spans="1:14">
      <c r="A1041" s="198" t="s">
        <v>159</v>
      </c>
      <c r="B1041" s="199" t="s">
        <v>191</v>
      </c>
      <c r="C1041" s="199" t="s">
        <v>169</v>
      </c>
      <c r="D1041" s="200" t="s">
        <v>163</v>
      </c>
      <c r="E1041" s="213">
        <v>0</v>
      </c>
      <c r="F1041" s="201">
        <v>1</v>
      </c>
      <c r="G1041" s="201">
        <v>0</v>
      </c>
      <c r="H1041" s="201">
        <v>0</v>
      </c>
      <c r="I1041" s="201">
        <v>0</v>
      </c>
      <c r="J1041" s="201">
        <v>0</v>
      </c>
      <c r="K1041" s="201">
        <v>1</v>
      </c>
      <c r="L1041" s="201">
        <v>0</v>
      </c>
      <c r="M1041" s="330">
        <v>0</v>
      </c>
      <c r="N1041" s="202">
        <v>0</v>
      </c>
    </row>
    <row r="1042" spans="1:14" ht="15.75" customHeight="1">
      <c r="A1042" s="198" t="s">
        <v>159</v>
      </c>
      <c r="B1042" s="199" t="s">
        <v>191</v>
      </c>
      <c r="C1042" s="199" t="s">
        <v>169</v>
      </c>
      <c r="D1042" s="200" t="s">
        <v>164</v>
      </c>
      <c r="E1042" s="213">
        <v>0</v>
      </c>
      <c r="F1042" s="201">
        <v>1</v>
      </c>
      <c r="G1042" s="201">
        <v>0</v>
      </c>
      <c r="H1042" s="201">
        <v>0</v>
      </c>
      <c r="I1042" s="201">
        <v>0</v>
      </c>
      <c r="J1042" s="201">
        <v>0</v>
      </c>
      <c r="K1042" s="201">
        <v>1</v>
      </c>
      <c r="L1042" s="201">
        <v>0</v>
      </c>
      <c r="M1042" s="330" t="s">
        <v>172</v>
      </c>
      <c r="N1042" s="202">
        <v>0</v>
      </c>
    </row>
    <row r="1043" spans="1:14" ht="15.75" customHeight="1">
      <c r="A1043" s="198" t="s">
        <v>159</v>
      </c>
      <c r="B1043" s="199" t="s">
        <v>191</v>
      </c>
      <c r="C1043" s="199" t="s">
        <v>169</v>
      </c>
      <c r="D1043" s="200" t="s">
        <v>165</v>
      </c>
      <c r="E1043" s="213">
        <v>0</v>
      </c>
      <c r="F1043" s="201">
        <v>3</v>
      </c>
      <c r="G1043" s="201">
        <v>1</v>
      </c>
      <c r="H1043" s="201">
        <v>5</v>
      </c>
      <c r="I1043" s="201">
        <v>4</v>
      </c>
      <c r="J1043" s="201">
        <v>1</v>
      </c>
      <c r="K1043" s="201">
        <v>2</v>
      </c>
      <c r="L1043" s="201">
        <v>0</v>
      </c>
      <c r="M1043" s="330" t="s">
        <v>172</v>
      </c>
      <c r="N1043" s="202">
        <v>0</v>
      </c>
    </row>
    <row r="1044" spans="1:14" ht="15.75" customHeight="1">
      <c r="A1044" s="198" t="s">
        <v>159</v>
      </c>
      <c r="B1044" s="199" t="s">
        <v>191</v>
      </c>
      <c r="C1044" s="199" t="s">
        <v>169</v>
      </c>
      <c r="D1044" s="203" t="s">
        <v>91</v>
      </c>
      <c r="E1044" s="214">
        <v>0</v>
      </c>
      <c r="F1044" s="204">
        <v>4</v>
      </c>
      <c r="G1044" s="204">
        <v>1</v>
      </c>
      <c r="H1044" s="204">
        <v>5</v>
      </c>
      <c r="I1044" s="204">
        <v>4</v>
      </c>
      <c r="J1044" s="204">
        <v>1</v>
      </c>
      <c r="K1044" s="204">
        <v>3</v>
      </c>
      <c r="L1044" s="204">
        <v>0</v>
      </c>
      <c r="M1044" s="331">
        <v>0</v>
      </c>
      <c r="N1044" s="202">
        <v>0</v>
      </c>
    </row>
    <row r="1045" spans="1:14" ht="15.75" customHeight="1">
      <c r="A1045" s="198" t="s">
        <v>159</v>
      </c>
      <c r="B1045" s="199" t="s">
        <v>191</v>
      </c>
      <c r="C1045" s="199" t="s">
        <v>139</v>
      </c>
      <c r="D1045" s="200" t="s">
        <v>162</v>
      </c>
      <c r="E1045" s="213">
        <v>0</v>
      </c>
      <c r="F1045" s="201">
        <v>0</v>
      </c>
      <c r="G1045" s="201">
        <v>0</v>
      </c>
      <c r="H1045" s="201">
        <v>0</v>
      </c>
      <c r="I1045" s="201">
        <v>0</v>
      </c>
      <c r="J1045" s="201">
        <v>0</v>
      </c>
      <c r="K1045" s="201">
        <v>0</v>
      </c>
      <c r="L1045" s="201">
        <v>0</v>
      </c>
      <c r="M1045" s="330" t="s">
        <v>172</v>
      </c>
      <c r="N1045" s="202">
        <v>0</v>
      </c>
    </row>
    <row r="1046" spans="1:14" ht="15.75" customHeight="1">
      <c r="A1046" s="198" t="s">
        <v>159</v>
      </c>
      <c r="B1046" s="199" t="s">
        <v>191</v>
      </c>
      <c r="C1046" s="199" t="s">
        <v>139</v>
      </c>
      <c r="D1046" s="200" t="s">
        <v>163</v>
      </c>
      <c r="E1046" s="213">
        <v>0.3</v>
      </c>
      <c r="F1046" s="201">
        <v>0</v>
      </c>
      <c r="G1046" s="201">
        <v>1</v>
      </c>
      <c r="H1046" s="201">
        <v>0</v>
      </c>
      <c r="I1046" s="201">
        <v>0</v>
      </c>
      <c r="J1046" s="201">
        <v>0</v>
      </c>
      <c r="K1046" s="201">
        <v>0</v>
      </c>
      <c r="L1046" s="201">
        <v>0</v>
      </c>
      <c r="M1046" s="330">
        <v>0</v>
      </c>
      <c r="N1046" s="202">
        <v>-1</v>
      </c>
    </row>
    <row r="1047" spans="1:14" ht="15.75" customHeight="1">
      <c r="A1047" s="198" t="s">
        <v>159</v>
      </c>
      <c r="B1047" s="199" t="s">
        <v>191</v>
      </c>
      <c r="C1047" s="199" t="s">
        <v>139</v>
      </c>
      <c r="D1047" s="200" t="s">
        <v>164</v>
      </c>
      <c r="E1047" s="213">
        <v>0.3</v>
      </c>
      <c r="F1047" s="201">
        <v>0</v>
      </c>
      <c r="G1047" s="201">
        <v>1</v>
      </c>
      <c r="H1047" s="201">
        <v>0</v>
      </c>
      <c r="I1047" s="201">
        <v>0</v>
      </c>
      <c r="J1047" s="201">
        <v>0</v>
      </c>
      <c r="K1047" s="201">
        <v>0</v>
      </c>
      <c r="L1047" s="201">
        <v>0</v>
      </c>
      <c r="M1047" s="330" t="s">
        <v>172</v>
      </c>
      <c r="N1047" s="202">
        <v>-1</v>
      </c>
    </row>
    <row r="1048" spans="1:14" ht="15.75" customHeight="1">
      <c r="A1048" s="198" t="s">
        <v>159</v>
      </c>
      <c r="B1048" s="199" t="s">
        <v>191</v>
      </c>
      <c r="C1048" s="199" t="s">
        <v>139</v>
      </c>
      <c r="D1048" s="200" t="s">
        <v>165</v>
      </c>
      <c r="E1048" s="213">
        <v>6</v>
      </c>
      <c r="F1048" s="201">
        <v>0</v>
      </c>
      <c r="G1048" s="201">
        <v>4</v>
      </c>
      <c r="H1048" s="201">
        <v>3</v>
      </c>
      <c r="I1048" s="201">
        <v>1</v>
      </c>
      <c r="J1048" s="201">
        <v>2</v>
      </c>
      <c r="K1048" s="201">
        <v>2</v>
      </c>
      <c r="L1048" s="201">
        <v>4</v>
      </c>
      <c r="M1048" s="330">
        <v>3</v>
      </c>
      <c r="N1048" s="202">
        <v>-0.5</v>
      </c>
    </row>
    <row r="1049" spans="1:14" ht="15.75" customHeight="1">
      <c r="A1049" s="198" t="s">
        <v>159</v>
      </c>
      <c r="B1049" s="199" t="s">
        <v>191</v>
      </c>
      <c r="C1049" s="199" t="s">
        <v>139</v>
      </c>
      <c r="D1049" s="203" t="s">
        <v>91</v>
      </c>
      <c r="E1049" s="214">
        <v>6.3</v>
      </c>
      <c r="F1049" s="204">
        <v>0</v>
      </c>
      <c r="G1049" s="204">
        <v>5</v>
      </c>
      <c r="H1049" s="204">
        <v>3</v>
      </c>
      <c r="I1049" s="204">
        <v>1</v>
      </c>
      <c r="J1049" s="204">
        <v>2</v>
      </c>
      <c r="K1049" s="204">
        <v>2</v>
      </c>
      <c r="L1049" s="204">
        <v>4</v>
      </c>
      <c r="M1049" s="331">
        <v>3</v>
      </c>
      <c r="N1049" s="202">
        <v>-0.52380952380952384</v>
      </c>
    </row>
    <row r="1050" spans="1:14" ht="15.75" customHeight="1">
      <c r="A1050" s="198" t="s">
        <v>159</v>
      </c>
      <c r="B1050" s="199" t="s">
        <v>191</v>
      </c>
      <c r="C1050" s="205" t="s">
        <v>91</v>
      </c>
      <c r="D1050" s="203" t="s">
        <v>162</v>
      </c>
      <c r="E1050" s="214">
        <v>1.4</v>
      </c>
      <c r="F1050" s="204">
        <v>1</v>
      </c>
      <c r="G1050" s="204">
        <v>2</v>
      </c>
      <c r="H1050" s="204">
        <v>1</v>
      </c>
      <c r="I1050" s="204">
        <v>2</v>
      </c>
      <c r="J1050" s="204">
        <v>1</v>
      </c>
      <c r="K1050" s="204">
        <v>1</v>
      </c>
      <c r="L1050" s="204">
        <v>2</v>
      </c>
      <c r="M1050" s="331">
        <v>1</v>
      </c>
      <c r="N1050" s="202">
        <v>-0.28571428571428564</v>
      </c>
    </row>
    <row r="1051" spans="1:14" ht="15.75" customHeight="1">
      <c r="A1051" s="198" t="s">
        <v>159</v>
      </c>
      <c r="B1051" s="199" t="s">
        <v>186</v>
      </c>
      <c r="C1051" s="205" t="s">
        <v>91</v>
      </c>
      <c r="D1051" s="203" t="s">
        <v>163</v>
      </c>
      <c r="E1051" s="214">
        <v>111.3</v>
      </c>
      <c r="F1051" s="204">
        <v>72</v>
      </c>
      <c r="G1051" s="204">
        <v>80</v>
      </c>
      <c r="H1051" s="204">
        <v>91</v>
      </c>
      <c r="I1051" s="204">
        <v>78</v>
      </c>
      <c r="J1051" s="204">
        <v>77</v>
      </c>
      <c r="K1051" s="204">
        <v>86</v>
      </c>
      <c r="L1051" s="204">
        <v>68</v>
      </c>
      <c r="M1051" s="331">
        <v>98</v>
      </c>
      <c r="N1051" s="202">
        <v>-0.11949685534591192</v>
      </c>
    </row>
    <row r="1052" spans="1:14" ht="15.75" customHeight="1">
      <c r="A1052" s="198" t="s">
        <v>159</v>
      </c>
      <c r="B1052" s="199" t="s">
        <v>191</v>
      </c>
      <c r="C1052" s="205" t="s">
        <v>91</v>
      </c>
      <c r="D1052" s="203" t="s">
        <v>164</v>
      </c>
      <c r="E1052" s="214">
        <v>74.400000000000006</v>
      </c>
      <c r="F1052" s="204">
        <v>49</v>
      </c>
      <c r="G1052" s="204">
        <v>53</v>
      </c>
      <c r="H1052" s="204">
        <v>59</v>
      </c>
      <c r="I1052" s="204">
        <v>45</v>
      </c>
      <c r="J1052" s="204">
        <v>55</v>
      </c>
      <c r="K1052" s="204">
        <v>52</v>
      </c>
      <c r="L1052" s="204">
        <v>58</v>
      </c>
      <c r="M1052" s="331">
        <v>62</v>
      </c>
      <c r="N1052" s="202">
        <v>-0.16666666666666674</v>
      </c>
    </row>
    <row r="1053" spans="1:14" ht="15.75" customHeight="1">
      <c r="A1053" s="198" t="s">
        <v>159</v>
      </c>
      <c r="B1053" s="199" t="s">
        <v>191</v>
      </c>
      <c r="C1053" s="205" t="s">
        <v>91</v>
      </c>
      <c r="D1053" s="203" t="s">
        <v>165</v>
      </c>
      <c r="E1053" s="214">
        <v>412.4</v>
      </c>
      <c r="F1053" s="204">
        <v>372</v>
      </c>
      <c r="G1053" s="204">
        <v>334</v>
      </c>
      <c r="H1053" s="204">
        <v>346</v>
      </c>
      <c r="I1053" s="204">
        <v>302</v>
      </c>
      <c r="J1053" s="204">
        <v>302</v>
      </c>
      <c r="K1053" s="204">
        <v>307</v>
      </c>
      <c r="L1053" s="204">
        <v>247</v>
      </c>
      <c r="M1053" s="331">
        <v>277</v>
      </c>
      <c r="N1053" s="202">
        <v>-0.32832201745877787</v>
      </c>
    </row>
    <row r="1054" spans="1:14" ht="15.75" customHeight="1">
      <c r="A1054" s="198" t="s">
        <v>159</v>
      </c>
      <c r="B1054" s="199" t="s">
        <v>191</v>
      </c>
      <c r="C1054" s="205" t="s">
        <v>91</v>
      </c>
      <c r="D1054" s="203" t="s">
        <v>91</v>
      </c>
      <c r="E1054" s="214">
        <v>488.3</v>
      </c>
      <c r="F1054" s="204">
        <v>422</v>
      </c>
      <c r="G1054" s="204">
        <v>389</v>
      </c>
      <c r="H1054" s="204">
        <v>406</v>
      </c>
      <c r="I1054" s="204">
        <v>349</v>
      </c>
      <c r="J1054" s="204">
        <v>358</v>
      </c>
      <c r="K1054" s="204">
        <v>360</v>
      </c>
      <c r="L1054" s="204">
        <v>307</v>
      </c>
      <c r="M1054" s="331">
        <v>340</v>
      </c>
      <c r="N1054" s="202">
        <v>-0.30370673766127382</v>
      </c>
    </row>
    <row r="1055" spans="1:14" ht="15.75" customHeight="1">
      <c r="A1055" s="198" t="s">
        <v>175</v>
      </c>
      <c r="B1055" s="199" t="s">
        <v>192</v>
      </c>
      <c r="C1055" s="199" t="s">
        <v>161</v>
      </c>
      <c r="D1055" s="200" t="s">
        <v>162</v>
      </c>
      <c r="E1055" s="215">
        <v>0</v>
      </c>
      <c r="F1055" s="201">
        <v>0</v>
      </c>
      <c r="G1055" s="201">
        <v>0</v>
      </c>
      <c r="H1055" s="201">
        <v>0</v>
      </c>
      <c r="I1055" s="201">
        <v>0</v>
      </c>
      <c r="J1055" s="201">
        <v>0</v>
      </c>
      <c r="K1055" s="201">
        <v>0</v>
      </c>
      <c r="L1055" s="201">
        <v>0</v>
      </c>
      <c r="M1055" s="330" t="s">
        <v>172</v>
      </c>
      <c r="N1055" s="202">
        <v>0</v>
      </c>
    </row>
    <row r="1056" spans="1:14">
      <c r="A1056" s="198" t="s">
        <v>175</v>
      </c>
      <c r="B1056" s="199" t="s">
        <v>192</v>
      </c>
      <c r="C1056" s="199" t="s">
        <v>161</v>
      </c>
      <c r="D1056" s="200" t="s">
        <v>163</v>
      </c>
      <c r="E1056" s="215">
        <v>13</v>
      </c>
      <c r="F1056" s="201">
        <v>3</v>
      </c>
      <c r="G1056" s="201">
        <v>7</v>
      </c>
      <c r="H1056" s="201">
        <v>2</v>
      </c>
      <c r="I1056" s="201">
        <v>1</v>
      </c>
      <c r="J1056" s="201">
        <v>6</v>
      </c>
      <c r="K1056" s="201">
        <v>7</v>
      </c>
      <c r="L1056" s="201">
        <v>9</v>
      </c>
      <c r="M1056" s="330">
        <v>9</v>
      </c>
      <c r="N1056" s="202">
        <v>-0.30769230769230771</v>
      </c>
    </row>
    <row r="1057" spans="1:14" ht="15.75" customHeight="1">
      <c r="A1057" s="198" t="s">
        <v>175</v>
      </c>
      <c r="B1057" s="199" t="s">
        <v>192</v>
      </c>
      <c r="C1057" s="199" t="s">
        <v>161</v>
      </c>
      <c r="D1057" s="200" t="s">
        <v>164</v>
      </c>
      <c r="E1057" s="215">
        <v>13</v>
      </c>
      <c r="F1057" s="201">
        <v>3</v>
      </c>
      <c r="G1057" s="201">
        <v>7</v>
      </c>
      <c r="H1057" s="201">
        <v>2</v>
      </c>
      <c r="I1057" s="201">
        <v>1</v>
      </c>
      <c r="J1057" s="201">
        <v>6</v>
      </c>
      <c r="K1057" s="201">
        <v>7</v>
      </c>
      <c r="L1057" s="201">
        <v>9</v>
      </c>
      <c r="M1057" s="330">
        <v>9</v>
      </c>
      <c r="N1057" s="202">
        <v>-0.30769230769230771</v>
      </c>
    </row>
    <row r="1058" spans="1:14" ht="15.75" customHeight="1">
      <c r="A1058" s="198" t="s">
        <v>175</v>
      </c>
      <c r="B1058" s="199" t="s">
        <v>192</v>
      </c>
      <c r="C1058" s="199" t="s">
        <v>161</v>
      </c>
      <c r="D1058" s="200" t="s">
        <v>165</v>
      </c>
      <c r="E1058" s="215">
        <v>92.8</v>
      </c>
      <c r="F1058" s="201">
        <v>81</v>
      </c>
      <c r="G1058" s="201">
        <v>79</v>
      </c>
      <c r="H1058" s="201">
        <v>70</v>
      </c>
      <c r="I1058" s="201">
        <v>40</v>
      </c>
      <c r="J1058" s="201">
        <v>57</v>
      </c>
      <c r="K1058" s="201">
        <v>41</v>
      </c>
      <c r="L1058" s="201">
        <v>49</v>
      </c>
      <c r="M1058" s="330">
        <v>58</v>
      </c>
      <c r="N1058" s="202">
        <v>-0.375</v>
      </c>
    </row>
    <row r="1059" spans="1:14" ht="15.75" customHeight="1">
      <c r="A1059" s="198" t="s">
        <v>175</v>
      </c>
      <c r="B1059" s="199" t="s">
        <v>192</v>
      </c>
      <c r="C1059" s="199" t="s">
        <v>161</v>
      </c>
      <c r="D1059" s="203" t="s">
        <v>91</v>
      </c>
      <c r="E1059" s="216">
        <v>105.8</v>
      </c>
      <c r="F1059" s="204">
        <v>84</v>
      </c>
      <c r="G1059" s="204">
        <v>86</v>
      </c>
      <c r="H1059" s="204">
        <v>72</v>
      </c>
      <c r="I1059" s="204">
        <v>41</v>
      </c>
      <c r="J1059" s="204">
        <v>63</v>
      </c>
      <c r="K1059" s="204">
        <v>48</v>
      </c>
      <c r="L1059" s="204">
        <v>58</v>
      </c>
      <c r="M1059" s="331">
        <v>67</v>
      </c>
      <c r="N1059" s="202">
        <v>-0.3667296786389414</v>
      </c>
    </row>
    <row r="1060" spans="1:14" ht="15.75" customHeight="1">
      <c r="A1060" s="198" t="s">
        <v>175</v>
      </c>
      <c r="B1060" s="199" t="s">
        <v>192</v>
      </c>
      <c r="C1060" s="199" t="s">
        <v>134</v>
      </c>
      <c r="D1060" s="200" t="s">
        <v>162</v>
      </c>
      <c r="E1060" s="215">
        <v>0.4</v>
      </c>
      <c r="F1060" s="201">
        <v>0</v>
      </c>
      <c r="G1060" s="201">
        <v>0</v>
      </c>
      <c r="H1060" s="201">
        <v>0</v>
      </c>
      <c r="I1060" s="201">
        <v>0</v>
      </c>
      <c r="J1060" s="201">
        <v>1</v>
      </c>
      <c r="K1060" s="201">
        <v>0</v>
      </c>
      <c r="L1060" s="201">
        <v>0</v>
      </c>
      <c r="M1060" s="330" t="s">
        <v>172</v>
      </c>
      <c r="N1060" s="202">
        <v>-1</v>
      </c>
    </row>
    <row r="1061" spans="1:14">
      <c r="A1061" s="198" t="s">
        <v>175</v>
      </c>
      <c r="B1061" s="199" t="s">
        <v>192</v>
      </c>
      <c r="C1061" s="199" t="s">
        <v>134</v>
      </c>
      <c r="D1061" s="200" t="s">
        <v>163</v>
      </c>
      <c r="E1061" s="215">
        <v>24.2</v>
      </c>
      <c r="F1061" s="201">
        <v>14</v>
      </c>
      <c r="G1061" s="201">
        <v>17</v>
      </c>
      <c r="H1061" s="201">
        <v>20</v>
      </c>
      <c r="I1061" s="201">
        <v>4</v>
      </c>
      <c r="J1061" s="201">
        <v>13</v>
      </c>
      <c r="K1061" s="201">
        <v>16</v>
      </c>
      <c r="L1061" s="201">
        <v>11</v>
      </c>
      <c r="M1061" s="330">
        <v>11</v>
      </c>
      <c r="N1061" s="202">
        <v>-0.54545454545454541</v>
      </c>
    </row>
    <row r="1062" spans="1:14" ht="15.75" customHeight="1">
      <c r="A1062" s="198" t="s">
        <v>175</v>
      </c>
      <c r="B1062" s="199" t="s">
        <v>192</v>
      </c>
      <c r="C1062" s="199" t="s">
        <v>134</v>
      </c>
      <c r="D1062" s="200" t="s">
        <v>164</v>
      </c>
      <c r="E1062" s="215">
        <v>23.8</v>
      </c>
      <c r="F1062" s="201">
        <v>14</v>
      </c>
      <c r="G1062" s="201">
        <v>17</v>
      </c>
      <c r="H1062" s="201">
        <v>20</v>
      </c>
      <c r="I1062" s="201">
        <v>4</v>
      </c>
      <c r="J1062" s="201">
        <v>12</v>
      </c>
      <c r="K1062" s="201">
        <v>16</v>
      </c>
      <c r="L1062" s="201">
        <v>11</v>
      </c>
      <c r="M1062" s="330">
        <v>11</v>
      </c>
      <c r="N1062" s="202">
        <v>-0.53781512605042014</v>
      </c>
    </row>
    <row r="1063" spans="1:14" ht="15.75" customHeight="1">
      <c r="A1063" s="198" t="s">
        <v>175</v>
      </c>
      <c r="B1063" s="199" t="s">
        <v>192</v>
      </c>
      <c r="C1063" s="199" t="s">
        <v>134</v>
      </c>
      <c r="D1063" s="200" t="s">
        <v>165</v>
      </c>
      <c r="E1063" s="215">
        <v>325.89999999999998</v>
      </c>
      <c r="F1063" s="201">
        <v>354</v>
      </c>
      <c r="G1063" s="201">
        <v>326</v>
      </c>
      <c r="H1063" s="201">
        <v>318</v>
      </c>
      <c r="I1063" s="201">
        <v>249</v>
      </c>
      <c r="J1063" s="201">
        <v>273</v>
      </c>
      <c r="K1063" s="201">
        <v>233</v>
      </c>
      <c r="L1063" s="201">
        <v>200</v>
      </c>
      <c r="M1063" s="330">
        <v>175</v>
      </c>
      <c r="N1063" s="202">
        <v>-0.46302546793494931</v>
      </c>
    </row>
    <row r="1064" spans="1:14" ht="15.75" customHeight="1">
      <c r="A1064" s="198" t="s">
        <v>175</v>
      </c>
      <c r="B1064" s="199" t="s">
        <v>192</v>
      </c>
      <c r="C1064" s="199" t="s">
        <v>134</v>
      </c>
      <c r="D1064" s="203" t="s">
        <v>91</v>
      </c>
      <c r="E1064" s="216">
        <v>350.1</v>
      </c>
      <c r="F1064" s="204">
        <v>368</v>
      </c>
      <c r="G1064" s="204">
        <v>343</v>
      </c>
      <c r="H1064" s="204">
        <v>338</v>
      </c>
      <c r="I1064" s="204">
        <v>253</v>
      </c>
      <c r="J1064" s="204">
        <v>286</v>
      </c>
      <c r="K1064" s="204">
        <v>249</v>
      </c>
      <c r="L1064" s="204">
        <v>211</v>
      </c>
      <c r="M1064" s="331">
        <v>186</v>
      </c>
      <c r="N1064" s="202">
        <v>-0.46872322193658961</v>
      </c>
    </row>
    <row r="1065" spans="1:14" ht="15.75" customHeight="1">
      <c r="A1065" s="198" t="s">
        <v>175</v>
      </c>
      <c r="B1065" s="199" t="s">
        <v>192</v>
      </c>
      <c r="C1065" s="199" t="s">
        <v>166</v>
      </c>
      <c r="D1065" s="200" t="s">
        <v>162</v>
      </c>
      <c r="E1065" s="215">
        <v>0</v>
      </c>
      <c r="F1065" s="201">
        <v>0</v>
      </c>
      <c r="G1065" s="201">
        <v>0</v>
      </c>
      <c r="H1065" s="201">
        <v>0</v>
      </c>
      <c r="I1065" s="201">
        <v>0</v>
      </c>
      <c r="J1065" s="201">
        <v>0</v>
      </c>
      <c r="K1065" s="201">
        <v>0</v>
      </c>
      <c r="L1065" s="201">
        <v>0</v>
      </c>
      <c r="M1065" s="330" t="s">
        <v>172</v>
      </c>
      <c r="N1065" s="202">
        <v>0</v>
      </c>
    </row>
    <row r="1066" spans="1:14">
      <c r="A1066" s="198" t="s">
        <v>175</v>
      </c>
      <c r="B1066" s="199" t="s">
        <v>192</v>
      </c>
      <c r="C1066" s="199" t="s">
        <v>166</v>
      </c>
      <c r="D1066" s="200" t="s">
        <v>163</v>
      </c>
      <c r="E1066" s="215">
        <v>1.9</v>
      </c>
      <c r="F1066" s="201">
        <v>0</v>
      </c>
      <c r="G1066" s="201">
        <v>1</v>
      </c>
      <c r="H1066" s="201">
        <v>2</v>
      </c>
      <c r="I1066" s="201">
        <v>0</v>
      </c>
      <c r="J1066" s="201">
        <v>0</v>
      </c>
      <c r="K1066" s="201">
        <v>0</v>
      </c>
      <c r="L1066" s="201">
        <v>2</v>
      </c>
      <c r="M1066" s="330">
        <v>2</v>
      </c>
      <c r="N1066" s="202">
        <v>5.2631578947368474E-2</v>
      </c>
    </row>
    <row r="1067" spans="1:14" ht="15.75" customHeight="1">
      <c r="A1067" s="198" t="s">
        <v>175</v>
      </c>
      <c r="B1067" s="199" t="s">
        <v>192</v>
      </c>
      <c r="C1067" s="199" t="s">
        <v>166</v>
      </c>
      <c r="D1067" s="200" t="s">
        <v>164</v>
      </c>
      <c r="E1067" s="215">
        <v>1.9</v>
      </c>
      <c r="F1067" s="201">
        <v>0</v>
      </c>
      <c r="G1067" s="201">
        <v>1</v>
      </c>
      <c r="H1067" s="201">
        <v>2</v>
      </c>
      <c r="I1067" s="201">
        <v>0</v>
      </c>
      <c r="J1067" s="201">
        <v>0</v>
      </c>
      <c r="K1067" s="201">
        <v>0</v>
      </c>
      <c r="L1067" s="201">
        <v>2</v>
      </c>
      <c r="M1067" s="330">
        <v>2</v>
      </c>
      <c r="N1067" s="202">
        <v>5.2631578947368474E-2</v>
      </c>
    </row>
    <row r="1068" spans="1:14" ht="15.75" customHeight="1">
      <c r="A1068" s="198" t="s">
        <v>175</v>
      </c>
      <c r="B1068" s="199" t="s">
        <v>192</v>
      </c>
      <c r="C1068" s="199" t="s">
        <v>166</v>
      </c>
      <c r="D1068" s="200" t="s">
        <v>165</v>
      </c>
      <c r="E1068" s="215">
        <v>19.5</v>
      </c>
      <c r="F1068" s="201">
        <v>17</v>
      </c>
      <c r="G1068" s="201">
        <v>19</v>
      </c>
      <c r="H1068" s="201">
        <v>17</v>
      </c>
      <c r="I1068" s="201">
        <v>10</v>
      </c>
      <c r="J1068" s="201">
        <v>12</v>
      </c>
      <c r="K1068" s="201">
        <v>11</v>
      </c>
      <c r="L1068" s="201">
        <v>18</v>
      </c>
      <c r="M1068" s="330">
        <v>12</v>
      </c>
      <c r="N1068" s="202">
        <v>-0.38461538461538464</v>
      </c>
    </row>
    <row r="1069" spans="1:14" ht="15.75" customHeight="1">
      <c r="A1069" s="198" t="s">
        <v>175</v>
      </c>
      <c r="B1069" s="199" t="s">
        <v>192</v>
      </c>
      <c r="C1069" s="199" t="s">
        <v>166</v>
      </c>
      <c r="D1069" s="203" t="s">
        <v>91</v>
      </c>
      <c r="E1069" s="216">
        <v>21.4</v>
      </c>
      <c r="F1069" s="204">
        <v>17</v>
      </c>
      <c r="G1069" s="204">
        <v>20</v>
      </c>
      <c r="H1069" s="204">
        <v>19</v>
      </c>
      <c r="I1069" s="204">
        <v>10</v>
      </c>
      <c r="J1069" s="204">
        <v>12</v>
      </c>
      <c r="K1069" s="204">
        <v>11</v>
      </c>
      <c r="L1069" s="204">
        <v>20</v>
      </c>
      <c r="M1069" s="331">
        <v>14</v>
      </c>
      <c r="N1069" s="202">
        <v>-0.34579439252336447</v>
      </c>
    </row>
    <row r="1070" spans="1:14" ht="15.75" customHeight="1">
      <c r="A1070" s="198" t="s">
        <v>175</v>
      </c>
      <c r="B1070" s="199" t="s">
        <v>192</v>
      </c>
      <c r="C1070" s="199" t="s">
        <v>133</v>
      </c>
      <c r="D1070" s="200" t="s">
        <v>162</v>
      </c>
      <c r="E1070" s="215">
        <v>1</v>
      </c>
      <c r="F1070" s="201">
        <v>2</v>
      </c>
      <c r="G1070" s="201">
        <v>0</v>
      </c>
      <c r="H1070" s="201">
        <v>0</v>
      </c>
      <c r="I1070" s="201">
        <v>1</v>
      </c>
      <c r="J1070" s="201">
        <v>1</v>
      </c>
      <c r="K1070" s="201">
        <v>1</v>
      </c>
      <c r="L1070" s="201">
        <v>3</v>
      </c>
      <c r="M1070" s="330" t="s">
        <v>172</v>
      </c>
      <c r="N1070" s="202">
        <v>-1</v>
      </c>
    </row>
    <row r="1071" spans="1:14" ht="15.75" customHeight="1">
      <c r="A1071" s="198" t="s">
        <v>175</v>
      </c>
      <c r="B1071" s="199" t="s">
        <v>192</v>
      </c>
      <c r="C1071" s="199" t="s">
        <v>133</v>
      </c>
      <c r="D1071" s="200" t="s">
        <v>163</v>
      </c>
      <c r="E1071" s="215">
        <v>66.900000000000006</v>
      </c>
      <c r="F1071" s="201">
        <v>73</v>
      </c>
      <c r="G1071" s="201">
        <v>61</v>
      </c>
      <c r="H1071" s="201">
        <v>59</v>
      </c>
      <c r="I1071" s="201">
        <v>50</v>
      </c>
      <c r="J1071" s="201">
        <v>69</v>
      </c>
      <c r="K1071" s="201">
        <v>64</v>
      </c>
      <c r="L1071" s="201">
        <v>51</v>
      </c>
      <c r="M1071" s="330">
        <v>39</v>
      </c>
      <c r="N1071" s="202">
        <v>-0.41704035874439466</v>
      </c>
    </row>
    <row r="1072" spans="1:14" ht="15.75" customHeight="1">
      <c r="A1072" s="198" t="s">
        <v>175</v>
      </c>
      <c r="B1072" s="199" t="s">
        <v>192</v>
      </c>
      <c r="C1072" s="199" t="s">
        <v>133</v>
      </c>
      <c r="D1072" s="200" t="s">
        <v>164</v>
      </c>
      <c r="E1072" s="215">
        <v>65.900000000000006</v>
      </c>
      <c r="F1072" s="201">
        <v>71</v>
      </c>
      <c r="G1072" s="201">
        <v>61</v>
      </c>
      <c r="H1072" s="201">
        <v>59</v>
      </c>
      <c r="I1072" s="201">
        <v>49</v>
      </c>
      <c r="J1072" s="201">
        <v>68</v>
      </c>
      <c r="K1072" s="201">
        <v>63</v>
      </c>
      <c r="L1072" s="201">
        <v>48</v>
      </c>
      <c r="M1072" s="330">
        <v>39</v>
      </c>
      <c r="N1072" s="202">
        <v>-0.40819423368740521</v>
      </c>
    </row>
    <row r="1073" spans="1:14" ht="15.75" customHeight="1">
      <c r="A1073" s="198" t="s">
        <v>175</v>
      </c>
      <c r="B1073" s="199" t="s">
        <v>192</v>
      </c>
      <c r="C1073" s="199" t="s">
        <v>133</v>
      </c>
      <c r="D1073" s="200" t="s">
        <v>165</v>
      </c>
      <c r="E1073" s="215">
        <v>246.2</v>
      </c>
      <c r="F1073" s="201">
        <v>302</v>
      </c>
      <c r="G1073" s="201">
        <v>252</v>
      </c>
      <c r="H1073" s="201">
        <v>253</v>
      </c>
      <c r="I1073" s="201">
        <v>283</v>
      </c>
      <c r="J1073" s="201">
        <v>309</v>
      </c>
      <c r="K1073" s="201">
        <v>273</v>
      </c>
      <c r="L1073" s="201">
        <v>284</v>
      </c>
      <c r="M1073" s="330">
        <v>163</v>
      </c>
      <c r="N1073" s="202">
        <v>-0.33793663688058484</v>
      </c>
    </row>
    <row r="1074" spans="1:14" ht="15.75" customHeight="1">
      <c r="A1074" s="198" t="s">
        <v>175</v>
      </c>
      <c r="B1074" s="199" t="s">
        <v>192</v>
      </c>
      <c r="C1074" s="199" t="s">
        <v>133</v>
      </c>
      <c r="D1074" s="203" t="s">
        <v>91</v>
      </c>
      <c r="E1074" s="216">
        <v>313.10000000000002</v>
      </c>
      <c r="F1074" s="204">
        <v>375</v>
      </c>
      <c r="G1074" s="204">
        <v>313</v>
      </c>
      <c r="H1074" s="204">
        <v>312</v>
      </c>
      <c r="I1074" s="204">
        <v>333</v>
      </c>
      <c r="J1074" s="204">
        <v>378</v>
      </c>
      <c r="K1074" s="204">
        <v>337</v>
      </c>
      <c r="L1074" s="204">
        <v>335</v>
      </c>
      <c r="M1074" s="331">
        <v>202</v>
      </c>
      <c r="N1074" s="202">
        <v>-0.35483870967741943</v>
      </c>
    </row>
    <row r="1075" spans="1:14" ht="15.75" customHeight="1">
      <c r="A1075" s="198" t="s">
        <v>175</v>
      </c>
      <c r="B1075" s="199" t="s">
        <v>192</v>
      </c>
      <c r="C1075" s="199" t="s">
        <v>167</v>
      </c>
      <c r="D1075" s="200" t="s">
        <v>162</v>
      </c>
      <c r="E1075" s="215">
        <v>0</v>
      </c>
      <c r="F1075" s="201">
        <v>0</v>
      </c>
      <c r="G1075" s="201">
        <v>0</v>
      </c>
      <c r="H1075" s="201">
        <v>0</v>
      </c>
      <c r="I1075" s="201">
        <v>0</v>
      </c>
      <c r="J1075" s="201">
        <v>0</v>
      </c>
      <c r="K1075" s="201">
        <v>1</v>
      </c>
      <c r="L1075" s="201">
        <v>0</v>
      </c>
      <c r="M1075" s="330" t="s">
        <v>172</v>
      </c>
      <c r="N1075" s="202">
        <v>0</v>
      </c>
    </row>
    <row r="1076" spans="1:14" ht="15.75" customHeight="1">
      <c r="A1076" s="198" t="s">
        <v>175</v>
      </c>
      <c r="B1076" s="199" t="s">
        <v>192</v>
      </c>
      <c r="C1076" s="199" t="s">
        <v>167</v>
      </c>
      <c r="D1076" s="200" t="s">
        <v>163</v>
      </c>
      <c r="E1076" s="215">
        <v>1.1000000000000001</v>
      </c>
      <c r="F1076" s="201">
        <v>0</v>
      </c>
      <c r="G1076" s="201">
        <v>1</v>
      </c>
      <c r="H1076" s="201">
        <v>1</v>
      </c>
      <c r="I1076" s="201">
        <v>2</v>
      </c>
      <c r="J1076" s="201">
        <v>13</v>
      </c>
      <c r="K1076" s="201">
        <v>9</v>
      </c>
      <c r="L1076" s="201">
        <v>4</v>
      </c>
      <c r="M1076" s="330">
        <v>4</v>
      </c>
      <c r="N1076" s="202">
        <v>2.6363636363636362</v>
      </c>
    </row>
    <row r="1077" spans="1:14" ht="15.75" customHeight="1">
      <c r="A1077" s="198" t="s">
        <v>175</v>
      </c>
      <c r="B1077" s="199" t="s">
        <v>192</v>
      </c>
      <c r="C1077" s="199" t="s">
        <v>167</v>
      </c>
      <c r="D1077" s="200" t="s">
        <v>164</v>
      </c>
      <c r="E1077" s="215">
        <v>1.1000000000000001</v>
      </c>
      <c r="F1077" s="201">
        <v>0</v>
      </c>
      <c r="G1077" s="201">
        <v>1</v>
      </c>
      <c r="H1077" s="201">
        <v>1</v>
      </c>
      <c r="I1077" s="201">
        <v>2</v>
      </c>
      <c r="J1077" s="201">
        <v>13</v>
      </c>
      <c r="K1077" s="201">
        <v>8</v>
      </c>
      <c r="L1077" s="201">
        <v>4</v>
      </c>
      <c r="M1077" s="330">
        <v>4</v>
      </c>
      <c r="N1077" s="202">
        <v>2.6363636363636362</v>
      </c>
    </row>
    <row r="1078" spans="1:14" ht="15.75" customHeight="1">
      <c r="A1078" s="198" t="s">
        <v>175</v>
      </c>
      <c r="B1078" s="199" t="s">
        <v>192</v>
      </c>
      <c r="C1078" s="199" t="s">
        <v>167</v>
      </c>
      <c r="D1078" s="200" t="s">
        <v>165</v>
      </c>
      <c r="E1078" s="215">
        <v>5</v>
      </c>
      <c r="F1078" s="201">
        <v>21</v>
      </c>
      <c r="G1078" s="201">
        <v>6</v>
      </c>
      <c r="H1078" s="201">
        <v>3</v>
      </c>
      <c r="I1078" s="201">
        <v>14</v>
      </c>
      <c r="J1078" s="201">
        <v>24</v>
      </c>
      <c r="K1078" s="201">
        <v>20</v>
      </c>
      <c r="L1078" s="201">
        <v>11</v>
      </c>
      <c r="M1078" s="330">
        <v>20</v>
      </c>
      <c r="N1078" s="202">
        <v>3</v>
      </c>
    </row>
    <row r="1079" spans="1:14" ht="15.75" customHeight="1">
      <c r="A1079" s="198" t="s">
        <v>175</v>
      </c>
      <c r="B1079" s="199" t="s">
        <v>192</v>
      </c>
      <c r="C1079" s="199" t="s">
        <v>167</v>
      </c>
      <c r="D1079" s="203" t="s">
        <v>91</v>
      </c>
      <c r="E1079" s="216">
        <v>6.1</v>
      </c>
      <c r="F1079" s="204">
        <v>21</v>
      </c>
      <c r="G1079" s="204">
        <v>7</v>
      </c>
      <c r="H1079" s="204">
        <v>4</v>
      </c>
      <c r="I1079" s="204">
        <v>16</v>
      </c>
      <c r="J1079" s="204">
        <v>37</v>
      </c>
      <c r="K1079" s="204">
        <v>29</v>
      </c>
      <c r="L1079" s="204">
        <v>15</v>
      </c>
      <c r="M1079" s="331">
        <v>24</v>
      </c>
      <c r="N1079" s="202">
        <v>2.9344262295081966</v>
      </c>
    </row>
    <row r="1080" spans="1:14" ht="15.75" customHeight="1">
      <c r="A1080" s="198" t="s">
        <v>175</v>
      </c>
      <c r="B1080" s="199" t="s">
        <v>192</v>
      </c>
      <c r="C1080" s="199" t="s">
        <v>168</v>
      </c>
      <c r="D1080" s="200" t="s">
        <v>162</v>
      </c>
      <c r="E1080" s="215">
        <v>0.6</v>
      </c>
      <c r="F1080" s="201">
        <v>0</v>
      </c>
      <c r="G1080" s="201">
        <v>0</v>
      </c>
      <c r="H1080" s="201">
        <v>1</v>
      </c>
      <c r="I1080" s="201">
        <v>1</v>
      </c>
      <c r="J1080" s="201">
        <v>0</v>
      </c>
      <c r="K1080" s="201">
        <v>1</v>
      </c>
      <c r="L1080" s="201">
        <v>0</v>
      </c>
      <c r="M1080" s="330">
        <v>2</v>
      </c>
      <c r="N1080" s="202">
        <v>2.3333333333333335</v>
      </c>
    </row>
    <row r="1081" spans="1:14" ht="15.75" customHeight="1">
      <c r="A1081" s="198" t="s">
        <v>175</v>
      </c>
      <c r="B1081" s="199" t="s">
        <v>192</v>
      </c>
      <c r="C1081" s="199" t="s">
        <v>168</v>
      </c>
      <c r="D1081" s="200" t="s">
        <v>163</v>
      </c>
      <c r="E1081" s="215">
        <v>68.099999999999994</v>
      </c>
      <c r="F1081" s="201">
        <v>50</v>
      </c>
      <c r="G1081" s="201">
        <v>51</v>
      </c>
      <c r="H1081" s="201">
        <v>62</v>
      </c>
      <c r="I1081" s="201">
        <v>75</v>
      </c>
      <c r="J1081" s="201">
        <v>71</v>
      </c>
      <c r="K1081" s="201">
        <v>77</v>
      </c>
      <c r="L1081" s="201">
        <v>56</v>
      </c>
      <c r="M1081" s="330">
        <v>70</v>
      </c>
      <c r="N1081" s="202">
        <v>2.7900146842878205E-2</v>
      </c>
    </row>
    <row r="1082" spans="1:14" ht="15.75" customHeight="1">
      <c r="A1082" s="198" t="s">
        <v>175</v>
      </c>
      <c r="B1082" s="199" t="s">
        <v>192</v>
      </c>
      <c r="C1082" s="199" t="s">
        <v>168</v>
      </c>
      <c r="D1082" s="200" t="s">
        <v>164</v>
      </c>
      <c r="E1082" s="215">
        <v>67.5</v>
      </c>
      <c r="F1082" s="201">
        <v>50</v>
      </c>
      <c r="G1082" s="201">
        <v>51</v>
      </c>
      <c r="H1082" s="201">
        <v>61</v>
      </c>
      <c r="I1082" s="201">
        <v>74</v>
      </c>
      <c r="J1082" s="201">
        <v>71</v>
      </c>
      <c r="K1082" s="201">
        <v>76</v>
      </c>
      <c r="L1082" s="201">
        <v>56</v>
      </c>
      <c r="M1082" s="330">
        <v>68</v>
      </c>
      <c r="N1082" s="202">
        <v>7.4074074074074077E-3</v>
      </c>
    </row>
    <row r="1083" spans="1:14" ht="15.75" customHeight="1">
      <c r="A1083" s="198" t="s">
        <v>175</v>
      </c>
      <c r="B1083" s="199" t="s">
        <v>192</v>
      </c>
      <c r="C1083" s="199" t="s">
        <v>168</v>
      </c>
      <c r="D1083" s="200" t="s">
        <v>165</v>
      </c>
      <c r="E1083" s="215">
        <v>278.60000000000002</v>
      </c>
      <c r="F1083" s="201">
        <v>284</v>
      </c>
      <c r="G1083" s="201">
        <v>293</v>
      </c>
      <c r="H1083" s="201">
        <v>256</v>
      </c>
      <c r="I1083" s="201">
        <v>262</v>
      </c>
      <c r="J1083" s="201">
        <v>309</v>
      </c>
      <c r="K1083" s="201">
        <v>294</v>
      </c>
      <c r="L1083" s="201">
        <v>231</v>
      </c>
      <c r="M1083" s="330">
        <v>255</v>
      </c>
      <c r="N1083" s="202">
        <v>-8.4709260588657645E-2</v>
      </c>
    </row>
    <row r="1084" spans="1:14" ht="15.75" customHeight="1">
      <c r="A1084" s="198" t="s">
        <v>175</v>
      </c>
      <c r="B1084" s="199" t="s">
        <v>192</v>
      </c>
      <c r="C1084" s="199" t="s">
        <v>168</v>
      </c>
      <c r="D1084" s="203" t="s">
        <v>91</v>
      </c>
      <c r="E1084" s="216">
        <v>346.7</v>
      </c>
      <c r="F1084" s="204">
        <v>334</v>
      </c>
      <c r="G1084" s="204">
        <v>344</v>
      </c>
      <c r="H1084" s="204">
        <v>318</v>
      </c>
      <c r="I1084" s="204">
        <v>337</v>
      </c>
      <c r="J1084" s="204">
        <v>380</v>
      </c>
      <c r="K1084" s="204">
        <v>371</v>
      </c>
      <c r="L1084" s="204">
        <v>287</v>
      </c>
      <c r="M1084" s="331">
        <v>325</v>
      </c>
      <c r="N1084" s="202">
        <v>-6.2590135563888052E-2</v>
      </c>
    </row>
    <row r="1085" spans="1:14" ht="15.75" customHeight="1">
      <c r="A1085" s="198" t="s">
        <v>175</v>
      </c>
      <c r="B1085" s="199" t="s">
        <v>192</v>
      </c>
      <c r="C1085" s="199" t="s">
        <v>131</v>
      </c>
      <c r="D1085" s="200" t="s">
        <v>162</v>
      </c>
      <c r="E1085" s="215">
        <v>4.8</v>
      </c>
      <c r="F1085" s="201">
        <v>3</v>
      </c>
      <c r="G1085" s="201">
        <v>1</v>
      </c>
      <c r="H1085" s="201">
        <v>2</v>
      </c>
      <c r="I1085" s="201">
        <v>1</v>
      </c>
      <c r="J1085" s="201">
        <v>1</v>
      </c>
      <c r="K1085" s="201">
        <v>2</v>
      </c>
      <c r="L1085" s="201">
        <v>7</v>
      </c>
      <c r="M1085" s="330">
        <v>3</v>
      </c>
      <c r="N1085" s="202">
        <v>-0.375</v>
      </c>
    </row>
    <row r="1086" spans="1:14" ht="15.75" customHeight="1">
      <c r="A1086" s="198" t="s">
        <v>175</v>
      </c>
      <c r="B1086" s="199" t="s">
        <v>192</v>
      </c>
      <c r="C1086" s="199" t="s">
        <v>131</v>
      </c>
      <c r="D1086" s="200" t="s">
        <v>163</v>
      </c>
      <c r="E1086" s="215">
        <v>79.2</v>
      </c>
      <c r="F1086" s="201">
        <v>65</v>
      </c>
      <c r="G1086" s="201">
        <v>62</v>
      </c>
      <c r="H1086" s="201">
        <v>52</v>
      </c>
      <c r="I1086" s="201">
        <v>34</v>
      </c>
      <c r="J1086" s="201">
        <v>52</v>
      </c>
      <c r="K1086" s="201">
        <v>64</v>
      </c>
      <c r="L1086" s="201">
        <v>54</v>
      </c>
      <c r="M1086" s="330">
        <v>52</v>
      </c>
      <c r="N1086" s="202">
        <v>-0.34343434343434348</v>
      </c>
    </row>
    <row r="1087" spans="1:14" ht="15.75" customHeight="1">
      <c r="A1087" s="198" t="s">
        <v>175</v>
      </c>
      <c r="B1087" s="199" t="s">
        <v>192</v>
      </c>
      <c r="C1087" s="199" t="s">
        <v>131</v>
      </c>
      <c r="D1087" s="200" t="s">
        <v>164</v>
      </c>
      <c r="E1087" s="215">
        <v>74.400000000000006</v>
      </c>
      <c r="F1087" s="201">
        <v>62</v>
      </c>
      <c r="G1087" s="201">
        <v>61</v>
      </c>
      <c r="H1087" s="201">
        <v>50</v>
      </c>
      <c r="I1087" s="201">
        <v>33</v>
      </c>
      <c r="J1087" s="201">
        <v>51</v>
      </c>
      <c r="K1087" s="201">
        <v>62</v>
      </c>
      <c r="L1087" s="201">
        <v>47</v>
      </c>
      <c r="M1087" s="330">
        <v>49</v>
      </c>
      <c r="N1087" s="202">
        <v>-0.34139784946236562</v>
      </c>
    </row>
    <row r="1088" spans="1:14" ht="15.75" customHeight="1">
      <c r="A1088" s="198" t="s">
        <v>175</v>
      </c>
      <c r="B1088" s="199" t="s">
        <v>192</v>
      </c>
      <c r="C1088" s="199" t="s">
        <v>131</v>
      </c>
      <c r="D1088" s="200" t="s">
        <v>165</v>
      </c>
      <c r="E1088" s="215">
        <v>186.1</v>
      </c>
      <c r="F1088" s="201">
        <v>237</v>
      </c>
      <c r="G1088" s="201">
        <v>233</v>
      </c>
      <c r="H1088" s="201">
        <v>182</v>
      </c>
      <c r="I1088" s="201">
        <v>127</v>
      </c>
      <c r="J1088" s="201">
        <v>116</v>
      </c>
      <c r="K1088" s="201">
        <v>151</v>
      </c>
      <c r="L1088" s="201">
        <v>147</v>
      </c>
      <c r="M1088" s="330">
        <v>118</v>
      </c>
      <c r="N1088" s="202">
        <v>-0.3659322944653412</v>
      </c>
    </row>
    <row r="1089" spans="1:14" ht="15.75" customHeight="1">
      <c r="A1089" s="198" t="s">
        <v>175</v>
      </c>
      <c r="B1089" s="199" t="s">
        <v>192</v>
      </c>
      <c r="C1089" s="199" t="s">
        <v>131</v>
      </c>
      <c r="D1089" s="203" t="s">
        <v>91</v>
      </c>
      <c r="E1089" s="216">
        <v>265.3</v>
      </c>
      <c r="F1089" s="204">
        <v>302</v>
      </c>
      <c r="G1089" s="204">
        <v>295</v>
      </c>
      <c r="H1089" s="204">
        <v>234</v>
      </c>
      <c r="I1089" s="204">
        <v>161</v>
      </c>
      <c r="J1089" s="204">
        <v>168</v>
      </c>
      <c r="K1089" s="204">
        <v>215</v>
      </c>
      <c r="L1089" s="204">
        <v>201</v>
      </c>
      <c r="M1089" s="331">
        <v>170</v>
      </c>
      <c r="N1089" s="202">
        <v>-0.35921598190727483</v>
      </c>
    </row>
    <row r="1090" spans="1:14" ht="15.75" customHeight="1">
      <c r="A1090" s="198" t="s">
        <v>175</v>
      </c>
      <c r="B1090" s="199" t="s">
        <v>192</v>
      </c>
      <c r="C1090" s="199" t="s">
        <v>169</v>
      </c>
      <c r="D1090" s="200" t="s">
        <v>162</v>
      </c>
      <c r="E1090" s="215">
        <v>0</v>
      </c>
      <c r="F1090" s="201">
        <v>0</v>
      </c>
      <c r="G1090" s="201">
        <v>0</v>
      </c>
      <c r="H1090" s="201">
        <v>0</v>
      </c>
      <c r="I1090" s="201">
        <v>0</v>
      </c>
      <c r="J1090" s="201">
        <v>0</v>
      </c>
      <c r="K1090" s="201">
        <v>0</v>
      </c>
      <c r="L1090" s="201">
        <v>0</v>
      </c>
      <c r="M1090" s="330" t="s">
        <v>172</v>
      </c>
      <c r="N1090" s="202">
        <v>0</v>
      </c>
    </row>
    <row r="1091" spans="1:14" ht="15.75" customHeight="1">
      <c r="A1091" s="198" t="s">
        <v>175</v>
      </c>
      <c r="B1091" s="199" t="s">
        <v>192</v>
      </c>
      <c r="C1091" s="199" t="s">
        <v>169</v>
      </c>
      <c r="D1091" s="200" t="s">
        <v>163</v>
      </c>
      <c r="E1091" s="215">
        <v>0</v>
      </c>
      <c r="F1091" s="201">
        <v>1</v>
      </c>
      <c r="G1091" s="201">
        <v>0</v>
      </c>
      <c r="H1091" s="201">
        <v>2</v>
      </c>
      <c r="I1091" s="201">
        <v>0</v>
      </c>
      <c r="J1091" s="201">
        <v>1</v>
      </c>
      <c r="K1091" s="201">
        <v>2</v>
      </c>
      <c r="L1091" s="201">
        <v>4</v>
      </c>
      <c r="M1091" s="330">
        <v>0</v>
      </c>
      <c r="N1091" s="202">
        <v>0</v>
      </c>
    </row>
    <row r="1092" spans="1:14" ht="15.75" customHeight="1">
      <c r="A1092" s="198" t="s">
        <v>175</v>
      </c>
      <c r="B1092" s="199" t="s">
        <v>192</v>
      </c>
      <c r="C1092" s="199" t="s">
        <v>169</v>
      </c>
      <c r="D1092" s="200" t="s">
        <v>164</v>
      </c>
      <c r="E1092" s="215">
        <v>0</v>
      </c>
      <c r="F1092" s="201">
        <v>1</v>
      </c>
      <c r="G1092" s="201">
        <v>0</v>
      </c>
      <c r="H1092" s="201">
        <v>2</v>
      </c>
      <c r="I1092" s="201">
        <v>0</v>
      </c>
      <c r="J1092" s="201">
        <v>1</v>
      </c>
      <c r="K1092" s="201">
        <v>2</v>
      </c>
      <c r="L1092" s="201">
        <v>4</v>
      </c>
      <c r="M1092" s="330" t="s">
        <v>172</v>
      </c>
      <c r="N1092" s="202">
        <v>0</v>
      </c>
    </row>
    <row r="1093" spans="1:14" ht="15.75" customHeight="1">
      <c r="A1093" s="198" t="s">
        <v>175</v>
      </c>
      <c r="B1093" s="199" t="s">
        <v>192</v>
      </c>
      <c r="C1093" s="199" t="s">
        <v>169</v>
      </c>
      <c r="D1093" s="200" t="s">
        <v>165</v>
      </c>
      <c r="E1093" s="215">
        <v>0</v>
      </c>
      <c r="F1093" s="201">
        <v>32</v>
      </c>
      <c r="G1093" s="201">
        <v>29</v>
      </c>
      <c r="H1093" s="201">
        <v>30</v>
      </c>
      <c r="I1093" s="201">
        <v>19</v>
      </c>
      <c r="J1093" s="201">
        <v>9</v>
      </c>
      <c r="K1093" s="201">
        <v>18</v>
      </c>
      <c r="L1093" s="201">
        <v>11</v>
      </c>
      <c r="M1093" s="330">
        <v>14</v>
      </c>
      <c r="N1093" s="202">
        <v>0</v>
      </c>
    </row>
    <row r="1094" spans="1:14" ht="15.75" customHeight="1">
      <c r="A1094" s="198" t="s">
        <v>175</v>
      </c>
      <c r="B1094" s="199" t="s">
        <v>192</v>
      </c>
      <c r="C1094" s="199" t="s">
        <v>169</v>
      </c>
      <c r="D1094" s="203" t="s">
        <v>91</v>
      </c>
      <c r="E1094" s="216">
        <v>0</v>
      </c>
      <c r="F1094" s="204">
        <v>33</v>
      </c>
      <c r="G1094" s="204">
        <v>29</v>
      </c>
      <c r="H1094" s="204">
        <v>32</v>
      </c>
      <c r="I1094" s="204">
        <v>19</v>
      </c>
      <c r="J1094" s="204">
        <v>10</v>
      </c>
      <c r="K1094" s="204">
        <v>20</v>
      </c>
      <c r="L1094" s="204">
        <v>15</v>
      </c>
      <c r="M1094" s="331">
        <v>14</v>
      </c>
      <c r="N1094" s="202">
        <v>0</v>
      </c>
    </row>
    <row r="1095" spans="1:14" ht="15.75" customHeight="1">
      <c r="A1095" s="198" t="s">
        <v>175</v>
      </c>
      <c r="B1095" s="199" t="s">
        <v>192</v>
      </c>
      <c r="C1095" s="199" t="s">
        <v>139</v>
      </c>
      <c r="D1095" s="200" t="s">
        <v>162</v>
      </c>
      <c r="E1095" s="215">
        <v>0</v>
      </c>
      <c r="F1095" s="201">
        <v>0</v>
      </c>
      <c r="G1095" s="201">
        <v>0</v>
      </c>
      <c r="H1095" s="201">
        <v>0</v>
      </c>
      <c r="I1095" s="201">
        <v>0</v>
      </c>
      <c r="J1095" s="201">
        <v>0</v>
      </c>
      <c r="K1095" s="201">
        <v>0</v>
      </c>
      <c r="L1095" s="201">
        <v>0</v>
      </c>
      <c r="M1095" s="330" t="s">
        <v>172</v>
      </c>
      <c r="N1095" s="202">
        <v>0</v>
      </c>
    </row>
    <row r="1096" spans="1:14" ht="15.75" customHeight="1">
      <c r="A1096" s="198" t="s">
        <v>175</v>
      </c>
      <c r="B1096" s="199" t="s">
        <v>192</v>
      </c>
      <c r="C1096" s="199" t="s">
        <v>139</v>
      </c>
      <c r="D1096" s="200" t="s">
        <v>163</v>
      </c>
      <c r="E1096" s="215">
        <v>2</v>
      </c>
      <c r="F1096" s="201">
        <v>1</v>
      </c>
      <c r="G1096" s="201">
        <v>2</v>
      </c>
      <c r="H1096" s="201">
        <v>0</v>
      </c>
      <c r="I1096" s="201">
        <v>1</v>
      </c>
      <c r="J1096" s="201">
        <v>0</v>
      </c>
      <c r="K1096" s="201">
        <v>0</v>
      </c>
      <c r="L1096" s="201">
        <v>0</v>
      </c>
      <c r="M1096" s="330">
        <v>0</v>
      </c>
      <c r="N1096" s="202">
        <v>-1</v>
      </c>
    </row>
    <row r="1097" spans="1:14" ht="15.75" customHeight="1">
      <c r="A1097" s="198" t="s">
        <v>175</v>
      </c>
      <c r="B1097" s="199" t="s">
        <v>192</v>
      </c>
      <c r="C1097" s="199" t="s">
        <v>139</v>
      </c>
      <c r="D1097" s="200" t="s">
        <v>164</v>
      </c>
      <c r="E1097" s="215">
        <v>2</v>
      </c>
      <c r="F1097" s="201">
        <v>1</v>
      </c>
      <c r="G1097" s="201">
        <v>2</v>
      </c>
      <c r="H1097" s="201">
        <v>0</v>
      </c>
      <c r="I1097" s="201">
        <v>1</v>
      </c>
      <c r="J1097" s="201">
        <v>0</v>
      </c>
      <c r="K1097" s="201">
        <v>0</v>
      </c>
      <c r="L1097" s="201">
        <v>0</v>
      </c>
      <c r="M1097" s="330" t="s">
        <v>172</v>
      </c>
      <c r="N1097" s="202">
        <v>-1</v>
      </c>
    </row>
    <row r="1098" spans="1:14" ht="15.75" customHeight="1">
      <c r="A1098" s="198" t="s">
        <v>175</v>
      </c>
      <c r="B1098" s="199" t="s">
        <v>192</v>
      </c>
      <c r="C1098" s="199" t="s">
        <v>139</v>
      </c>
      <c r="D1098" s="200" t="s">
        <v>165</v>
      </c>
      <c r="E1098" s="215">
        <v>23.9</v>
      </c>
      <c r="F1098" s="201">
        <v>7</v>
      </c>
      <c r="G1098" s="201">
        <v>19</v>
      </c>
      <c r="H1098" s="201">
        <v>28</v>
      </c>
      <c r="I1098" s="201">
        <v>12</v>
      </c>
      <c r="J1098" s="201">
        <v>9</v>
      </c>
      <c r="K1098" s="201">
        <v>17</v>
      </c>
      <c r="L1098" s="201">
        <v>9</v>
      </c>
      <c r="M1098" s="330">
        <v>9</v>
      </c>
      <c r="N1098" s="202">
        <v>-0.62343096234309625</v>
      </c>
    </row>
    <row r="1099" spans="1:14" ht="15.75" customHeight="1">
      <c r="A1099" s="198" t="s">
        <v>175</v>
      </c>
      <c r="B1099" s="199" t="s">
        <v>192</v>
      </c>
      <c r="C1099" s="199" t="s">
        <v>139</v>
      </c>
      <c r="D1099" s="203" t="s">
        <v>91</v>
      </c>
      <c r="E1099" s="216">
        <v>26</v>
      </c>
      <c r="F1099" s="204">
        <v>8</v>
      </c>
      <c r="G1099" s="204">
        <v>21</v>
      </c>
      <c r="H1099" s="204">
        <v>28</v>
      </c>
      <c r="I1099" s="204">
        <v>13</v>
      </c>
      <c r="J1099" s="204">
        <v>9</v>
      </c>
      <c r="K1099" s="204">
        <v>17</v>
      </c>
      <c r="L1099" s="204">
        <v>9</v>
      </c>
      <c r="M1099" s="331">
        <v>9</v>
      </c>
      <c r="N1099" s="202">
        <v>-0.65384615384615385</v>
      </c>
    </row>
    <row r="1100" spans="1:14" ht="15.75" customHeight="1">
      <c r="A1100" s="198" t="s">
        <v>175</v>
      </c>
      <c r="B1100" s="199" t="s">
        <v>192</v>
      </c>
      <c r="C1100" s="205" t="s">
        <v>91</v>
      </c>
      <c r="D1100" s="203" t="s">
        <v>162</v>
      </c>
      <c r="E1100" s="216">
        <v>6.8</v>
      </c>
      <c r="F1100" s="204">
        <v>5</v>
      </c>
      <c r="G1100" s="204">
        <v>1</v>
      </c>
      <c r="H1100" s="204">
        <v>3</v>
      </c>
      <c r="I1100" s="204">
        <v>3</v>
      </c>
      <c r="J1100" s="204">
        <v>3</v>
      </c>
      <c r="K1100" s="204">
        <v>5</v>
      </c>
      <c r="L1100" s="204">
        <v>10</v>
      </c>
      <c r="M1100" s="331">
        <v>5</v>
      </c>
      <c r="N1100" s="202">
        <v>-0.26470588235294118</v>
      </c>
    </row>
    <row r="1101" spans="1:14" ht="15.75" customHeight="1">
      <c r="A1101" s="198" t="s">
        <v>159</v>
      </c>
      <c r="B1101" s="199" t="s">
        <v>197</v>
      </c>
      <c r="C1101" s="205" t="s">
        <v>91</v>
      </c>
      <c r="D1101" s="203" t="s">
        <v>163</v>
      </c>
      <c r="E1101" s="214">
        <v>104.2</v>
      </c>
      <c r="F1101" s="204">
        <v>77</v>
      </c>
      <c r="G1101" s="204">
        <v>85</v>
      </c>
      <c r="H1101" s="204">
        <v>72</v>
      </c>
      <c r="I1101" s="204">
        <v>67</v>
      </c>
      <c r="J1101" s="204">
        <v>99</v>
      </c>
      <c r="K1101" s="204">
        <v>93</v>
      </c>
      <c r="L1101" s="204">
        <v>114</v>
      </c>
      <c r="M1101" s="331">
        <v>94</v>
      </c>
      <c r="N1101" s="202">
        <v>-9.7888675623800409E-2</v>
      </c>
    </row>
    <row r="1102" spans="1:14" ht="15.75" customHeight="1">
      <c r="A1102" s="198" t="s">
        <v>175</v>
      </c>
      <c r="B1102" s="199" t="s">
        <v>192</v>
      </c>
      <c r="C1102" s="205" t="s">
        <v>91</v>
      </c>
      <c r="D1102" s="203" t="s">
        <v>164</v>
      </c>
      <c r="E1102" s="216">
        <v>249.5</v>
      </c>
      <c r="F1102" s="204">
        <v>202</v>
      </c>
      <c r="G1102" s="204">
        <v>201</v>
      </c>
      <c r="H1102" s="204">
        <v>197</v>
      </c>
      <c r="I1102" s="204">
        <v>164</v>
      </c>
      <c r="J1102" s="204">
        <v>222</v>
      </c>
      <c r="K1102" s="204">
        <v>234</v>
      </c>
      <c r="L1102" s="204">
        <v>181</v>
      </c>
      <c r="M1102" s="331">
        <v>182</v>
      </c>
      <c r="N1102" s="202">
        <v>-0.27054108216432865</v>
      </c>
    </row>
    <row r="1103" spans="1:14" ht="15.75" customHeight="1">
      <c r="A1103" s="198" t="s">
        <v>175</v>
      </c>
      <c r="B1103" s="199" t="s">
        <v>192</v>
      </c>
      <c r="C1103" s="205" t="s">
        <v>91</v>
      </c>
      <c r="D1103" s="203" t="s">
        <v>165</v>
      </c>
      <c r="E1103" s="216">
        <v>1178.0999999999999</v>
      </c>
      <c r="F1103" s="204">
        <v>1335</v>
      </c>
      <c r="G1103" s="204">
        <v>1256</v>
      </c>
      <c r="H1103" s="204">
        <v>1157</v>
      </c>
      <c r="I1103" s="204">
        <v>1016</v>
      </c>
      <c r="J1103" s="204">
        <v>1118</v>
      </c>
      <c r="K1103" s="204">
        <v>1058</v>
      </c>
      <c r="L1103" s="204">
        <v>960</v>
      </c>
      <c r="M1103" s="331">
        <v>824</v>
      </c>
      <c r="N1103" s="202">
        <v>-0.30056871233341814</v>
      </c>
    </row>
    <row r="1104" spans="1:14" ht="15.75" customHeight="1">
      <c r="A1104" s="198" t="s">
        <v>175</v>
      </c>
      <c r="B1104" s="199" t="s">
        <v>192</v>
      </c>
      <c r="C1104" s="205" t="s">
        <v>91</v>
      </c>
      <c r="D1104" s="203" t="s">
        <v>91</v>
      </c>
      <c r="E1104" s="216">
        <v>1434.4</v>
      </c>
      <c r="F1104" s="204">
        <v>1542</v>
      </c>
      <c r="G1104" s="204">
        <v>1458</v>
      </c>
      <c r="H1104" s="204">
        <v>1357</v>
      </c>
      <c r="I1104" s="204">
        <v>1183</v>
      </c>
      <c r="J1104" s="204">
        <v>1343</v>
      </c>
      <c r="K1104" s="204">
        <v>1297</v>
      </c>
      <c r="L1104" s="204">
        <v>1151</v>
      </c>
      <c r="M1104" s="331">
        <v>1011</v>
      </c>
      <c r="N1104" s="202">
        <v>-0.2951756832124931</v>
      </c>
    </row>
    <row r="1105" spans="1:14" ht="15.75" customHeight="1">
      <c r="A1105" s="198" t="s">
        <v>175</v>
      </c>
      <c r="B1105" s="199" t="s">
        <v>193</v>
      </c>
      <c r="C1105" s="199" t="s">
        <v>161</v>
      </c>
      <c r="D1105" s="200" t="s">
        <v>162</v>
      </c>
      <c r="E1105" s="215">
        <v>0</v>
      </c>
      <c r="F1105" s="201">
        <v>1</v>
      </c>
      <c r="G1105" s="201">
        <v>0</v>
      </c>
      <c r="H1105" s="201">
        <v>0</v>
      </c>
      <c r="I1105" s="201">
        <v>0</v>
      </c>
      <c r="J1105" s="201">
        <v>0</v>
      </c>
      <c r="K1105" s="201">
        <v>0</v>
      </c>
      <c r="L1105" s="201">
        <v>0</v>
      </c>
      <c r="M1105" s="330" t="s">
        <v>172</v>
      </c>
      <c r="N1105" s="202">
        <v>0</v>
      </c>
    </row>
    <row r="1106" spans="1:14">
      <c r="A1106" s="198" t="s">
        <v>175</v>
      </c>
      <c r="B1106" s="199" t="s">
        <v>193</v>
      </c>
      <c r="C1106" s="199" t="s">
        <v>161</v>
      </c>
      <c r="D1106" s="200" t="s">
        <v>163</v>
      </c>
      <c r="E1106" s="215">
        <v>8.4</v>
      </c>
      <c r="F1106" s="201">
        <v>6</v>
      </c>
      <c r="G1106" s="201">
        <v>5</v>
      </c>
      <c r="H1106" s="201">
        <v>4</v>
      </c>
      <c r="I1106" s="201">
        <v>1</v>
      </c>
      <c r="J1106" s="201">
        <v>0</v>
      </c>
      <c r="K1106" s="201">
        <v>6</v>
      </c>
      <c r="L1106" s="201">
        <v>7</v>
      </c>
      <c r="M1106" s="330">
        <v>5</v>
      </c>
      <c r="N1106" s="202">
        <v>-0.40476190476190477</v>
      </c>
    </row>
    <row r="1107" spans="1:14" ht="15.75" customHeight="1">
      <c r="A1107" s="198" t="s">
        <v>175</v>
      </c>
      <c r="B1107" s="199" t="s">
        <v>193</v>
      </c>
      <c r="C1107" s="199" t="s">
        <v>161</v>
      </c>
      <c r="D1107" s="200" t="s">
        <v>164</v>
      </c>
      <c r="E1107" s="215">
        <v>8.4</v>
      </c>
      <c r="F1107" s="201">
        <v>5</v>
      </c>
      <c r="G1107" s="201">
        <v>5</v>
      </c>
      <c r="H1107" s="201">
        <v>4</v>
      </c>
      <c r="I1107" s="201">
        <v>1</v>
      </c>
      <c r="J1107" s="201">
        <v>0</v>
      </c>
      <c r="K1107" s="201">
        <v>6</v>
      </c>
      <c r="L1107" s="201">
        <v>7</v>
      </c>
      <c r="M1107" s="330">
        <v>5</v>
      </c>
      <c r="N1107" s="202">
        <v>-0.40476190476190477</v>
      </c>
    </row>
    <row r="1108" spans="1:14" ht="15.75" customHeight="1">
      <c r="A1108" s="198" t="s">
        <v>175</v>
      </c>
      <c r="B1108" s="199" t="s">
        <v>193</v>
      </c>
      <c r="C1108" s="199" t="s">
        <v>161</v>
      </c>
      <c r="D1108" s="200" t="s">
        <v>165</v>
      </c>
      <c r="E1108" s="215">
        <v>67.599999999999994</v>
      </c>
      <c r="F1108" s="201">
        <v>102</v>
      </c>
      <c r="G1108" s="201">
        <v>66</v>
      </c>
      <c r="H1108" s="201">
        <v>36</v>
      </c>
      <c r="I1108" s="201">
        <v>27</v>
      </c>
      <c r="J1108" s="201">
        <v>20</v>
      </c>
      <c r="K1108" s="201">
        <v>47</v>
      </c>
      <c r="L1108" s="201">
        <v>46</v>
      </c>
      <c r="M1108" s="330">
        <v>45</v>
      </c>
      <c r="N1108" s="202">
        <v>-0.33431952662721887</v>
      </c>
    </row>
    <row r="1109" spans="1:14" ht="15.75" customHeight="1">
      <c r="A1109" s="198" t="s">
        <v>175</v>
      </c>
      <c r="B1109" s="199" t="s">
        <v>193</v>
      </c>
      <c r="C1109" s="199" t="s">
        <v>161</v>
      </c>
      <c r="D1109" s="203" t="s">
        <v>91</v>
      </c>
      <c r="E1109" s="216">
        <v>76</v>
      </c>
      <c r="F1109" s="204">
        <v>108</v>
      </c>
      <c r="G1109" s="204">
        <v>71</v>
      </c>
      <c r="H1109" s="204">
        <v>40</v>
      </c>
      <c r="I1109" s="204">
        <v>28</v>
      </c>
      <c r="J1109" s="204">
        <v>20</v>
      </c>
      <c r="K1109" s="204">
        <v>53</v>
      </c>
      <c r="L1109" s="204">
        <v>53</v>
      </c>
      <c r="M1109" s="331">
        <v>50</v>
      </c>
      <c r="N1109" s="202">
        <v>-0.34210526315789475</v>
      </c>
    </row>
    <row r="1110" spans="1:14" ht="15.75" customHeight="1">
      <c r="A1110" s="198" t="s">
        <v>175</v>
      </c>
      <c r="B1110" s="199" t="s">
        <v>193</v>
      </c>
      <c r="C1110" s="199" t="s">
        <v>134</v>
      </c>
      <c r="D1110" s="200" t="s">
        <v>162</v>
      </c>
      <c r="E1110" s="215">
        <v>0.4</v>
      </c>
      <c r="F1110" s="201">
        <v>0</v>
      </c>
      <c r="G1110" s="201">
        <v>1</v>
      </c>
      <c r="H1110" s="201">
        <v>0</v>
      </c>
      <c r="I1110" s="201">
        <v>0</v>
      </c>
      <c r="J1110" s="201">
        <v>0</v>
      </c>
      <c r="K1110" s="201">
        <v>0</v>
      </c>
      <c r="L1110" s="201">
        <v>0</v>
      </c>
      <c r="M1110" s="330" t="s">
        <v>172</v>
      </c>
      <c r="N1110" s="202">
        <v>-1</v>
      </c>
    </row>
    <row r="1111" spans="1:14">
      <c r="A1111" s="198" t="s">
        <v>175</v>
      </c>
      <c r="B1111" s="199" t="s">
        <v>193</v>
      </c>
      <c r="C1111" s="199" t="s">
        <v>134</v>
      </c>
      <c r="D1111" s="200" t="s">
        <v>163</v>
      </c>
      <c r="E1111" s="215">
        <v>29.3</v>
      </c>
      <c r="F1111" s="201">
        <v>11</v>
      </c>
      <c r="G1111" s="201">
        <v>16</v>
      </c>
      <c r="H1111" s="201">
        <v>23</v>
      </c>
      <c r="I1111" s="201">
        <v>11</v>
      </c>
      <c r="J1111" s="201">
        <v>8</v>
      </c>
      <c r="K1111" s="201">
        <v>10</v>
      </c>
      <c r="L1111" s="201">
        <v>9</v>
      </c>
      <c r="M1111" s="330">
        <v>12</v>
      </c>
      <c r="N1111" s="202">
        <v>-0.59044368600682595</v>
      </c>
    </row>
    <row r="1112" spans="1:14" ht="15.75" customHeight="1">
      <c r="A1112" s="198" t="s">
        <v>175</v>
      </c>
      <c r="B1112" s="199" t="s">
        <v>193</v>
      </c>
      <c r="C1112" s="199" t="s">
        <v>134</v>
      </c>
      <c r="D1112" s="200" t="s">
        <v>164</v>
      </c>
      <c r="E1112" s="215">
        <v>28.9</v>
      </c>
      <c r="F1112" s="201">
        <v>11</v>
      </c>
      <c r="G1112" s="201">
        <v>15</v>
      </c>
      <c r="H1112" s="201">
        <v>23</v>
      </c>
      <c r="I1112" s="201">
        <v>11</v>
      </c>
      <c r="J1112" s="201">
        <v>8</v>
      </c>
      <c r="K1112" s="201">
        <v>10</v>
      </c>
      <c r="L1112" s="201">
        <v>9</v>
      </c>
      <c r="M1112" s="330">
        <v>12</v>
      </c>
      <c r="N1112" s="202">
        <v>-0.58477508650519028</v>
      </c>
    </row>
    <row r="1113" spans="1:14" ht="15.75" customHeight="1">
      <c r="A1113" s="198" t="s">
        <v>175</v>
      </c>
      <c r="B1113" s="199" t="s">
        <v>193</v>
      </c>
      <c r="C1113" s="199" t="s">
        <v>134</v>
      </c>
      <c r="D1113" s="200" t="s">
        <v>165</v>
      </c>
      <c r="E1113" s="215">
        <v>380.8</v>
      </c>
      <c r="F1113" s="201">
        <v>379</v>
      </c>
      <c r="G1113" s="201">
        <v>391</v>
      </c>
      <c r="H1113" s="201">
        <v>342</v>
      </c>
      <c r="I1113" s="201">
        <v>314</v>
      </c>
      <c r="J1113" s="201">
        <v>283</v>
      </c>
      <c r="K1113" s="201">
        <v>267</v>
      </c>
      <c r="L1113" s="201">
        <v>230</v>
      </c>
      <c r="M1113" s="330">
        <v>252</v>
      </c>
      <c r="N1113" s="202">
        <v>-0.33823529411764708</v>
      </c>
    </row>
    <row r="1114" spans="1:14" ht="15.75" customHeight="1">
      <c r="A1114" s="198" t="s">
        <v>175</v>
      </c>
      <c r="B1114" s="199" t="s">
        <v>193</v>
      </c>
      <c r="C1114" s="199" t="s">
        <v>134</v>
      </c>
      <c r="D1114" s="203" t="s">
        <v>91</v>
      </c>
      <c r="E1114" s="216">
        <v>410.1</v>
      </c>
      <c r="F1114" s="204">
        <v>390</v>
      </c>
      <c r="G1114" s="204">
        <v>407</v>
      </c>
      <c r="H1114" s="204">
        <v>365</v>
      </c>
      <c r="I1114" s="204">
        <v>325</v>
      </c>
      <c r="J1114" s="204">
        <v>291</v>
      </c>
      <c r="K1114" s="204">
        <v>277</v>
      </c>
      <c r="L1114" s="204">
        <v>239</v>
      </c>
      <c r="M1114" s="331">
        <v>264</v>
      </c>
      <c r="N1114" s="202">
        <v>-0.35625457205559624</v>
      </c>
    </row>
    <row r="1115" spans="1:14" ht="15.75" customHeight="1">
      <c r="A1115" s="198" t="s">
        <v>175</v>
      </c>
      <c r="B1115" s="199" t="s">
        <v>193</v>
      </c>
      <c r="C1115" s="199" t="s">
        <v>166</v>
      </c>
      <c r="D1115" s="200" t="s">
        <v>162</v>
      </c>
      <c r="E1115" s="215">
        <v>0</v>
      </c>
      <c r="F1115" s="201">
        <v>0</v>
      </c>
      <c r="G1115" s="201">
        <v>0</v>
      </c>
      <c r="H1115" s="201">
        <v>0</v>
      </c>
      <c r="I1115" s="201">
        <v>0</v>
      </c>
      <c r="J1115" s="201">
        <v>0</v>
      </c>
      <c r="K1115" s="201">
        <v>0</v>
      </c>
      <c r="L1115" s="201">
        <v>0</v>
      </c>
      <c r="M1115" s="330" t="s">
        <v>172</v>
      </c>
      <c r="N1115" s="202">
        <v>0</v>
      </c>
    </row>
    <row r="1116" spans="1:14">
      <c r="A1116" s="198" t="s">
        <v>175</v>
      </c>
      <c r="B1116" s="199" t="s">
        <v>193</v>
      </c>
      <c r="C1116" s="199" t="s">
        <v>166</v>
      </c>
      <c r="D1116" s="200" t="s">
        <v>163</v>
      </c>
      <c r="E1116" s="215">
        <v>1.9</v>
      </c>
      <c r="F1116" s="201">
        <v>0</v>
      </c>
      <c r="G1116" s="201">
        <v>1</v>
      </c>
      <c r="H1116" s="201">
        <v>1</v>
      </c>
      <c r="I1116" s="201">
        <v>1</v>
      </c>
      <c r="J1116" s="201">
        <v>0</v>
      </c>
      <c r="K1116" s="201">
        <v>0</v>
      </c>
      <c r="L1116" s="201">
        <v>1</v>
      </c>
      <c r="M1116" s="330">
        <v>1</v>
      </c>
      <c r="N1116" s="202">
        <v>-0.47368421052631576</v>
      </c>
    </row>
    <row r="1117" spans="1:14" ht="15.75" customHeight="1">
      <c r="A1117" s="198" t="s">
        <v>175</v>
      </c>
      <c r="B1117" s="199" t="s">
        <v>193</v>
      </c>
      <c r="C1117" s="199" t="s">
        <v>166</v>
      </c>
      <c r="D1117" s="200" t="s">
        <v>164</v>
      </c>
      <c r="E1117" s="215">
        <v>1.9</v>
      </c>
      <c r="F1117" s="201">
        <v>0</v>
      </c>
      <c r="G1117" s="201">
        <v>1</v>
      </c>
      <c r="H1117" s="201">
        <v>1</v>
      </c>
      <c r="I1117" s="201">
        <v>1</v>
      </c>
      <c r="J1117" s="201">
        <v>0</v>
      </c>
      <c r="K1117" s="201">
        <v>0</v>
      </c>
      <c r="L1117" s="201">
        <v>1</v>
      </c>
      <c r="M1117" s="330">
        <v>1</v>
      </c>
      <c r="N1117" s="202">
        <v>-0.47368421052631576</v>
      </c>
    </row>
    <row r="1118" spans="1:14" ht="15.75" customHeight="1">
      <c r="A1118" s="198" t="s">
        <v>175</v>
      </c>
      <c r="B1118" s="199" t="s">
        <v>193</v>
      </c>
      <c r="C1118" s="199" t="s">
        <v>166</v>
      </c>
      <c r="D1118" s="200" t="s">
        <v>165</v>
      </c>
      <c r="E1118" s="215">
        <v>18.2</v>
      </c>
      <c r="F1118" s="201">
        <v>26</v>
      </c>
      <c r="G1118" s="201">
        <v>14</v>
      </c>
      <c r="H1118" s="201">
        <v>12</v>
      </c>
      <c r="I1118" s="201">
        <v>17</v>
      </c>
      <c r="J1118" s="201">
        <v>16</v>
      </c>
      <c r="K1118" s="201">
        <v>13</v>
      </c>
      <c r="L1118" s="201">
        <v>17</v>
      </c>
      <c r="M1118" s="330">
        <v>10</v>
      </c>
      <c r="N1118" s="202">
        <v>-0.4505494505494505</v>
      </c>
    </row>
    <row r="1119" spans="1:14" ht="15.75" customHeight="1">
      <c r="A1119" s="198" t="s">
        <v>175</v>
      </c>
      <c r="B1119" s="199" t="s">
        <v>193</v>
      </c>
      <c r="C1119" s="199" t="s">
        <v>166</v>
      </c>
      <c r="D1119" s="203" t="s">
        <v>91</v>
      </c>
      <c r="E1119" s="216">
        <v>20.100000000000001</v>
      </c>
      <c r="F1119" s="204">
        <v>26</v>
      </c>
      <c r="G1119" s="204">
        <v>15</v>
      </c>
      <c r="H1119" s="204">
        <v>13</v>
      </c>
      <c r="I1119" s="204">
        <v>18</v>
      </c>
      <c r="J1119" s="204">
        <v>16</v>
      </c>
      <c r="K1119" s="204">
        <v>13</v>
      </c>
      <c r="L1119" s="204">
        <v>18</v>
      </c>
      <c r="M1119" s="331">
        <v>11</v>
      </c>
      <c r="N1119" s="202">
        <v>-0.45273631840796025</v>
      </c>
    </row>
    <row r="1120" spans="1:14" ht="15.75" customHeight="1">
      <c r="A1120" s="198" t="s">
        <v>175</v>
      </c>
      <c r="B1120" s="199" t="s">
        <v>193</v>
      </c>
      <c r="C1120" s="199" t="s">
        <v>133</v>
      </c>
      <c r="D1120" s="200" t="s">
        <v>162</v>
      </c>
      <c r="E1120" s="215">
        <v>1</v>
      </c>
      <c r="F1120" s="201">
        <v>1</v>
      </c>
      <c r="G1120" s="201">
        <v>1</v>
      </c>
      <c r="H1120" s="201">
        <v>1</v>
      </c>
      <c r="I1120" s="201">
        <v>2</v>
      </c>
      <c r="J1120" s="201">
        <v>0</v>
      </c>
      <c r="K1120" s="201">
        <v>0</v>
      </c>
      <c r="L1120" s="201">
        <v>0</v>
      </c>
      <c r="M1120" s="330" t="s">
        <v>172</v>
      </c>
      <c r="N1120" s="202">
        <v>-1</v>
      </c>
    </row>
    <row r="1121" spans="1:14">
      <c r="A1121" s="198" t="s">
        <v>175</v>
      </c>
      <c r="B1121" s="199" t="s">
        <v>193</v>
      </c>
      <c r="C1121" s="199" t="s">
        <v>133</v>
      </c>
      <c r="D1121" s="200" t="s">
        <v>163</v>
      </c>
      <c r="E1121" s="215">
        <v>42.9</v>
      </c>
      <c r="F1121" s="201">
        <v>44</v>
      </c>
      <c r="G1121" s="201">
        <v>31</v>
      </c>
      <c r="H1121" s="201">
        <v>31</v>
      </c>
      <c r="I1121" s="201">
        <v>34</v>
      </c>
      <c r="J1121" s="201">
        <v>27</v>
      </c>
      <c r="K1121" s="201">
        <v>31</v>
      </c>
      <c r="L1121" s="201">
        <v>25</v>
      </c>
      <c r="M1121" s="330">
        <v>30</v>
      </c>
      <c r="N1121" s="202">
        <v>-0.30069930069930068</v>
      </c>
    </row>
    <row r="1122" spans="1:14" ht="15.75" customHeight="1">
      <c r="A1122" s="198" t="s">
        <v>175</v>
      </c>
      <c r="B1122" s="199" t="s">
        <v>193</v>
      </c>
      <c r="C1122" s="199" t="s">
        <v>133</v>
      </c>
      <c r="D1122" s="200" t="s">
        <v>164</v>
      </c>
      <c r="E1122" s="215">
        <v>41.9</v>
      </c>
      <c r="F1122" s="201">
        <v>43</v>
      </c>
      <c r="G1122" s="201">
        <v>30</v>
      </c>
      <c r="H1122" s="201">
        <v>30</v>
      </c>
      <c r="I1122" s="201">
        <v>32</v>
      </c>
      <c r="J1122" s="201">
        <v>27</v>
      </c>
      <c r="K1122" s="201">
        <v>31</v>
      </c>
      <c r="L1122" s="201">
        <v>25</v>
      </c>
      <c r="M1122" s="330">
        <v>30</v>
      </c>
      <c r="N1122" s="202">
        <v>-0.28400954653937943</v>
      </c>
    </row>
    <row r="1123" spans="1:14" ht="15.75" customHeight="1">
      <c r="A1123" s="198" t="s">
        <v>175</v>
      </c>
      <c r="B1123" s="199" t="s">
        <v>193</v>
      </c>
      <c r="C1123" s="199" t="s">
        <v>133</v>
      </c>
      <c r="D1123" s="200" t="s">
        <v>165</v>
      </c>
      <c r="E1123" s="215">
        <v>150.1</v>
      </c>
      <c r="F1123" s="201">
        <v>150</v>
      </c>
      <c r="G1123" s="201">
        <v>109</v>
      </c>
      <c r="H1123" s="201">
        <v>139</v>
      </c>
      <c r="I1123" s="201">
        <v>130</v>
      </c>
      <c r="J1123" s="201">
        <v>168</v>
      </c>
      <c r="K1123" s="201">
        <v>198</v>
      </c>
      <c r="L1123" s="201">
        <v>211</v>
      </c>
      <c r="M1123" s="330">
        <v>140</v>
      </c>
      <c r="N1123" s="202">
        <v>-6.7288474350433003E-2</v>
      </c>
    </row>
    <row r="1124" spans="1:14" ht="15.75" customHeight="1">
      <c r="A1124" s="198" t="s">
        <v>175</v>
      </c>
      <c r="B1124" s="199" t="s">
        <v>193</v>
      </c>
      <c r="C1124" s="199" t="s">
        <v>133</v>
      </c>
      <c r="D1124" s="203" t="s">
        <v>91</v>
      </c>
      <c r="E1124" s="216">
        <v>193.1</v>
      </c>
      <c r="F1124" s="204">
        <v>194</v>
      </c>
      <c r="G1124" s="204">
        <v>140</v>
      </c>
      <c r="H1124" s="204">
        <v>170</v>
      </c>
      <c r="I1124" s="204">
        <v>164</v>
      </c>
      <c r="J1124" s="204">
        <v>195</v>
      </c>
      <c r="K1124" s="204">
        <v>229</v>
      </c>
      <c r="L1124" s="204">
        <v>236</v>
      </c>
      <c r="M1124" s="331">
        <v>170</v>
      </c>
      <c r="N1124" s="202">
        <v>-0.11962713619886067</v>
      </c>
    </row>
    <row r="1125" spans="1:14" ht="15.75" customHeight="1">
      <c r="A1125" s="198" t="s">
        <v>175</v>
      </c>
      <c r="B1125" s="199" t="s">
        <v>193</v>
      </c>
      <c r="C1125" s="199" t="s">
        <v>167</v>
      </c>
      <c r="D1125" s="200" t="s">
        <v>162</v>
      </c>
      <c r="E1125" s="215">
        <v>0</v>
      </c>
      <c r="F1125" s="201">
        <v>0</v>
      </c>
      <c r="G1125" s="201">
        <v>0</v>
      </c>
      <c r="H1125" s="201">
        <v>0</v>
      </c>
      <c r="I1125" s="201">
        <v>0</v>
      </c>
      <c r="J1125" s="201">
        <v>0</v>
      </c>
      <c r="K1125" s="201">
        <v>0</v>
      </c>
      <c r="L1125" s="201">
        <v>0</v>
      </c>
      <c r="M1125" s="330" t="s">
        <v>172</v>
      </c>
      <c r="N1125" s="202">
        <v>0</v>
      </c>
    </row>
    <row r="1126" spans="1:14" ht="15.75" customHeight="1">
      <c r="A1126" s="198" t="s">
        <v>175</v>
      </c>
      <c r="B1126" s="199" t="s">
        <v>193</v>
      </c>
      <c r="C1126" s="199" t="s">
        <v>167</v>
      </c>
      <c r="D1126" s="200" t="s">
        <v>163</v>
      </c>
      <c r="E1126" s="215">
        <v>0.4</v>
      </c>
      <c r="F1126" s="201">
        <v>0</v>
      </c>
      <c r="G1126" s="201">
        <v>2</v>
      </c>
      <c r="H1126" s="201">
        <v>1</v>
      </c>
      <c r="I1126" s="201">
        <v>4</v>
      </c>
      <c r="J1126" s="201">
        <v>1</v>
      </c>
      <c r="K1126" s="201">
        <v>2</v>
      </c>
      <c r="L1126" s="201">
        <v>2</v>
      </c>
      <c r="M1126" s="330">
        <v>5</v>
      </c>
      <c r="N1126" s="202">
        <v>11.499999999999998</v>
      </c>
    </row>
    <row r="1127" spans="1:14" ht="15.75" customHeight="1">
      <c r="A1127" s="198" t="s">
        <v>175</v>
      </c>
      <c r="B1127" s="199" t="s">
        <v>193</v>
      </c>
      <c r="C1127" s="199" t="s">
        <v>167</v>
      </c>
      <c r="D1127" s="200" t="s">
        <v>164</v>
      </c>
      <c r="E1127" s="215">
        <v>0.4</v>
      </c>
      <c r="F1127" s="201">
        <v>0</v>
      </c>
      <c r="G1127" s="201">
        <v>2</v>
      </c>
      <c r="H1127" s="201">
        <v>1</v>
      </c>
      <c r="I1127" s="201">
        <v>4</v>
      </c>
      <c r="J1127" s="201">
        <v>1</v>
      </c>
      <c r="K1127" s="201">
        <v>2</v>
      </c>
      <c r="L1127" s="201">
        <v>2</v>
      </c>
      <c r="M1127" s="330">
        <v>5</v>
      </c>
      <c r="N1127" s="202">
        <v>11.499999999999998</v>
      </c>
    </row>
    <row r="1128" spans="1:14" ht="15.75" customHeight="1">
      <c r="A1128" s="198" t="s">
        <v>175</v>
      </c>
      <c r="B1128" s="199" t="s">
        <v>193</v>
      </c>
      <c r="C1128" s="199" t="s">
        <v>167</v>
      </c>
      <c r="D1128" s="200" t="s">
        <v>165</v>
      </c>
      <c r="E1128" s="215">
        <v>4.2</v>
      </c>
      <c r="F1128" s="201">
        <v>3</v>
      </c>
      <c r="G1128" s="201">
        <v>2</v>
      </c>
      <c r="H1128" s="201">
        <v>4</v>
      </c>
      <c r="I1128" s="201">
        <v>10</v>
      </c>
      <c r="J1128" s="201">
        <v>14</v>
      </c>
      <c r="K1128" s="201">
        <v>18</v>
      </c>
      <c r="L1128" s="201">
        <v>12</v>
      </c>
      <c r="M1128" s="330">
        <v>13</v>
      </c>
      <c r="N1128" s="202">
        <v>2.0952380952380953</v>
      </c>
    </row>
    <row r="1129" spans="1:14" ht="15.75" customHeight="1">
      <c r="A1129" s="198" t="s">
        <v>175</v>
      </c>
      <c r="B1129" s="199" t="s">
        <v>193</v>
      </c>
      <c r="C1129" s="199" t="s">
        <v>167</v>
      </c>
      <c r="D1129" s="203" t="s">
        <v>91</v>
      </c>
      <c r="E1129" s="216">
        <v>4.5999999999999996</v>
      </c>
      <c r="F1129" s="204">
        <v>3</v>
      </c>
      <c r="G1129" s="204">
        <v>4</v>
      </c>
      <c r="H1129" s="204">
        <v>5</v>
      </c>
      <c r="I1129" s="204">
        <v>14</v>
      </c>
      <c r="J1129" s="204">
        <v>15</v>
      </c>
      <c r="K1129" s="204">
        <v>20</v>
      </c>
      <c r="L1129" s="204">
        <v>14</v>
      </c>
      <c r="M1129" s="331">
        <v>18</v>
      </c>
      <c r="N1129" s="202">
        <v>2.9130434782608701</v>
      </c>
    </row>
    <row r="1130" spans="1:14" ht="15.75" customHeight="1">
      <c r="A1130" s="198" t="s">
        <v>175</v>
      </c>
      <c r="B1130" s="199" t="s">
        <v>193</v>
      </c>
      <c r="C1130" s="199" t="s">
        <v>168</v>
      </c>
      <c r="D1130" s="200" t="s">
        <v>162</v>
      </c>
      <c r="E1130" s="215">
        <v>0.4</v>
      </c>
      <c r="F1130" s="201">
        <v>0</v>
      </c>
      <c r="G1130" s="201">
        <v>2</v>
      </c>
      <c r="H1130" s="201">
        <v>1</v>
      </c>
      <c r="I1130" s="201">
        <v>1</v>
      </c>
      <c r="J1130" s="201">
        <v>0</v>
      </c>
      <c r="K1130" s="201">
        <v>0</v>
      </c>
      <c r="L1130" s="201">
        <v>1</v>
      </c>
      <c r="M1130" s="330" t="s">
        <v>172</v>
      </c>
      <c r="N1130" s="202">
        <v>-1</v>
      </c>
    </row>
    <row r="1131" spans="1:14" ht="15.75" customHeight="1">
      <c r="A1131" s="198" t="s">
        <v>175</v>
      </c>
      <c r="B1131" s="199" t="s">
        <v>193</v>
      </c>
      <c r="C1131" s="199" t="s">
        <v>168</v>
      </c>
      <c r="D1131" s="200" t="s">
        <v>163</v>
      </c>
      <c r="E1131" s="215">
        <v>28.7</v>
      </c>
      <c r="F1131" s="201">
        <v>7</v>
      </c>
      <c r="G1131" s="201">
        <v>18</v>
      </c>
      <c r="H1131" s="201">
        <v>22</v>
      </c>
      <c r="I1131" s="201">
        <v>31</v>
      </c>
      <c r="J1131" s="201">
        <v>36</v>
      </c>
      <c r="K1131" s="201">
        <v>29</v>
      </c>
      <c r="L1131" s="201">
        <v>32</v>
      </c>
      <c r="M1131" s="330">
        <v>34</v>
      </c>
      <c r="N1131" s="202">
        <v>0.18466898954703836</v>
      </c>
    </row>
    <row r="1132" spans="1:14" ht="15.75" customHeight="1">
      <c r="A1132" s="198" t="s">
        <v>175</v>
      </c>
      <c r="B1132" s="199" t="s">
        <v>193</v>
      </c>
      <c r="C1132" s="199" t="s">
        <v>168</v>
      </c>
      <c r="D1132" s="200" t="s">
        <v>164</v>
      </c>
      <c r="E1132" s="215">
        <v>28.3</v>
      </c>
      <c r="F1132" s="201">
        <v>7</v>
      </c>
      <c r="G1132" s="201">
        <v>16</v>
      </c>
      <c r="H1132" s="201">
        <v>21</v>
      </c>
      <c r="I1132" s="201">
        <v>30</v>
      </c>
      <c r="J1132" s="201">
        <v>36</v>
      </c>
      <c r="K1132" s="201">
        <v>29</v>
      </c>
      <c r="L1132" s="201">
        <v>31</v>
      </c>
      <c r="M1132" s="330">
        <v>34</v>
      </c>
      <c r="N1132" s="202">
        <v>0.20141342756183742</v>
      </c>
    </row>
    <row r="1133" spans="1:14" ht="15.75" customHeight="1">
      <c r="A1133" s="198" t="s">
        <v>175</v>
      </c>
      <c r="B1133" s="199" t="s">
        <v>193</v>
      </c>
      <c r="C1133" s="199" t="s">
        <v>168</v>
      </c>
      <c r="D1133" s="200" t="s">
        <v>165</v>
      </c>
      <c r="E1133" s="215">
        <v>133.5</v>
      </c>
      <c r="F1133" s="201">
        <v>130</v>
      </c>
      <c r="G1133" s="201">
        <v>146</v>
      </c>
      <c r="H1133" s="201">
        <v>136</v>
      </c>
      <c r="I1133" s="201">
        <v>155</v>
      </c>
      <c r="J1133" s="201">
        <v>131</v>
      </c>
      <c r="K1133" s="201">
        <v>156</v>
      </c>
      <c r="L1133" s="201">
        <v>134</v>
      </c>
      <c r="M1133" s="330">
        <v>143</v>
      </c>
      <c r="N1133" s="202">
        <v>7.116104868913857E-2</v>
      </c>
    </row>
    <row r="1134" spans="1:14" ht="15.75" customHeight="1">
      <c r="A1134" s="198" t="s">
        <v>175</v>
      </c>
      <c r="B1134" s="199" t="s">
        <v>193</v>
      </c>
      <c r="C1134" s="199" t="s">
        <v>168</v>
      </c>
      <c r="D1134" s="203" t="s">
        <v>91</v>
      </c>
      <c r="E1134" s="216">
        <v>162.30000000000001</v>
      </c>
      <c r="F1134" s="204">
        <v>137</v>
      </c>
      <c r="G1134" s="204">
        <v>164</v>
      </c>
      <c r="H1134" s="204">
        <v>158</v>
      </c>
      <c r="I1134" s="204">
        <v>186</v>
      </c>
      <c r="J1134" s="204">
        <v>167</v>
      </c>
      <c r="K1134" s="204">
        <v>185</v>
      </c>
      <c r="L1134" s="204">
        <v>166</v>
      </c>
      <c r="M1134" s="331">
        <v>177</v>
      </c>
      <c r="N1134" s="202">
        <v>9.0573012939001774E-2</v>
      </c>
    </row>
    <row r="1135" spans="1:14" ht="15.75" customHeight="1">
      <c r="A1135" s="198" t="s">
        <v>175</v>
      </c>
      <c r="B1135" s="199" t="s">
        <v>193</v>
      </c>
      <c r="C1135" s="199" t="s">
        <v>131</v>
      </c>
      <c r="D1135" s="200" t="s">
        <v>162</v>
      </c>
      <c r="E1135" s="215">
        <v>2.4</v>
      </c>
      <c r="F1135" s="201">
        <v>5</v>
      </c>
      <c r="G1135" s="201">
        <v>2</v>
      </c>
      <c r="H1135" s="201">
        <v>1</v>
      </c>
      <c r="I1135" s="201">
        <v>2</v>
      </c>
      <c r="J1135" s="201">
        <v>1</v>
      </c>
      <c r="K1135" s="201">
        <v>0</v>
      </c>
      <c r="L1135" s="201">
        <v>0</v>
      </c>
      <c r="M1135" s="330" t="s">
        <v>172</v>
      </c>
      <c r="N1135" s="202">
        <v>-1</v>
      </c>
    </row>
    <row r="1136" spans="1:14" ht="15.75" customHeight="1">
      <c r="A1136" s="198" t="s">
        <v>175</v>
      </c>
      <c r="B1136" s="199" t="s">
        <v>193</v>
      </c>
      <c r="C1136" s="199" t="s">
        <v>131</v>
      </c>
      <c r="D1136" s="200" t="s">
        <v>163</v>
      </c>
      <c r="E1136" s="215">
        <v>52.9</v>
      </c>
      <c r="F1136" s="201">
        <v>52</v>
      </c>
      <c r="G1136" s="201">
        <v>32</v>
      </c>
      <c r="H1136" s="201">
        <v>36</v>
      </c>
      <c r="I1136" s="201">
        <v>34</v>
      </c>
      <c r="J1136" s="201">
        <v>36</v>
      </c>
      <c r="K1136" s="201">
        <v>34</v>
      </c>
      <c r="L1136" s="201">
        <v>27</v>
      </c>
      <c r="M1136" s="330">
        <v>43</v>
      </c>
      <c r="N1136" s="202">
        <v>-0.18714555765595461</v>
      </c>
    </row>
    <row r="1137" spans="1:14" ht="15.75" customHeight="1">
      <c r="A1137" s="198" t="s">
        <v>175</v>
      </c>
      <c r="B1137" s="199" t="s">
        <v>193</v>
      </c>
      <c r="C1137" s="199" t="s">
        <v>131</v>
      </c>
      <c r="D1137" s="200" t="s">
        <v>164</v>
      </c>
      <c r="E1137" s="215">
        <v>50.5</v>
      </c>
      <c r="F1137" s="201">
        <v>47</v>
      </c>
      <c r="G1137" s="201">
        <v>30</v>
      </c>
      <c r="H1137" s="201">
        <v>35</v>
      </c>
      <c r="I1137" s="201">
        <v>32</v>
      </c>
      <c r="J1137" s="201">
        <v>35</v>
      </c>
      <c r="K1137" s="201">
        <v>34</v>
      </c>
      <c r="L1137" s="201">
        <v>27</v>
      </c>
      <c r="M1137" s="330">
        <v>43</v>
      </c>
      <c r="N1137" s="202">
        <v>-0.14851485148514851</v>
      </c>
    </row>
    <row r="1138" spans="1:14" ht="15.75" customHeight="1">
      <c r="A1138" s="198" t="s">
        <v>175</v>
      </c>
      <c r="B1138" s="199" t="s">
        <v>193</v>
      </c>
      <c r="C1138" s="199" t="s">
        <v>131</v>
      </c>
      <c r="D1138" s="200" t="s">
        <v>165</v>
      </c>
      <c r="E1138" s="215">
        <v>153.9</v>
      </c>
      <c r="F1138" s="201">
        <v>173</v>
      </c>
      <c r="G1138" s="201">
        <v>136</v>
      </c>
      <c r="H1138" s="201">
        <v>136</v>
      </c>
      <c r="I1138" s="201">
        <v>102</v>
      </c>
      <c r="J1138" s="201">
        <v>82</v>
      </c>
      <c r="K1138" s="201">
        <v>86</v>
      </c>
      <c r="L1138" s="201">
        <v>110</v>
      </c>
      <c r="M1138" s="330">
        <v>102</v>
      </c>
      <c r="N1138" s="202">
        <v>-0.33723196881091622</v>
      </c>
    </row>
    <row r="1139" spans="1:14" ht="15.75" customHeight="1">
      <c r="A1139" s="198" t="s">
        <v>175</v>
      </c>
      <c r="B1139" s="199" t="s">
        <v>193</v>
      </c>
      <c r="C1139" s="199" t="s">
        <v>131</v>
      </c>
      <c r="D1139" s="203" t="s">
        <v>91</v>
      </c>
      <c r="E1139" s="216">
        <v>206.8</v>
      </c>
      <c r="F1139" s="204">
        <v>225</v>
      </c>
      <c r="G1139" s="204">
        <v>168</v>
      </c>
      <c r="H1139" s="204">
        <v>172</v>
      </c>
      <c r="I1139" s="204">
        <v>136</v>
      </c>
      <c r="J1139" s="204">
        <v>118</v>
      </c>
      <c r="K1139" s="204">
        <v>120</v>
      </c>
      <c r="L1139" s="204">
        <v>137</v>
      </c>
      <c r="M1139" s="331">
        <v>145</v>
      </c>
      <c r="N1139" s="202">
        <v>-0.29883945841392656</v>
      </c>
    </row>
    <row r="1140" spans="1:14" ht="15.75" customHeight="1">
      <c r="A1140" s="198" t="s">
        <v>175</v>
      </c>
      <c r="B1140" s="199" t="s">
        <v>193</v>
      </c>
      <c r="C1140" s="199" t="s">
        <v>169</v>
      </c>
      <c r="D1140" s="200" t="s">
        <v>162</v>
      </c>
      <c r="E1140" s="215">
        <v>0</v>
      </c>
      <c r="F1140" s="201">
        <v>0</v>
      </c>
      <c r="G1140" s="201">
        <v>0</v>
      </c>
      <c r="H1140" s="201">
        <v>0</v>
      </c>
      <c r="I1140" s="201">
        <v>0</v>
      </c>
      <c r="J1140" s="201">
        <v>0</v>
      </c>
      <c r="K1140" s="201">
        <v>0</v>
      </c>
      <c r="L1140" s="201">
        <v>0</v>
      </c>
      <c r="M1140" s="330" t="s">
        <v>172</v>
      </c>
      <c r="N1140" s="202">
        <v>0</v>
      </c>
    </row>
    <row r="1141" spans="1:14" ht="15.75" customHeight="1">
      <c r="A1141" s="198" t="s">
        <v>175</v>
      </c>
      <c r="B1141" s="199" t="s">
        <v>193</v>
      </c>
      <c r="C1141" s="199" t="s">
        <v>169</v>
      </c>
      <c r="D1141" s="200" t="s">
        <v>163</v>
      </c>
      <c r="E1141" s="215">
        <v>0</v>
      </c>
      <c r="F1141" s="201">
        <v>0</v>
      </c>
      <c r="G1141" s="201">
        <v>1</v>
      </c>
      <c r="H1141" s="201">
        <v>1</v>
      </c>
      <c r="I1141" s="201">
        <v>0</v>
      </c>
      <c r="J1141" s="201">
        <v>0</v>
      </c>
      <c r="K1141" s="201">
        <v>1</v>
      </c>
      <c r="L1141" s="201">
        <v>0</v>
      </c>
      <c r="M1141" s="330">
        <v>0</v>
      </c>
      <c r="N1141" s="202">
        <v>0</v>
      </c>
    </row>
    <row r="1142" spans="1:14" ht="15.75" customHeight="1">
      <c r="A1142" s="198" t="s">
        <v>175</v>
      </c>
      <c r="B1142" s="199" t="s">
        <v>193</v>
      </c>
      <c r="C1142" s="199" t="s">
        <v>169</v>
      </c>
      <c r="D1142" s="200" t="s">
        <v>164</v>
      </c>
      <c r="E1142" s="215">
        <v>0</v>
      </c>
      <c r="F1142" s="201">
        <v>0</v>
      </c>
      <c r="G1142" s="201">
        <v>1</v>
      </c>
      <c r="H1142" s="201">
        <v>1</v>
      </c>
      <c r="I1142" s="201">
        <v>0</v>
      </c>
      <c r="J1142" s="201">
        <v>0</v>
      </c>
      <c r="K1142" s="201">
        <v>1</v>
      </c>
      <c r="L1142" s="201">
        <v>0</v>
      </c>
      <c r="M1142" s="330" t="s">
        <v>172</v>
      </c>
      <c r="N1142" s="202">
        <v>0</v>
      </c>
    </row>
    <row r="1143" spans="1:14" ht="15.75" customHeight="1">
      <c r="A1143" s="198" t="s">
        <v>175</v>
      </c>
      <c r="B1143" s="199" t="s">
        <v>193</v>
      </c>
      <c r="C1143" s="199" t="s">
        <v>169</v>
      </c>
      <c r="D1143" s="200" t="s">
        <v>165</v>
      </c>
      <c r="E1143" s="215">
        <v>0</v>
      </c>
      <c r="F1143" s="201">
        <v>21</v>
      </c>
      <c r="G1143" s="201">
        <v>27</v>
      </c>
      <c r="H1143" s="201">
        <v>6</v>
      </c>
      <c r="I1143" s="201">
        <v>7</v>
      </c>
      <c r="J1143" s="201">
        <v>6</v>
      </c>
      <c r="K1143" s="201">
        <v>8</v>
      </c>
      <c r="L1143" s="201">
        <v>3</v>
      </c>
      <c r="M1143" s="330">
        <v>4</v>
      </c>
      <c r="N1143" s="202">
        <v>0</v>
      </c>
    </row>
    <row r="1144" spans="1:14" ht="15.75" customHeight="1">
      <c r="A1144" s="198" t="s">
        <v>175</v>
      </c>
      <c r="B1144" s="199" t="s">
        <v>193</v>
      </c>
      <c r="C1144" s="199" t="s">
        <v>169</v>
      </c>
      <c r="D1144" s="203" t="s">
        <v>91</v>
      </c>
      <c r="E1144" s="216">
        <v>0</v>
      </c>
      <c r="F1144" s="204">
        <v>21</v>
      </c>
      <c r="G1144" s="204">
        <v>28</v>
      </c>
      <c r="H1144" s="204">
        <v>7</v>
      </c>
      <c r="I1144" s="204">
        <v>7</v>
      </c>
      <c r="J1144" s="204">
        <v>6</v>
      </c>
      <c r="K1144" s="204">
        <v>9</v>
      </c>
      <c r="L1144" s="204">
        <v>3</v>
      </c>
      <c r="M1144" s="331">
        <v>4</v>
      </c>
      <c r="N1144" s="202">
        <v>0</v>
      </c>
    </row>
    <row r="1145" spans="1:14" ht="15.75" customHeight="1">
      <c r="A1145" s="198" t="s">
        <v>175</v>
      </c>
      <c r="B1145" s="199" t="s">
        <v>193</v>
      </c>
      <c r="C1145" s="199" t="s">
        <v>139</v>
      </c>
      <c r="D1145" s="200" t="s">
        <v>162</v>
      </c>
      <c r="E1145" s="215">
        <v>0</v>
      </c>
      <c r="F1145" s="201">
        <v>0</v>
      </c>
      <c r="G1145" s="201">
        <v>0</v>
      </c>
      <c r="H1145" s="201">
        <v>0</v>
      </c>
      <c r="I1145" s="201">
        <v>0</v>
      </c>
      <c r="J1145" s="201">
        <v>0</v>
      </c>
      <c r="K1145" s="201">
        <v>0</v>
      </c>
      <c r="L1145" s="201">
        <v>0</v>
      </c>
      <c r="M1145" s="330" t="s">
        <v>172</v>
      </c>
      <c r="N1145" s="202">
        <v>0</v>
      </c>
    </row>
    <row r="1146" spans="1:14" ht="15.75" customHeight="1">
      <c r="A1146" s="198" t="s">
        <v>175</v>
      </c>
      <c r="B1146" s="199" t="s">
        <v>193</v>
      </c>
      <c r="C1146" s="199" t="s">
        <v>139</v>
      </c>
      <c r="D1146" s="200" t="s">
        <v>163</v>
      </c>
      <c r="E1146" s="215">
        <v>1.1000000000000001</v>
      </c>
      <c r="F1146" s="201">
        <v>0</v>
      </c>
      <c r="G1146" s="201">
        <v>1</v>
      </c>
      <c r="H1146" s="201">
        <v>0</v>
      </c>
      <c r="I1146" s="201">
        <v>0</v>
      </c>
      <c r="J1146" s="201">
        <v>1</v>
      </c>
      <c r="K1146" s="201">
        <v>1</v>
      </c>
      <c r="L1146" s="201">
        <v>2</v>
      </c>
      <c r="M1146" s="330">
        <v>0</v>
      </c>
      <c r="N1146" s="202">
        <v>-1</v>
      </c>
    </row>
    <row r="1147" spans="1:14" ht="15.75" customHeight="1">
      <c r="A1147" s="198" t="s">
        <v>175</v>
      </c>
      <c r="B1147" s="199" t="s">
        <v>193</v>
      </c>
      <c r="C1147" s="199" t="s">
        <v>139</v>
      </c>
      <c r="D1147" s="200" t="s">
        <v>164</v>
      </c>
      <c r="E1147" s="215">
        <v>1.1000000000000001</v>
      </c>
      <c r="F1147" s="201">
        <v>0</v>
      </c>
      <c r="G1147" s="201">
        <v>1</v>
      </c>
      <c r="H1147" s="201">
        <v>0</v>
      </c>
      <c r="I1147" s="201">
        <v>0</v>
      </c>
      <c r="J1147" s="201">
        <v>1</v>
      </c>
      <c r="K1147" s="201">
        <v>1</v>
      </c>
      <c r="L1147" s="201">
        <v>2</v>
      </c>
      <c r="M1147" s="330" t="s">
        <v>172</v>
      </c>
      <c r="N1147" s="202">
        <v>-1</v>
      </c>
    </row>
    <row r="1148" spans="1:14" ht="15.75" customHeight="1">
      <c r="A1148" s="198" t="s">
        <v>175</v>
      </c>
      <c r="B1148" s="199" t="s">
        <v>193</v>
      </c>
      <c r="C1148" s="199" t="s">
        <v>139</v>
      </c>
      <c r="D1148" s="200" t="s">
        <v>165</v>
      </c>
      <c r="E1148" s="215">
        <v>13.3</v>
      </c>
      <c r="F1148" s="201">
        <v>6</v>
      </c>
      <c r="G1148" s="201">
        <v>13</v>
      </c>
      <c r="H1148" s="201">
        <v>17</v>
      </c>
      <c r="I1148" s="201">
        <v>6</v>
      </c>
      <c r="J1148" s="201">
        <v>14</v>
      </c>
      <c r="K1148" s="201">
        <v>10</v>
      </c>
      <c r="L1148" s="201">
        <v>10</v>
      </c>
      <c r="M1148" s="330">
        <v>1</v>
      </c>
      <c r="N1148" s="202">
        <v>-0.92481203007518797</v>
      </c>
    </row>
    <row r="1149" spans="1:14" ht="15.75" customHeight="1">
      <c r="A1149" s="198" t="s">
        <v>175</v>
      </c>
      <c r="B1149" s="199" t="s">
        <v>193</v>
      </c>
      <c r="C1149" s="199" t="s">
        <v>139</v>
      </c>
      <c r="D1149" s="203" t="s">
        <v>91</v>
      </c>
      <c r="E1149" s="216">
        <v>14.4</v>
      </c>
      <c r="F1149" s="204">
        <v>6</v>
      </c>
      <c r="G1149" s="204">
        <v>14</v>
      </c>
      <c r="H1149" s="204">
        <v>17</v>
      </c>
      <c r="I1149" s="204">
        <v>6</v>
      </c>
      <c r="J1149" s="204">
        <v>15</v>
      </c>
      <c r="K1149" s="204">
        <v>11</v>
      </c>
      <c r="L1149" s="204">
        <v>12</v>
      </c>
      <c r="M1149" s="331">
        <v>1</v>
      </c>
      <c r="N1149" s="202">
        <v>-0.93055555555555558</v>
      </c>
    </row>
    <row r="1150" spans="1:14" ht="15.75" customHeight="1">
      <c r="A1150" s="198" t="s">
        <v>175</v>
      </c>
      <c r="B1150" s="199" t="s">
        <v>193</v>
      </c>
      <c r="C1150" s="205" t="s">
        <v>91</v>
      </c>
      <c r="D1150" s="203" t="s">
        <v>162</v>
      </c>
      <c r="E1150" s="216">
        <v>4.2</v>
      </c>
      <c r="F1150" s="204">
        <v>7</v>
      </c>
      <c r="G1150" s="204">
        <v>6</v>
      </c>
      <c r="H1150" s="204">
        <v>3</v>
      </c>
      <c r="I1150" s="204">
        <v>5</v>
      </c>
      <c r="J1150" s="204">
        <v>1</v>
      </c>
      <c r="K1150" s="204">
        <v>0</v>
      </c>
      <c r="L1150" s="204">
        <v>1</v>
      </c>
      <c r="M1150" s="331">
        <v>0</v>
      </c>
      <c r="N1150" s="202">
        <v>-1</v>
      </c>
    </row>
    <row r="1151" spans="1:14" ht="15.75" customHeight="1">
      <c r="A1151" s="198" t="s">
        <v>159</v>
      </c>
      <c r="B1151" s="199" t="s">
        <v>174</v>
      </c>
      <c r="C1151" s="205" t="s">
        <v>91</v>
      </c>
      <c r="D1151" s="203" t="s">
        <v>163</v>
      </c>
      <c r="E1151" s="214">
        <v>137.6</v>
      </c>
      <c r="F1151" s="204">
        <v>107</v>
      </c>
      <c r="G1151" s="204">
        <v>111</v>
      </c>
      <c r="H1151" s="204">
        <v>106</v>
      </c>
      <c r="I1151" s="204">
        <v>77</v>
      </c>
      <c r="J1151" s="204">
        <v>109</v>
      </c>
      <c r="K1151" s="204">
        <v>103</v>
      </c>
      <c r="L1151" s="204">
        <v>122</v>
      </c>
      <c r="M1151" s="331">
        <v>83</v>
      </c>
      <c r="N1151" s="202">
        <v>-0.39680232558139533</v>
      </c>
    </row>
    <row r="1152" spans="1:14" ht="15.75" customHeight="1">
      <c r="A1152" s="198" t="s">
        <v>175</v>
      </c>
      <c r="B1152" s="199" t="s">
        <v>193</v>
      </c>
      <c r="C1152" s="205" t="s">
        <v>91</v>
      </c>
      <c r="D1152" s="203" t="s">
        <v>164</v>
      </c>
      <c r="E1152" s="216">
        <v>161.5</v>
      </c>
      <c r="F1152" s="204">
        <v>113</v>
      </c>
      <c r="G1152" s="204">
        <v>101</v>
      </c>
      <c r="H1152" s="204">
        <v>116</v>
      </c>
      <c r="I1152" s="204">
        <v>111</v>
      </c>
      <c r="J1152" s="204">
        <v>108</v>
      </c>
      <c r="K1152" s="204">
        <v>114</v>
      </c>
      <c r="L1152" s="204">
        <v>104</v>
      </c>
      <c r="M1152" s="331">
        <v>130</v>
      </c>
      <c r="N1152" s="202">
        <v>-0.19504643962848298</v>
      </c>
    </row>
    <row r="1153" spans="1:14" ht="15.75" customHeight="1">
      <c r="A1153" s="198" t="s">
        <v>175</v>
      </c>
      <c r="B1153" s="199" t="s">
        <v>193</v>
      </c>
      <c r="C1153" s="205" t="s">
        <v>91</v>
      </c>
      <c r="D1153" s="203" t="s">
        <v>165</v>
      </c>
      <c r="E1153" s="216">
        <v>921.5</v>
      </c>
      <c r="F1153" s="204">
        <v>990</v>
      </c>
      <c r="G1153" s="204">
        <v>904</v>
      </c>
      <c r="H1153" s="204">
        <v>828</v>
      </c>
      <c r="I1153" s="204">
        <v>768</v>
      </c>
      <c r="J1153" s="204">
        <v>734</v>
      </c>
      <c r="K1153" s="204">
        <v>803</v>
      </c>
      <c r="L1153" s="204">
        <v>773</v>
      </c>
      <c r="M1153" s="331">
        <v>710</v>
      </c>
      <c r="N1153" s="202">
        <v>-0.22951709169831797</v>
      </c>
    </row>
    <row r="1154" spans="1:14" ht="15.75" customHeight="1">
      <c r="A1154" s="198" t="s">
        <v>175</v>
      </c>
      <c r="B1154" s="199" t="s">
        <v>193</v>
      </c>
      <c r="C1154" s="205" t="s">
        <v>91</v>
      </c>
      <c r="D1154" s="203" t="s">
        <v>91</v>
      </c>
      <c r="E1154" s="216">
        <v>1087.3</v>
      </c>
      <c r="F1154" s="204">
        <v>1110</v>
      </c>
      <c r="G1154" s="204">
        <v>1011</v>
      </c>
      <c r="H1154" s="204">
        <v>947</v>
      </c>
      <c r="I1154" s="204">
        <v>884</v>
      </c>
      <c r="J1154" s="204">
        <v>843</v>
      </c>
      <c r="K1154" s="204">
        <v>917</v>
      </c>
      <c r="L1154" s="204">
        <v>878</v>
      </c>
      <c r="M1154" s="331">
        <v>840</v>
      </c>
      <c r="N1154" s="202">
        <v>-0.22744412765566077</v>
      </c>
    </row>
    <row r="1155" spans="1:14" ht="15.75" customHeight="1">
      <c r="A1155" s="198" t="s">
        <v>159</v>
      </c>
      <c r="B1155" s="199" t="s">
        <v>194</v>
      </c>
      <c r="C1155" s="199" t="s">
        <v>161</v>
      </c>
      <c r="D1155" s="200" t="s">
        <v>162</v>
      </c>
      <c r="E1155" s="213">
        <v>0</v>
      </c>
      <c r="F1155" s="201">
        <v>0</v>
      </c>
      <c r="G1155" s="201">
        <v>0</v>
      </c>
      <c r="H1155" s="201">
        <v>0</v>
      </c>
      <c r="I1155" s="201">
        <v>0</v>
      </c>
      <c r="J1155" s="201">
        <v>0</v>
      </c>
      <c r="K1155" s="201">
        <v>0</v>
      </c>
      <c r="L1155" s="201">
        <v>0</v>
      </c>
      <c r="M1155" s="330" t="s">
        <v>172</v>
      </c>
      <c r="N1155" s="202">
        <v>0</v>
      </c>
    </row>
    <row r="1156" spans="1:14">
      <c r="A1156" s="198" t="s">
        <v>159</v>
      </c>
      <c r="B1156" s="199" t="s">
        <v>194</v>
      </c>
      <c r="C1156" s="199" t="s">
        <v>161</v>
      </c>
      <c r="D1156" s="200" t="s">
        <v>163</v>
      </c>
      <c r="E1156" s="213">
        <v>2</v>
      </c>
      <c r="F1156" s="201">
        <v>1</v>
      </c>
      <c r="G1156" s="201">
        <v>2</v>
      </c>
      <c r="H1156" s="201">
        <v>1</v>
      </c>
      <c r="I1156" s="201">
        <v>4</v>
      </c>
      <c r="J1156" s="201">
        <v>0</v>
      </c>
      <c r="K1156" s="201">
        <v>3</v>
      </c>
      <c r="L1156" s="201">
        <v>4</v>
      </c>
      <c r="M1156" s="330">
        <v>0</v>
      </c>
      <c r="N1156" s="202">
        <v>-1</v>
      </c>
    </row>
    <row r="1157" spans="1:14" ht="15.75" customHeight="1">
      <c r="A1157" s="198" t="s">
        <v>159</v>
      </c>
      <c r="B1157" s="199" t="s">
        <v>194</v>
      </c>
      <c r="C1157" s="199" t="s">
        <v>161</v>
      </c>
      <c r="D1157" s="200" t="s">
        <v>164</v>
      </c>
      <c r="E1157" s="213">
        <v>2</v>
      </c>
      <c r="F1157" s="201">
        <v>1</v>
      </c>
      <c r="G1157" s="201">
        <v>2</v>
      </c>
      <c r="H1157" s="201">
        <v>1</v>
      </c>
      <c r="I1157" s="201">
        <v>4</v>
      </c>
      <c r="J1157" s="201">
        <v>0</v>
      </c>
      <c r="K1157" s="201">
        <v>3</v>
      </c>
      <c r="L1157" s="201">
        <v>4</v>
      </c>
      <c r="M1157" s="330" t="s">
        <v>172</v>
      </c>
      <c r="N1157" s="202">
        <v>-1</v>
      </c>
    </row>
    <row r="1158" spans="1:14" ht="15.75" customHeight="1">
      <c r="A1158" s="198" t="s">
        <v>159</v>
      </c>
      <c r="B1158" s="199" t="s">
        <v>194</v>
      </c>
      <c r="C1158" s="199" t="s">
        <v>161</v>
      </c>
      <c r="D1158" s="200" t="s">
        <v>165</v>
      </c>
      <c r="E1158" s="213">
        <v>19.399999999999999</v>
      </c>
      <c r="F1158" s="201">
        <v>28</v>
      </c>
      <c r="G1158" s="201">
        <v>20</v>
      </c>
      <c r="H1158" s="201">
        <v>12</v>
      </c>
      <c r="I1158" s="201">
        <v>18</v>
      </c>
      <c r="J1158" s="201">
        <v>15</v>
      </c>
      <c r="K1158" s="201">
        <v>8</v>
      </c>
      <c r="L1158" s="201">
        <v>12</v>
      </c>
      <c r="M1158" s="330">
        <v>20</v>
      </c>
      <c r="N1158" s="202">
        <v>3.0927835051546466E-2</v>
      </c>
    </row>
    <row r="1159" spans="1:14" ht="15.75" customHeight="1">
      <c r="A1159" s="198" t="s">
        <v>159</v>
      </c>
      <c r="B1159" s="199" t="s">
        <v>194</v>
      </c>
      <c r="C1159" s="199" t="s">
        <v>161</v>
      </c>
      <c r="D1159" s="203" t="s">
        <v>91</v>
      </c>
      <c r="E1159" s="214">
        <v>21.4</v>
      </c>
      <c r="F1159" s="204">
        <v>29</v>
      </c>
      <c r="G1159" s="204">
        <v>22</v>
      </c>
      <c r="H1159" s="204">
        <v>13</v>
      </c>
      <c r="I1159" s="204">
        <v>22</v>
      </c>
      <c r="J1159" s="204">
        <v>15</v>
      </c>
      <c r="K1159" s="204">
        <v>11</v>
      </c>
      <c r="L1159" s="204">
        <v>16</v>
      </c>
      <c r="M1159" s="331">
        <v>20</v>
      </c>
      <c r="N1159" s="202">
        <v>-6.5420560747663489E-2</v>
      </c>
    </row>
    <row r="1160" spans="1:14" ht="15.75" customHeight="1">
      <c r="A1160" s="198" t="s">
        <v>159</v>
      </c>
      <c r="B1160" s="199" t="s">
        <v>194</v>
      </c>
      <c r="C1160" s="199" t="s">
        <v>134</v>
      </c>
      <c r="D1160" s="200" t="s">
        <v>162</v>
      </c>
      <c r="E1160" s="213">
        <v>0.4</v>
      </c>
      <c r="F1160" s="201">
        <v>0</v>
      </c>
      <c r="G1160" s="201">
        <v>0</v>
      </c>
      <c r="H1160" s="201">
        <v>2</v>
      </c>
      <c r="I1160" s="201">
        <v>0</v>
      </c>
      <c r="J1160" s="201">
        <v>0</v>
      </c>
      <c r="K1160" s="201">
        <v>0</v>
      </c>
      <c r="L1160" s="201">
        <v>0</v>
      </c>
      <c r="M1160" s="330" t="s">
        <v>172</v>
      </c>
      <c r="N1160" s="202">
        <v>-1</v>
      </c>
    </row>
    <row r="1161" spans="1:14">
      <c r="A1161" s="198" t="s">
        <v>159</v>
      </c>
      <c r="B1161" s="199" t="s">
        <v>194</v>
      </c>
      <c r="C1161" s="199" t="s">
        <v>134</v>
      </c>
      <c r="D1161" s="200" t="s">
        <v>163</v>
      </c>
      <c r="E1161" s="213">
        <v>17.8</v>
      </c>
      <c r="F1161" s="201">
        <v>7</v>
      </c>
      <c r="G1161" s="201">
        <v>15</v>
      </c>
      <c r="H1161" s="201">
        <v>11</v>
      </c>
      <c r="I1161" s="201">
        <v>7</v>
      </c>
      <c r="J1161" s="201">
        <v>14</v>
      </c>
      <c r="K1161" s="201">
        <v>9</v>
      </c>
      <c r="L1161" s="201">
        <v>16</v>
      </c>
      <c r="M1161" s="330">
        <v>9</v>
      </c>
      <c r="N1161" s="202">
        <v>-0.49438202247191015</v>
      </c>
    </row>
    <row r="1162" spans="1:14" ht="15.75" customHeight="1">
      <c r="A1162" s="198" t="s">
        <v>159</v>
      </c>
      <c r="B1162" s="199" t="s">
        <v>194</v>
      </c>
      <c r="C1162" s="199" t="s">
        <v>134</v>
      </c>
      <c r="D1162" s="200" t="s">
        <v>164</v>
      </c>
      <c r="E1162" s="213">
        <v>17.399999999999999</v>
      </c>
      <c r="F1162" s="201">
        <v>7</v>
      </c>
      <c r="G1162" s="201">
        <v>15</v>
      </c>
      <c r="H1162" s="201">
        <v>9</v>
      </c>
      <c r="I1162" s="201">
        <v>7</v>
      </c>
      <c r="J1162" s="201">
        <v>14</v>
      </c>
      <c r="K1162" s="201">
        <v>9</v>
      </c>
      <c r="L1162" s="201">
        <v>16</v>
      </c>
      <c r="M1162" s="330">
        <v>9</v>
      </c>
      <c r="N1162" s="202">
        <v>-0.48275862068965514</v>
      </c>
    </row>
    <row r="1163" spans="1:14" ht="15.75" customHeight="1">
      <c r="A1163" s="198" t="s">
        <v>159</v>
      </c>
      <c r="B1163" s="199" t="s">
        <v>194</v>
      </c>
      <c r="C1163" s="199" t="s">
        <v>134</v>
      </c>
      <c r="D1163" s="200" t="s">
        <v>165</v>
      </c>
      <c r="E1163" s="213">
        <v>219.1</v>
      </c>
      <c r="F1163" s="201">
        <v>236</v>
      </c>
      <c r="G1163" s="201">
        <v>218</v>
      </c>
      <c r="H1163" s="201">
        <v>215</v>
      </c>
      <c r="I1163" s="201">
        <v>142</v>
      </c>
      <c r="J1163" s="201">
        <v>157</v>
      </c>
      <c r="K1163" s="201">
        <v>137</v>
      </c>
      <c r="L1163" s="201">
        <v>121</v>
      </c>
      <c r="M1163" s="330">
        <v>129</v>
      </c>
      <c r="N1163" s="202">
        <v>-0.41122774988589683</v>
      </c>
    </row>
    <row r="1164" spans="1:14" ht="15.75" customHeight="1">
      <c r="A1164" s="198" t="s">
        <v>159</v>
      </c>
      <c r="B1164" s="199" t="s">
        <v>194</v>
      </c>
      <c r="C1164" s="199" t="s">
        <v>134</v>
      </c>
      <c r="D1164" s="203" t="s">
        <v>91</v>
      </c>
      <c r="E1164" s="214">
        <v>236.9</v>
      </c>
      <c r="F1164" s="204">
        <v>243</v>
      </c>
      <c r="G1164" s="204">
        <v>233</v>
      </c>
      <c r="H1164" s="204">
        <v>226</v>
      </c>
      <c r="I1164" s="204">
        <v>149</v>
      </c>
      <c r="J1164" s="204">
        <v>171</v>
      </c>
      <c r="K1164" s="204">
        <v>146</v>
      </c>
      <c r="L1164" s="204">
        <v>137</v>
      </c>
      <c r="M1164" s="331">
        <v>138</v>
      </c>
      <c r="N1164" s="202">
        <v>-0.41747572815533984</v>
      </c>
    </row>
    <row r="1165" spans="1:14" ht="15.75" customHeight="1">
      <c r="A1165" s="198" t="s">
        <v>159</v>
      </c>
      <c r="B1165" s="199" t="s">
        <v>194</v>
      </c>
      <c r="C1165" s="199" t="s">
        <v>166</v>
      </c>
      <c r="D1165" s="200" t="s">
        <v>162</v>
      </c>
      <c r="E1165" s="213">
        <v>0</v>
      </c>
      <c r="F1165" s="201">
        <v>0</v>
      </c>
      <c r="G1165" s="201">
        <v>0</v>
      </c>
      <c r="H1165" s="201">
        <v>0</v>
      </c>
      <c r="I1165" s="201">
        <v>0</v>
      </c>
      <c r="J1165" s="201">
        <v>0</v>
      </c>
      <c r="K1165" s="201">
        <v>0</v>
      </c>
      <c r="L1165" s="201">
        <v>0</v>
      </c>
      <c r="M1165" s="330" t="s">
        <v>172</v>
      </c>
      <c r="N1165" s="202">
        <v>0</v>
      </c>
    </row>
    <row r="1166" spans="1:14">
      <c r="A1166" s="198" t="s">
        <v>159</v>
      </c>
      <c r="B1166" s="199" t="s">
        <v>194</v>
      </c>
      <c r="C1166" s="199" t="s">
        <v>166</v>
      </c>
      <c r="D1166" s="200" t="s">
        <v>163</v>
      </c>
      <c r="E1166" s="213">
        <v>1</v>
      </c>
      <c r="F1166" s="201">
        <v>0</v>
      </c>
      <c r="G1166" s="201">
        <v>1</v>
      </c>
      <c r="H1166" s="201">
        <v>0</v>
      </c>
      <c r="I1166" s="201">
        <v>1</v>
      </c>
      <c r="J1166" s="201">
        <v>2</v>
      </c>
      <c r="K1166" s="201">
        <v>0</v>
      </c>
      <c r="L1166" s="201">
        <v>0</v>
      </c>
      <c r="M1166" s="330">
        <v>1</v>
      </c>
      <c r="N1166" s="202">
        <v>0</v>
      </c>
    </row>
    <row r="1167" spans="1:14" ht="15.75" customHeight="1">
      <c r="A1167" s="198" t="s">
        <v>159</v>
      </c>
      <c r="B1167" s="199" t="s">
        <v>194</v>
      </c>
      <c r="C1167" s="199" t="s">
        <v>166</v>
      </c>
      <c r="D1167" s="200" t="s">
        <v>164</v>
      </c>
      <c r="E1167" s="213">
        <v>1</v>
      </c>
      <c r="F1167" s="201">
        <v>0</v>
      </c>
      <c r="G1167" s="201">
        <v>1</v>
      </c>
      <c r="H1167" s="201">
        <v>0</v>
      </c>
      <c r="I1167" s="201">
        <v>1</v>
      </c>
      <c r="J1167" s="201">
        <v>2</v>
      </c>
      <c r="K1167" s="201">
        <v>0</v>
      </c>
      <c r="L1167" s="201">
        <v>0</v>
      </c>
      <c r="M1167" s="330">
        <v>1</v>
      </c>
      <c r="N1167" s="202">
        <v>0</v>
      </c>
    </row>
    <row r="1168" spans="1:14" ht="15.75" customHeight="1">
      <c r="A1168" s="198" t="s">
        <v>159</v>
      </c>
      <c r="B1168" s="199" t="s">
        <v>194</v>
      </c>
      <c r="C1168" s="199" t="s">
        <v>166</v>
      </c>
      <c r="D1168" s="200" t="s">
        <v>165</v>
      </c>
      <c r="E1168" s="213">
        <v>14.9</v>
      </c>
      <c r="F1168" s="201">
        <v>5</v>
      </c>
      <c r="G1168" s="201">
        <v>13</v>
      </c>
      <c r="H1168" s="201">
        <v>7</v>
      </c>
      <c r="I1168" s="201">
        <v>5</v>
      </c>
      <c r="J1168" s="201">
        <v>6</v>
      </c>
      <c r="K1168" s="201">
        <v>3</v>
      </c>
      <c r="L1168" s="201">
        <v>4</v>
      </c>
      <c r="M1168" s="330">
        <v>7</v>
      </c>
      <c r="N1168" s="202">
        <v>-0.53020134228187921</v>
      </c>
    </row>
    <row r="1169" spans="1:14" ht="15.75" customHeight="1">
      <c r="A1169" s="198" t="s">
        <v>159</v>
      </c>
      <c r="B1169" s="199" t="s">
        <v>194</v>
      </c>
      <c r="C1169" s="199" t="s">
        <v>166</v>
      </c>
      <c r="D1169" s="203" t="s">
        <v>91</v>
      </c>
      <c r="E1169" s="214">
        <v>15.9</v>
      </c>
      <c r="F1169" s="204">
        <v>5</v>
      </c>
      <c r="G1169" s="204">
        <v>14</v>
      </c>
      <c r="H1169" s="204">
        <v>7</v>
      </c>
      <c r="I1169" s="204">
        <v>6</v>
      </c>
      <c r="J1169" s="204">
        <v>8</v>
      </c>
      <c r="K1169" s="204">
        <v>3</v>
      </c>
      <c r="L1169" s="204">
        <v>4</v>
      </c>
      <c r="M1169" s="331">
        <v>8</v>
      </c>
      <c r="N1169" s="202">
        <v>-0.49685534591194969</v>
      </c>
    </row>
    <row r="1170" spans="1:14" ht="15.75" customHeight="1">
      <c r="A1170" s="198" t="s">
        <v>159</v>
      </c>
      <c r="B1170" s="199" t="s">
        <v>194</v>
      </c>
      <c r="C1170" s="199" t="s">
        <v>133</v>
      </c>
      <c r="D1170" s="200" t="s">
        <v>162</v>
      </c>
      <c r="E1170" s="213">
        <v>0.4</v>
      </c>
      <c r="F1170" s="201">
        <v>0</v>
      </c>
      <c r="G1170" s="201">
        <v>1</v>
      </c>
      <c r="H1170" s="201">
        <v>3</v>
      </c>
      <c r="I1170" s="201">
        <v>0</v>
      </c>
      <c r="J1170" s="201">
        <v>1</v>
      </c>
      <c r="K1170" s="201">
        <v>2</v>
      </c>
      <c r="L1170" s="201">
        <v>0</v>
      </c>
      <c r="M1170" s="330" t="s">
        <v>172</v>
      </c>
      <c r="N1170" s="202">
        <v>-1</v>
      </c>
    </row>
    <row r="1171" spans="1:14">
      <c r="A1171" s="198" t="s">
        <v>159</v>
      </c>
      <c r="B1171" s="199" t="s">
        <v>194</v>
      </c>
      <c r="C1171" s="199" t="s">
        <v>133</v>
      </c>
      <c r="D1171" s="200" t="s">
        <v>163</v>
      </c>
      <c r="E1171" s="213">
        <v>22.3</v>
      </c>
      <c r="F1171" s="201">
        <v>18</v>
      </c>
      <c r="G1171" s="201">
        <v>28</v>
      </c>
      <c r="H1171" s="201">
        <v>30</v>
      </c>
      <c r="I1171" s="201">
        <v>15</v>
      </c>
      <c r="J1171" s="201">
        <v>25</v>
      </c>
      <c r="K1171" s="201">
        <v>17</v>
      </c>
      <c r="L1171" s="201">
        <v>23</v>
      </c>
      <c r="M1171" s="330">
        <v>17</v>
      </c>
      <c r="N1171" s="202">
        <v>-0.2376681614349776</v>
      </c>
    </row>
    <row r="1172" spans="1:14" ht="15.75" customHeight="1">
      <c r="A1172" s="198" t="s">
        <v>159</v>
      </c>
      <c r="B1172" s="199" t="s">
        <v>194</v>
      </c>
      <c r="C1172" s="199" t="s">
        <v>133</v>
      </c>
      <c r="D1172" s="200" t="s">
        <v>164</v>
      </c>
      <c r="E1172" s="213">
        <v>21.9</v>
      </c>
      <c r="F1172" s="201">
        <v>18</v>
      </c>
      <c r="G1172" s="201">
        <v>27</v>
      </c>
      <c r="H1172" s="201">
        <v>27</v>
      </c>
      <c r="I1172" s="201">
        <v>15</v>
      </c>
      <c r="J1172" s="201">
        <v>24</v>
      </c>
      <c r="K1172" s="201">
        <v>15</v>
      </c>
      <c r="L1172" s="201">
        <v>23</v>
      </c>
      <c r="M1172" s="330">
        <v>17</v>
      </c>
      <c r="N1172" s="202">
        <v>-0.22374429223744288</v>
      </c>
    </row>
    <row r="1173" spans="1:14" ht="15.75" customHeight="1">
      <c r="A1173" s="198" t="s">
        <v>159</v>
      </c>
      <c r="B1173" s="199" t="s">
        <v>194</v>
      </c>
      <c r="C1173" s="199" t="s">
        <v>133</v>
      </c>
      <c r="D1173" s="200" t="s">
        <v>165</v>
      </c>
      <c r="E1173" s="213">
        <v>75.5</v>
      </c>
      <c r="F1173" s="201">
        <v>85</v>
      </c>
      <c r="G1173" s="201">
        <v>92</v>
      </c>
      <c r="H1173" s="201">
        <v>96</v>
      </c>
      <c r="I1173" s="201">
        <v>110</v>
      </c>
      <c r="J1173" s="201">
        <v>113</v>
      </c>
      <c r="K1173" s="201">
        <v>88</v>
      </c>
      <c r="L1173" s="201">
        <v>110</v>
      </c>
      <c r="M1173" s="330">
        <v>75</v>
      </c>
      <c r="N1173" s="202">
        <v>-6.6225165562913907E-3</v>
      </c>
    </row>
    <row r="1174" spans="1:14" ht="15.75" customHeight="1">
      <c r="A1174" s="198" t="s">
        <v>159</v>
      </c>
      <c r="B1174" s="199" t="s">
        <v>194</v>
      </c>
      <c r="C1174" s="199" t="s">
        <v>133</v>
      </c>
      <c r="D1174" s="203" t="s">
        <v>91</v>
      </c>
      <c r="E1174" s="214">
        <v>97.8</v>
      </c>
      <c r="F1174" s="204">
        <v>103</v>
      </c>
      <c r="G1174" s="204">
        <v>120</v>
      </c>
      <c r="H1174" s="204">
        <v>126</v>
      </c>
      <c r="I1174" s="204">
        <v>125</v>
      </c>
      <c r="J1174" s="204">
        <v>138</v>
      </c>
      <c r="K1174" s="204">
        <v>105</v>
      </c>
      <c r="L1174" s="204">
        <v>133</v>
      </c>
      <c r="M1174" s="331">
        <v>92</v>
      </c>
      <c r="N1174" s="202">
        <v>-5.930470347648259E-2</v>
      </c>
    </row>
    <row r="1175" spans="1:14" ht="15.75" customHeight="1">
      <c r="A1175" s="198" t="s">
        <v>159</v>
      </c>
      <c r="B1175" s="199" t="s">
        <v>194</v>
      </c>
      <c r="C1175" s="199" t="s">
        <v>167</v>
      </c>
      <c r="D1175" s="200" t="s">
        <v>162</v>
      </c>
      <c r="E1175" s="213">
        <v>0</v>
      </c>
      <c r="F1175" s="201">
        <v>0</v>
      </c>
      <c r="G1175" s="201">
        <v>0</v>
      </c>
      <c r="H1175" s="201">
        <v>0</v>
      </c>
      <c r="I1175" s="201">
        <v>0</v>
      </c>
      <c r="J1175" s="201">
        <v>0</v>
      </c>
      <c r="K1175" s="201">
        <v>0</v>
      </c>
      <c r="L1175" s="201">
        <v>0</v>
      </c>
      <c r="M1175" s="330" t="s">
        <v>172</v>
      </c>
      <c r="N1175" s="202">
        <v>0</v>
      </c>
    </row>
    <row r="1176" spans="1:14" ht="15.75" customHeight="1">
      <c r="A1176" s="198" t="s">
        <v>159</v>
      </c>
      <c r="B1176" s="199" t="s">
        <v>194</v>
      </c>
      <c r="C1176" s="199" t="s">
        <v>167</v>
      </c>
      <c r="D1176" s="200" t="s">
        <v>163</v>
      </c>
      <c r="E1176" s="213">
        <v>0.1</v>
      </c>
      <c r="F1176" s="201">
        <v>0</v>
      </c>
      <c r="G1176" s="201">
        <v>0</v>
      </c>
      <c r="H1176" s="201">
        <v>2</v>
      </c>
      <c r="I1176" s="201">
        <v>0</v>
      </c>
      <c r="J1176" s="201">
        <v>2</v>
      </c>
      <c r="K1176" s="201">
        <v>2</v>
      </c>
      <c r="L1176" s="201">
        <v>2</v>
      </c>
      <c r="M1176" s="330">
        <v>1</v>
      </c>
      <c r="N1176" s="202">
        <v>9</v>
      </c>
    </row>
    <row r="1177" spans="1:14" ht="15.75" customHeight="1">
      <c r="A1177" s="198" t="s">
        <v>159</v>
      </c>
      <c r="B1177" s="199" t="s">
        <v>194</v>
      </c>
      <c r="C1177" s="199" t="s">
        <v>167</v>
      </c>
      <c r="D1177" s="200" t="s">
        <v>164</v>
      </c>
      <c r="E1177" s="213">
        <v>0.1</v>
      </c>
      <c r="F1177" s="201">
        <v>0</v>
      </c>
      <c r="G1177" s="201">
        <v>0</v>
      </c>
      <c r="H1177" s="201">
        <v>2</v>
      </c>
      <c r="I1177" s="201">
        <v>0</v>
      </c>
      <c r="J1177" s="201">
        <v>2</v>
      </c>
      <c r="K1177" s="201">
        <v>2</v>
      </c>
      <c r="L1177" s="201">
        <v>2</v>
      </c>
      <c r="M1177" s="330">
        <v>1</v>
      </c>
      <c r="N1177" s="202">
        <v>9</v>
      </c>
    </row>
    <row r="1178" spans="1:14" ht="15.75" customHeight="1">
      <c r="A1178" s="198" t="s">
        <v>159</v>
      </c>
      <c r="B1178" s="199" t="s">
        <v>194</v>
      </c>
      <c r="C1178" s="199" t="s">
        <v>167</v>
      </c>
      <c r="D1178" s="200" t="s">
        <v>165</v>
      </c>
      <c r="E1178" s="213">
        <v>1.2</v>
      </c>
      <c r="F1178" s="201">
        <v>2</v>
      </c>
      <c r="G1178" s="201">
        <v>0</v>
      </c>
      <c r="H1178" s="201">
        <v>1</v>
      </c>
      <c r="I1178" s="201">
        <v>7</v>
      </c>
      <c r="J1178" s="201">
        <v>8</v>
      </c>
      <c r="K1178" s="201">
        <v>5</v>
      </c>
      <c r="L1178" s="201">
        <v>7</v>
      </c>
      <c r="M1178" s="330">
        <v>8</v>
      </c>
      <c r="N1178" s="202">
        <v>5.666666666666667</v>
      </c>
    </row>
    <row r="1179" spans="1:14" ht="15.75" customHeight="1">
      <c r="A1179" s="198" t="s">
        <v>159</v>
      </c>
      <c r="B1179" s="199" t="s">
        <v>194</v>
      </c>
      <c r="C1179" s="199" t="s">
        <v>167</v>
      </c>
      <c r="D1179" s="203" t="s">
        <v>91</v>
      </c>
      <c r="E1179" s="214">
        <v>1.3</v>
      </c>
      <c r="F1179" s="204">
        <v>2</v>
      </c>
      <c r="G1179" s="204">
        <v>0</v>
      </c>
      <c r="H1179" s="204">
        <v>3</v>
      </c>
      <c r="I1179" s="204">
        <v>7</v>
      </c>
      <c r="J1179" s="204">
        <v>10</v>
      </c>
      <c r="K1179" s="204">
        <v>7</v>
      </c>
      <c r="L1179" s="204">
        <v>9</v>
      </c>
      <c r="M1179" s="331">
        <v>9</v>
      </c>
      <c r="N1179" s="202">
        <v>5.9230769230769234</v>
      </c>
    </row>
    <row r="1180" spans="1:14" ht="15.75" customHeight="1">
      <c r="A1180" s="198" t="s">
        <v>159</v>
      </c>
      <c r="B1180" s="199" t="s">
        <v>194</v>
      </c>
      <c r="C1180" s="199" t="s">
        <v>168</v>
      </c>
      <c r="D1180" s="200" t="s">
        <v>162</v>
      </c>
      <c r="E1180" s="213">
        <v>0.2</v>
      </c>
      <c r="F1180" s="201">
        <v>0</v>
      </c>
      <c r="G1180" s="201">
        <v>0</v>
      </c>
      <c r="H1180" s="201">
        <v>0</v>
      </c>
      <c r="I1180" s="201">
        <v>0</v>
      </c>
      <c r="J1180" s="201">
        <v>0</v>
      </c>
      <c r="K1180" s="201">
        <v>0</v>
      </c>
      <c r="L1180" s="201">
        <v>0</v>
      </c>
      <c r="M1180" s="330" t="s">
        <v>172</v>
      </c>
      <c r="N1180" s="202">
        <v>-1</v>
      </c>
    </row>
    <row r="1181" spans="1:14" ht="15.75" customHeight="1">
      <c r="A1181" s="198" t="s">
        <v>159</v>
      </c>
      <c r="B1181" s="199" t="s">
        <v>194</v>
      </c>
      <c r="C1181" s="199" t="s">
        <v>168</v>
      </c>
      <c r="D1181" s="200" t="s">
        <v>163</v>
      </c>
      <c r="E1181" s="213">
        <v>16.2</v>
      </c>
      <c r="F1181" s="201">
        <v>11</v>
      </c>
      <c r="G1181" s="201">
        <v>10</v>
      </c>
      <c r="H1181" s="201">
        <v>25</v>
      </c>
      <c r="I1181" s="201">
        <v>24</v>
      </c>
      <c r="J1181" s="201">
        <v>20</v>
      </c>
      <c r="K1181" s="201">
        <v>22</v>
      </c>
      <c r="L1181" s="201">
        <v>15</v>
      </c>
      <c r="M1181" s="330">
        <v>22</v>
      </c>
      <c r="N1181" s="202">
        <v>0.35802469135802473</v>
      </c>
    </row>
    <row r="1182" spans="1:14" ht="15.75" customHeight="1">
      <c r="A1182" s="198" t="s">
        <v>159</v>
      </c>
      <c r="B1182" s="199" t="s">
        <v>194</v>
      </c>
      <c r="C1182" s="199" t="s">
        <v>168</v>
      </c>
      <c r="D1182" s="200" t="s">
        <v>164</v>
      </c>
      <c r="E1182" s="213">
        <v>16</v>
      </c>
      <c r="F1182" s="201">
        <v>11</v>
      </c>
      <c r="G1182" s="201">
        <v>10</v>
      </c>
      <c r="H1182" s="201">
        <v>25</v>
      </c>
      <c r="I1182" s="201">
        <v>24</v>
      </c>
      <c r="J1182" s="201">
        <v>20</v>
      </c>
      <c r="K1182" s="201">
        <v>22</v>
      </c>
      <c r="L1182" s="201">
        <v>15</v>
      </c>
      <c r="M1182" s="330">
        <v>22</v>
      </c>
      <c r="N1182" s="202">
        <v>0.375</v>
      </c>
    </row>
    <row r="1183" spans="1:14" ht="15.75" customHeight="1">
      <c r="A1183" s="198" t="s">
        <v>159</v>
      </c>
      <c r="B1183" s="199" t="s">
        <v>194</v>
      </c>
      <c r="C1183" s="199" t="s">
        <v>168</v>
      </c>
      <c r="D1183" s="200" t="s">
        <v>165</v>
      </c>
      <c r="E1183" s="213">
        <v>72.599999999999994</v>
      </c>
      <c r="F1183" s="201">
        <v>64</v>
      </c>
      <c r="G1183" s="201">
        <v>73</v>
      </c>
      <c r="H1183" s="201">
        <v>58</v>
      </c>
      <c r="I1183" s="201">
        <v>89</v>
      </c>
      <c r="J1183" s="201">
        <v>77</v>
      </c>
      <c r="K1183" s="201">
        <v>76</v>
      </c>
      <c r="L1183" s="201">
        <v>69</v>
      </c>
      <c r="M1183" s="330">
        <v>58</v>
      </c>
      <c r="N1183" s="202">
        <v>-0.2011019283746556</v>
      </c>
    </row>
    <row r="1184" spans="1:14" ht="15.75" customHeight="1">
      <c r="A1184" s="198" t="s">
        <v>159</v>
      </c>
      <c r="B1184" s="199" t="s">
        <v>194</v>
      </c>
      <c r="C1184" s="199" t="s">
        <v>168</v>
      </c>
      <c r="D1184" s="203" t="s">
        <v>91</v>
      </c>
      <c r="E1184" s="214">
        <v>88.9</v>
      </c>
      <c r="F1184" s="204">
        <v>75</v>
      </c>
      <c r="G1184" s="204">
        <v>83</v>
      </c>
      <c r="H1184" s="204">
        <v>83</v>
      </c>
      <c r="I1184" s="204">
        <v>113</v>
      </c>
      <c r="J1184" s="204">
        <v>97</v>
      </c>
      <c r="K1184" s="204">
        <v>98</v>
      </c>
      <c r="L1184" s="204">
        <v>84</v>
      </c>
      <c r="M1184" s="331">
        <v>80</v>
      </c>
      <c r="N1184" s="202">
        <v>-0.10011248593925764</v>
      </c>
    </row>
    <row r="1185" spans="1:14" ht="15.75" customHeight="1">
      <c r="A1185" s="198" t="s">
        <v>159</v>
      </c>
      <c r="B1185" s="199" t="s">
        <v>194</v>
      </c>
      <c r="C1185" s="199" t="s">
        <v>131</v>
      </c>
      <c r="D1185" s="200" t="s">
        <v>162</v>
      </c>
      <c r="E1185" s="213">
        <v>0.8</v>
      </c>
      <c r="F1185" s="201">
        <v>0</v>
      </c>
      <c r="G1185" s="201">
        <v>2</v>
      </c>
      <c r="H1185" s="201">
        <v>3</v>
      </c>
      <c r="I1185" s="201">
        <v>2</v>
      </c>
      <c r="J1185" s="201">
        <v>0</v>
      </c>
      <c r="K1185" s="201">
        <v>3</v>
      </c>
      <c r="L1185" s="201">
        <v>2</v>
      </c>
      <c r="M1185" s="330">
        <v>1</v>
      </c>
      <c r="N1185" s="202">
        <v>0.24999999999999994</v>
      </c>
    </row>
    <row r="1186" spans="1:14">
      <c r="A1186" s="198" t="s">
        <v>159</v>
      </c>
      <c r="B1186" s="199" t="s">
        <v>194</v>
      </c>
      <c r="C1186" s="199" t="s">
        <v>131</v>
      </c>
      <c r="D1186" s="200" t="s">
        <v>163</v>
      </c>
      <c r="E1186" s="213">
        <v>29.6</v>
      </c>
      <c r="F1186" s="201">
        <v>23</v>
      </c>
      <c r="G1186" s="201">
        <v>21</v>
      </c>
      <c r="H1186" s="201">
        <v>23</v>
      </c>
      <c r="I1186" s="201">
        <v>17</v>
      </c>
      <c r="J1186" s="201">
        <v>13</v>
      </c>
      <c r="K1186" s="201">
        <v>33</v>
      </c>
      <c r="L1186" s="201">
        <v>26</v>
      </c>
      <c r="M1186" s="330">
        <v>24</v>
      </c>
      <c r="N1186" s="202">
        <v>-0.18918918918918923</v>
      </c>
    </row>
    <row r="1187" spans="1:14" ht="15.75" customHeight="1">
      <c r="A1187" s="198" t="s">
        <v>159</v>
      </c>
      <c r="B1187" s="199" t="s">
        <v>194</v>
      </c>
      <c r="C1187" s="199" t="s">
        <v>131</v>
      </c>
      <c r="D1187" s="200" t="s">
        <v>164</v>
      </c>
      <c r="E1187" s="213">
        <v>28.8</v>
      </c>
      <c r="F1187" s="201">
        <v>23</v>
      </c>
      <c r="G1187" s="201">
        <v>19</v>
      </c>
      <c r="H1187" s="201">
        <v>20</v>
      </c>
      <c r="I1187" s="201">
        <v>15</v>
      </c>
      <c r="J1187" s="201">
        <v>13</v>
      </c>
      <c r="K1187" s="201">
        <v>30</v>
      </c>
      <c r="L1187" s="201">
        <v>24</v>
      </c>
      <c r="M1187" s="330">
        <v>23</v>
      </c>
      <c r="N1187" s="202">
        <v>-0.2013888888888889</v>
      </c>
    </row>
    <row r="1188" spans="1:14" ht="15.75" customHeight="1">
      <c r="A1188" s="198" t="s">
        <v>159</v>
      </c>
      <c r="B1188" s="199" t="s">
        <v>194</v>
      </c>
      <c r="C1188" s="199" t="s">
        <v>131</v>
      </c>
      <c r="D1188" s="200" t="s">
        <v>165</v>
      </c>
      <c r="E1188" s="213">
        <v>73.400000000000006</v>
      </c>
      <c r="F1188" s="201">
        <v>114</v>
      </c>
      <c r="G1188" s="201">
        <v>93</v>
      </c>
      <c r="H1188" s="201">
        <v>65</v>
      </c>
      <c r="I1188" s="201">
        <v>45</v>
      </c>
      <c r="J1188" s="201">
        <v>53</v>
      </c>
      <c r="K1188" s="201">
        <v>47</v>
      </c>
      <c r="L1188" s="201">
        <v>56</v>
      </c>
      <c r="M1188" s="330">
        <v>61</v>
      </c>
      <c r="N1188" s="202">
        <v>-0.16893732970027253</v>
      </c>
    </row>
    <row r="1189" spans="1:14" ht="15.75" customHeight="1">
      <c r="A1189" s="198" t="s">
        <v>159</v>
      </c>
      <c r="B1189" s="199" t="s">
        <v>194</v>
      </c>
      <c r="C1189" s="199" t="s">
        <v>131</v>
      </c>
      <c r="D1189" s="203" t="s">
        <v>91</v>
      </c>
      <c r="E1189" s="214">
        <v>103.1</v>
      </c>
      <c r="F1189" s="204">
        <v>137</v>
      </c>
      <c r="G1189" s="204">
        <v>114</v>
      </c>
      <c r="H1189" s="204">
        <v>88</v>
      </c>
      <c r="I1189" s="204">
        <v>62</v>
      </c>
      <c r="J1189" s="204">
        <v>66</v>
      </c>
      <c r="K1189" s="204">
        <v>80</v>
      </c>
      <c r="L1189" s="204">
        <v>82</v>
      </c>
      <c r="M1189" s="331">
        <v>85</v>
      </c>
      <c r="N1189" s="202">
        <v>-0.17555771096023273</v>
      </c>
    </row>
    <row r="1190" spans="1:14" ht="15.75" customHeight="1">
      <c r="A1190" s="198" t="s">
        <v>159</v>
      </c>
      <c r="B1190" s="199" t="s">
        <v>194</v>
      </c>
      <c r="C1190" s="199" t="s">
        <v>169</v>
      </c>
      <c r="D1190" s="200" t="s">
        <v>162</v>
      </c>
      <c r="E1190" s="213">
        <v>0</v>
      </c>
      <c r="F1190" s="201">
        <v>0</v>
      </c>
      <c r="G1190" s="201">
        <v>0</v>
      </c>
      <c r="H1190" s="201">
        <v>0</v>
      </c>
      <c r="I1190" s="201">
        <v>0</v>
      </c>
      <c r="J1190" s="201">
        <v>0</v>
      </c>
      <c r="K1190" s="201">
        <v>0</v>
      </c>
      <c r="L1190" s="201">
        <v>0</v>
      </c>
      <c r="M1190" s="330" t="s">
        <v>172</v>
      </c>
      <c r="N1190" s="202">
        <v>0</v>
      </c>
    </row>
    <row r="1191" spans="1:14" ht="15.75" customHeight="1">
      <c r="A1191" s="198" t="s">
        <v>159</v>
      </c>
      <c r="B1191" s="199" t="s">
        <v>194</v>
      </c>
      <c r="C1191" s="199" t="s">
        <v>169</v>
      </c>
      <c r="D1191" s="200" t="s">
        <v>163</v>
      </c>
      <c r="E1191" s="213">
        <v>0</v>
      </c>
      <c r="F1191" s="201">
        <v>0</v>
      </c>
      <c r="G1191" s="201">
        <v>0</v>
      </c>
      <c r="H1191" s="201">
        <v>1</v>
      </c>
      <c r="I1191" s="201">
        <v>0</v>
      </c>
      <c r="J1191" s="201">
        <v>0</v>
      </c>
      <c r="K1191" s="201">
        <v>0</v>
      </c>
      <c r="L1191" s="201">
        <v>0</v>
      </c>
      <c r="M1191" s="330">
        <v>0</v>
      </c>
      <c r="N1191" s="202">
        <v>0</v>
      </c>
    </row>
    <row r="1192" spans="1:14" ht="15.75" customHeight="1">
      <c r="A1192" s="198" t="s">
        <v>159</v>
      </c>
      <c r="B1192" s="199" t="s">
        <v>194</v>
      </c>
      <c r="C1192" s="199" t="s">
        <v>169</v>
      </c>
      <c r="D1192" s="200" t="s">
        <v>164</v>
      </c>
      <c r="E1192" s="213">
        <v>0</v>
      </c>
      <c r="F1192" s="201">
        <v>0</v>
      </c>
      <c r="G1192" s="201">
        <v>0</v>
      </c>
      <c r="H1192" s="201">
        <v>1</v>
      </c>
      <c r="I1192" s="201">
        <v>0</v>
      </c>
      <c r="J1192" s="201">
        <v>0</v>
      </c>
      <c r="K1192" s="201">
        <v>0</v>
      </c>
      <c r="L1192" s="201">
        <v>0</v>
      </c>
      <c r="M1192" s="330" t="s">
        <v>172</v>
      </c>
      <c r="N1192" s="202">
        <v>0</v>
      </c>
    </row>
    <row r="1193" spans="1:14" ht="15.75" customHeight="1">
      <c r="A1193" s="198" t="s">
        <v>159</v>
      </c>
      <c r="B1193" s="199" t="s">
        <v>194</v>
      </c>
      <c r="C1193" s="199" t="s">
        <v>169</v>
      </c>
      <c r="D1193" s="200" t="s">
        <v>165</v>
      </c>
      <c r="E1193" s="213">
        <v>0</v>
      </c>
      <c r="F1193" s="201">
        <v>5</v>
      </c>
      <c r="G1193" s="201">
        <v>9</v>
      </c>
      <c r="H1193" s="201">
        <v>5</v>
      </c>
      <c r="I1193" s="201">
        <v>6</v>
      </c>
      <c r="J1193" s="201">
        <v>1</v>
      </c>
      <c r="K1193" s="201">
        <v>2</v>
      </c>
      <c r="L1193" s="201">
        <v>2</v>
      </c>
      <c r="M1193" s="330">
        <v>6</v>
      </c>
      <c r="N1193" s="202">
        <v>0</v>
      </c>
    </row>
    <row r="1194" spans="1:14" ht="15.75" customHeight="1">
      <c r="A1194" s="198" t="s">
        <v>159</v>
      </c>
      <c r="B1194" s="199" t="s">
        <v>194</v>
      </c>
      <c r="C1194" s="199" t="s">
        <v>169</v>
      </c>
      <c r="D1194" s="203" t="s">
        <v>91</v>
      </c>
      <c r="E1194" s="214">
        <v>0</v>
      </c>
      <c r="F1194" s="204">
        <v>5</v>
      </c>
      <c r="G1194" s="204">
        <v>9</v>
      </c>
      <c r="H1194" s="204">
        <v>6</v>
      </c>
      <c r="I1194" s="204">
        <v>6</v>
      </c>
      <c r="J1194" s="204">
        <v>1</v>
      </c>
      <c r="K1194" s="204">
        <v>2</v>
      </c>
      <c r="L1194" s="204">
        <v>2</v>
      </c>
      <c r="M1194" s="331">
        <v>6</v>
      </c>
      <c r="N1194" s="202">
        <v>0</v>
      </c>
    </row>
    <row r="1195" spans="1:14" ht="15.75" customHeight="1">
      <c r="A1195" s="198" t="s">
        <v>159</v>
      </c>
      <c r="B1195" s="199" t="s">
        <v>194</v>
      </c>
      <c r="C1195" s="199" t="s">
        <v>139</v>
      </c>
      <c r="D1195" s="200" t="s">
        <v>162</v>
      </c>
      <c r="E1195" s="213">
        <v>0</v>
      </c>
      <c r="F1195" s="201">
        <v>0</v>
      </c>
      <c r="G1195" s="201">
        <v>0</v>
      </c>
      <c r="H1195" s="201">
        <v>0</v>
      </c>
      <c r="I1195" s="201">
        <v>0</v>
      </c>
      <c r="J1195" s="201">
        <v>0</v>
      </c>
      <c r="K1195" s="201">
        <v>0</v>
      </c>
      <c r="L1195" s="201">
        <v>0</v>
      </c>
      <c r="M1195" s="330" t="s">
        <v>172</v>
      </c>
      <c r="N1195" s="202">
        <v>0</v>
      </c>
    </row>
    <row r="1196" spans="1:14" ht="15.75" customHeight="1">
      <c r="A1196" s="198" t="s">
        <v>159</v>
      </c>
      <c r="B1196" s="199" t="s">
        <v>194</v>
      </c>
      <c r="C1196" s="199" t="s">
        <v>139</v>
      </c>
      <c r="D1196" s="200" t="s">
        <v>163</v>
      </c>
      <c r="E1196" s="213">
        <v>0.6</v>
      </c>
      <c r="F1196" s="201">
        <v>0</v>
      </c>
      <c r="G1196" s="201">
        <v>0</v>
      </c>
      <c r="H1196" s="201">
        <v>0</v>
      </c>
      <c r="I1196" s="201">
        <v>0</v>
      </c>
      <c r="J1196" s="201">
        <v>0</v>
      </c>
      <c r="K1196" s="201">
        <v>0</v>
      </c>
      <c r="L1196" s="201">
        <v>1</v>
      </c>
      <c r="M1196" s="330">
        <v>0</v>
      </c>
      <c r="N1196" s="202">
        <v>-1</v>
      </c>
    </row>
    <row r="1197" spans="1:14" ht="15.75" customHeight="1">
      <c r="A1197" s="198" t="s">
        <v>159</v>
      </c>
      <c r="B1197" s="199" t="s">
        <v>194</v>
      </c>
      <c r="C1197" s="199" t="s">
        <v>139</v>
      </c>
      <c r="D1197" s="200" t="s">
        <v>164</v>
      </c>
      <c r="E1197" s="213">
        <v>0.6</v>
      </c>
      <c r="F1197" s="201">
        <v>0</v>
      </c>
      <c r="G1197" s="201">
        <v>0</v>
      </c>
      <c r="H1197" s="201">
        <v>0</v>
      </c>
      <c r="I1197" s="201">
        <v>0</v>
      </c>
      <c r="J1197" s="201">
        <v>0</v>
      </c>
      <c r="K1197" s="201">
        <v>0</v>
      </c>
      <c r="L1197" s="201">
        <v>1</v>
      </c>
      <c r="M1197" s="330" t="s">
        <v>172</v>
      </c>
      <c r="N1197" s="202">
        <v>-1</v>
      </c>
    </row>
    <row r="1198" spans="1:14" ht="15.75" customHeight="1">
      <c r="A1198" s="198" t="s">
        <v>159</v>
      </c>
      <c r="B1198" s="199" t="s">
        <v>194</v>
      </c>
      <c r="C1198" s="199" t="s">
        <v>139</v>
      </c>
      <c r="D1198" s="200" t="s">
        <v>165</v>
      </c>
      <c r="E1198" s="213">
        <v>9.9</v>
      </c>
      <c r="F1198" s="201">
        <v>0</v>
      </c>
      <c r="G1198" s="201">
        <v>3</v>
      </c>
      <c r="H1198" s="201">
        <v>10</v>
      </c>
      <c r="I1198" s="201">
        <v>5</v>
      </c>
      <c r="J1198" s="201">
        <v>2</v>
      </c>
      <c r="K1198" s="201">
        <v>3</v>
      </c>
      <c r="L1198" s="201">
        <v>5</v>
      </c>
      <c r="M1198" s="330">
        <v>2</v>
      </c>
      <c r="N1198" s="202">
        <v>-0.79797979797979801</v>
      </c>
    </row>
    <row r="1199" spans="1:14" ht="15.75" customHeight="1">
      <c r="A1199" s="198" t="s">
        <v>159</v>
      </c>
      <c r="B1199" s="199" t="s">
        <v>194</v>
      </c>
      <c r="C1199" s="199" t="s">
        <v>139</v>
      </c>
      <c r="D1199" s="203" t="s">
        <v>91</v>
      </c>
      <c r="E1199" s="214">
        <v>10.5</v>
      </c>
      <c r="F1199" s="204">
        <v>0</v>
      </c>
      <c r="G1199" s="204">
        <v>3</v>
      </c>
      <c r="H1199" s="204">
        <v>10</v>
      </c>
      <c r="I1199" s="204">
        <v>5</v>
      </c>
      <c r="J1199" s="204">
        <v>2</v>
      </c>
      <c r="K1199" s="204">
        <v>3</v>
      </c>
      <c r="L1199" s="204">
        <v>6</v>
      </c>
      <c r="M1199" s="331">
        <v>2</v>
      </c>
      <c r="N1199" s="202">
        <v>-0.80952380952380953</v>
      </c>
    </row>
    <row r="1200" spans="1:14" ht="15.75" customHeight="1">
      <c r="A1200" s="198" t="s">
        <v>159</v>
      </c>
      <c r="B1200" s="199" t="s">
        <v>194</v>
      </c>
      <c r="C1200" s="205" t="s">
        <v>91</v>
      </c>
      <c r="D1200" s="203" t="s">
        <v>162</v>
      </c>
      <c r="E1200" s="214">
        <v>1.8</v>
      </c>
      <c r="F1200" s="204">
        <v>0</v>
      </c>
      <c r="G1200" s="204">
        <v>3</v>
      </c>
      <c r="H1200" s="204">
        <v>8</v>
      </c>
      <c r="I1200" s="204">
        <v>2</v>
      </c>
      <c r="J1200" s="204">
        <v>1</v>
      </c>
      <c r="K1200" s="204">
        <v>5</v>
      </c>
      <c r="L1200" s="204">
        <v>2</v>
      </c>
      <c r="M1200" s="331">
        <v>1</v>
      </c>
      <c r="N1200" s="202">
        <v>-0.44444444444444448</v>
      </c>
    </row>
    <row r="1201" spans="1:14" ht="15.75" customHeight="1">
      <c r="A1201" s="198" t="s">
        <v>159</v>
      </c>
      <c r="B1201" s="199" t="s">
        <v>187</v>
      </c>
      <c r="C1201" s="205" t="s">
        <v>91</v>
      </c>
      <c r="D1201" s="203" t="s">
        <v>163</v>
      </c>
      <c r="E1201" s="214">
        <v>139.6</v>
      </c>
      <c r="F1201" s="204">
        <v>98</v>
      </c>
      <c r="G1201" s="204">
        <v>125</v>
      </c>
      <c r="H1201" s="204">
        <v>109</v>
      </c>
      <c r="I1201" s="204">
        <v>101</v>
      </c>
      <c r="J1201" s="204">
        <v>91</v>
      </c>
      <c r="K1201" s="204">
        <v>116</v>
      </c>
      <c r="L1201" s="204">
        <v>107</v>
      </c>
      <c r="M1201" s="331">
        <v>81</v>
      </c>
      <c r="N1201" s="202">
        <v>-0.41977077363896848</v>
      </c>
    </row>
    <row r="1202" spans="1:14" ht="15.75" customHeight="1">
      <c r="A1202" s="198" t="s">
        <v>159</v>
      </c>
      <c r="B1202" s="199" t="s">
        <v>194</v>
      </c>
      <c r="C1202" s="205" t="s">
        <v>91</v>
      </c>
      <c r="D1202" s="203" t="s">
        <v>164</v>
      </c>
      <c r="E1202" s="214">
        <v>87.9</v>
      </c>
      <c r="F1202" s="204">
        <v>60</v>
      </c>
      <c r="G1202" s="204">
        <v>74</v>
      </c>
      <c r="H1202" s="204">
        <v>85</v>
      </c>
      <c r="I1202" s="204">
        <v>66</v>
      </c>
      <c r="J1202" s="204">
        <v>75</v>
      </c>
      <c r="K1202" s="204">
        <v>81</v>
      </c>
      <c r="L1202" s="204">
        <v>85</v>
      </c>
      <c r="M1202" s="331">
        <v>73</v>
      </c>
      <c r="N1202" s="202">
        <v>-0.16951080773606375</v>
      </c>
    </row>
    <row r="1203" spans="1:14" ht="15.75" customHeight="1">
      <c r="A1203" s="198" t="s">
        <v>159</v>
      </c>
      <c r="B1203" s="199" t="s">
        <v>194</v>
      </c>
      <c r="C1203" s="205" t="s">
        <v>91</v>
      </c>
      <c r="D1203" s="203" t="s">
        <v>165</v>
      </c>
      <c r="E1203" s="214">
        <v>486.1</v>
      </c>
      <c r="F1203" s="204">
        <v>539</v>
      </c>
      <c r="G1203" s="204">
        <v>521</v>
      </c>
      <c r="H1203" s="204">
        <v>469</v>
      </c>
      <c r="I1203" s="204">
        <v>427</v>
      </c>
      <c r="J1203" s="204">
        <v>432</v>
      </c>
      <c r="K1203" s="204">
        <v>369</v>
      </c>
      <c r="L1203" s="204">
        <v>386</v>
      </c>
      <c r="M1203" s="331">
        <v>366</v>
      </c>
      <c r="N1203" s="202">
        <v>-0.24706850442295827</v>
      </c>
    </row>
    <row r="1204" spans="1:14" ht="15.75" customHeight="1">
      <c r="A1204" s="198" t="s">
        <v>159</v>
      </c>
      <c r="B1204" s="199" t="s">
        <v>194</v>
      </c>
      <c r="C1204" s="205" t="s">
        <v>91</v>
      </c>
      <c r="D1204" s="203" t="s">
        <v>91</v>
      </c>
      <c r="E1204" s="214">
        <v>575.79999999999995</v>
      </c>
      <c r="F1204" s="204">
        <v>599</v>
      </c>
      <c r="G1204" s="204">
        <v>598</v>
      </c>
      <c r="H1204" s="204">
        <v>562</v>
      </c>
      <c r="I1204" s="204">
        <v>495</v>
      </c>
      <c r="J1204" s="204">
        <v>508</v>
      </c>
      <c r="K1204" s="204">
        <v>455</v>
      </c>
      <c r="L1204" s="204">
        <v>473</v>
      </c>
      <c r="M1204" s="331">
        <v>440</v>
      </c>
      <c r="N1204" s="202">
        <v>-0.23584577978464738</v>
      </c>
    </row>
    <row r="1205" spans="1:14" ht="15.75" customHeight="1">
      <c r="A1205" s="198" t="s">
        <v>159</v>
      </c>
      <c r="B1205" s="199" t="s">
        <v>195</v>
      </c>
      <c r="C1205" s="199" t="s">
        <v>161</v>
      </c>
      <c r="D1205" s="200" t="s">
        <v>162</v>
      </c>
      <c r="E1205" s="213">
        <v>0</v>
      </c>
      <c r="F1205" s="201">
        <v>0</v>
      </c>
      <c r="G1205" s="201">
        <v>0</v>
      </c>
      <c r="H1205" s="201">
        <v>0</v>
      </c>
      <c r="I1205" s="201">
        <v>0</v>
      </c>
      <c r="J1205" s="201">
        <v>0</v>
      </c>
      <c r="K1205" s="201">
        <v>0</v>
      </c>
      <c r="L1205" s="201">
        <v>0</v>
      </c>
      <c r="M1205" s="330" t="s">
        <v>172</v>
      </c>
      <c r="N1205" s="202">
        <v>0</v>
      </c>
    </row>
    <row r="1206" spans="1:14">
      <c r="A1206" s="198" t="s">
        <v>159</v>
      </c>
      <c r="B1206" s="199" t="s">
        <v>195</v>
      </c>
      <c r="C1206" s="199" t="s">
        <v>161</v>
      </c>
      <c r="D1206" s="200" t="s">
        <v>163</v>
      </c>
      <c r="E1206" s="213">
        <v>5</v>
      </c>
      <c r="F1206" s="201">
        <v>3</v>
      </c>
      <c r="G1206" s="201">
        <v>3</v>
      </c>
      <c r="H1206" s="201">
        <v>2</v>
      </c>
      <c r="I1206" s="201">
        <v>0</v>
      </c>
      <c r="J1206" s="201">
        <v>6</v>
      </c>
      <c r="K1206" s="201">
        <v>4</v>
      </c>
      <c r="L1206" s="201">
        <v>3</v>
      </c>
      <c r="M1206" s="330">
        <v>3</v>
      </c>
      <c r="N1206" s="202">
        <v>-0.4</v>
      </c>
    </row>
    <row r="1207" spans="1:14" ht="15.75" customHeight="1">
      <c r="A1207" s="198" t="s">
        <v>159</v>
      </c>
      <c r="B1207" s="199" t="s">
        <v>195</v>
      </c>
      <c r="C1207" s="199" t="s">
        <v>161</v>
      </c>
      <c r="D1207" s="200" t="s">
        <v>164</v>
      </c>
      <c r="E1207" s="213">
        <v>5</v>
      </c>
      <c r="F1207" s="201">
        <v>3</v>
      </c>
      <c r="G1207" s="201">
        <v>3</v>
      </c>
      <c r="H1207" s="201">
        <v>2</v>
      </c>
      <c r="I1207" s="201">
        <v>0</v>
      </c>
      <c r="J1207" s="201">
        <v>6</v>
      </c>
      <c r="K1207" s="201">
        <v>4</v>
      </c>
      <c r="L1207" s="201">
        <v>3</v>
      </c>
      <c r="M1207" s="330">
        <v>3</v>
      </c>
      <c r="N1207" s="202">
        <v>-0.4</v>
      </c>
    </row>
    <row r="1208" spans="1:14" ht="15.75" customHeight="1">
      <c r="A1208" s="198" t="s">
        <v>159</v>
      </c>
      <c r="B1208" s="199" t="s">
        <v>195</v>
      </c>
      <c r="C1208" s="199" t="s">
        <v>161</v>
      </c>
      <c r="D1208" s="200" t="s">
        <v>165</v>
      </c>
      <c r="E1208" s="213">
        <v>38.5</v>
      </c>
      <c r="F1208" s="201">
        <v>50</v>
      </c>
      <c r="G1208" s="201">
        <v>65</v>
      </c>
      <c r="H1208" s="201">
        <v>23</v>
      </c>
      <c r="I1208" s="201">
        <v>29</v>
      </c>
      <c r="J1208" s="201">
        <v>47</v>
      </c>
      <c r="K1208" s="201">
        <v>38</v>
      </c>
      <c r="L1208" s="201">
        <v>30</v>
      </c>
      <c r="M1208" s="330">
        <v>33</v>
      </c>
      <c r="N1208" s="202">
        <v>-0.14285714285714285</v>
      </c>
    </row>
    <row r="1209" spans="1:14" ht="15.75" customHeight="1">
      <c r="A1209" s="198" t="s">
        <v>159</v>
      </c>
      <c r="B1209" s="199" t="s">
        <v>195</v>
      </c>
      <c r="C1209" s="199" t="s">
        <v>161</v>
      </c>
      <c r="D1209" s="203" t="s">
        <v>91</v>
      </c>
      <c r="E1209" s="214">
        <v>43.5</v>
      </c>
      <c r="F1209" s="204">
        <v>53</v>
      </c>
      <c r="G1209" s="204">
        <v>68</v>
      </c>
      <c r="H1209" s="204">
        <v>25</v>
      </c>
      <c r="I1209" s="204">
        <v>29</v>
      </c>
      <c r="J1209" s="204">
        <v>53</v>
      </c>
      <c r="K1209" s="204">
        <v>42</v>
      </c>
      <c r="L1209" s="204">
        <v>33</v>
      </c>
      <c r="M1209" s="331">
        <v>36</v>
      </c>
      <c r="N1209" s="202">
        <v>-0.17241379310344829</v>
      </c>
    </row>
    <row r="1210" spans="1:14" ht="15.75" customHeight="1">
      <c r="A1210" s="198" t="s">
        <v>159</v>
      </c>
      <c r="B1210" s="199" t="s">
        <v>195</v>
      </c>
      <c r="C1210" s="199" t="s">
        <v>134</v>
      </c>
      <c r="D1210" s="200" t="s">
        <v>162</v>
      </c>
      <c r="E1210" s="213">
        <v>0.8</v>
      </c>
      <c r="F1210" s="201">
        <v>0</v>
      </c>
      <c r="G1210" s="201">
        <v>1</v>
      </c>
      <c r="H1210" s="201">
        <v>1</v>
      </c>
      <c r="I1210" s="201">
        <v>0</v>
      </c>
      <c r="J1210" s="201">
        <v>0</v>
      </c>
      <c r="K1210" s="201">
        <v>0</v>
      </c>
      <c r="L1210" s="201">
        <v>1</v>
      </c>
      <c r="M1210" s="330">
        <v>1</v>
      </c>
      <c r="N1210" s="202">
        <v>0.24999999999999994</v>
      </c>
    </row>
    <row r="1211" spans="1:14">
      <c r="A1211" s="198" t="s">
        <v>159</v>
      </c>
      <c r="B1211" s="199" t="s">
        <v>195</v>
      </c>
      <c r="C1211" s="199" t="s">
        <v>134</v>
      </c>
      <c r="D1211" s="200" t="s">
        <v>163</v>
      </c>
      <c r="E1211" s="213">
        <v>31.5</v>
      </c>
      <c r="F1211" s="201">
        <v>12</v>
      </c>
      <c r="G1211" s="201">
        <v>19</v>
      </c>
      <c r="H1211" s="201">
        <v>28</v>
      </c>
      <c r="I1211" s="201">
        <v>21</v>
      </c>
      <c r="J1211" s="201">
        <v>21</v>
      </c>
      <c r="K1211" s="201">
        <v>21</v>
      </c>
      <c r="L1211" s="201">
        <v>16</v>
      </c>
      <c r="M1211" s="330">
        <v>23</v>
      </c>
      <c r="N1211" s="202">
        <v>-0.26984126984126983</v>
      </c>
    </row>
    <row r="1212" spans="1:14" ht="15.75" customHeight="1">
      <c r="A1212" s="198" t="s">
        <v>159</v>
      </c>
      <c r="B1212" s="199" t="s">
        <v>195</v>
      </c>
      <c r="C1212" s="199" t="s">
        <v>134</v>
      </c>
      <c r="D1212" s="200" t="s">
        <v>164</v>
      </c>
      <c r="E1212" s="213">
        <v>30.7</v>
      </c>
      <c r="F1212" s="201">
        <v>12</v>
      </c>
      <c r="G1212" s="201">
        <v>18</v>
      </c>
      <c r="H1212" s="201">
        <v>27</v>
      </c>
      <c r="I1212" s="201">
        <v>21</v>
      </c>
      <c r="J1212" s="201">
        <v>21</v>
      </c>
      <c r="K1212" s="201">
        <v>21</v>
      </c>
      <c r="L1212" s="201">
        <v>15</v>
      </c>
      <c r="M1212" s="330">
        <v>22</v>
      </c>
      <c r="N1212" s="202">
        <v>-0.28338762214983709</v>
      </c>
    </row>
    <row r="1213" spans="1:14" ht="15.75" customHeight="1">
      <c r="A1213" s="198" t="s">
        <v>159</v>
      </c>
      <c r="B1213" s="199" t="s">
        <v>195</v>
      </c>
      <c r="C1213" s="199" t="s">
        <v>134</v>
      </c>
      <c r="D1213" s="200" t="s">
        <v>165</v>
      </c>
      <c r="E1213" s="213">
        <v>425.7</v>
      </c>
      <c r="F1213" s="201">
        <v>523</v>
      </c>
      <c r="G1213" s="201">
        <v>516</v>
      </c>
      <c r="H1213" s="201">
        <v>527</v>
      </c>
      <c r="I1213" s="201">
        <v>396</v>
      </c>
      <c r="J1213" s="201">
        <v>425</v>
      </c>
      <c r="K1213" s="201">
        <v>444</v>
      </c>
      <c r="L1213" s="201">
        <v>385</v>
      </c>
      <c r="M1213" s="330">
        <v>306</v>
      </c>
      <c r="N1213" s="202">
        <v>-0.28118393234672301</v>
      </c>
    </row>
    <row r="1214" spans="1:14" ht="15.75" customHeight="1">
      <c r="A1214" s="198" t="s">
        <v>159</v>
      </c>
      <c r="B1214" s="199" t="s">
        <v>195</v>
      </c>
      <c r="C1214" s="199" t="s">
        <v>134</v>
      </c>
      <c r="D1214" s="203" t="s">
        <v>91</v>
      </c>
      <c r="E1214" s="214">
        <v>457.3</v>
      </c>
      <c r="F1214" s="204">
        <v>535</v>
      </c>
      <c r="G1214" s="204">
        <v>535</v>
      </c>
      <c r="H1214" s="204">
        <v>555</v>
      </c>
      <c r="I1214" s="204">
        <v>417</v>
      </c>
      <c r="J1214" s="204">
        <v>446</v>
      </c>
      <c r="K1214" s="204">
        <v>465</v>
      </c>
      <c r="L1214" s="204">
        <v>401</v>
      </c>
      <c r="M1214" s="331">
        <v>329</v>
      </c>
      <c r="N1214" s="202">
        <v>-0.28055980756614918</v>
      </c>
    </row>
    <row r="1215" spans="1:14" ht="15.75" customHeight="1">
      <c r="A1215" s="198" t="s">
        <v>159</v>
      </c>
      <c r="B1215" s="199" t="s">
        <v>195</v>
      </c>
      <c r="C1215" s="199" t="s">
        <v>166</v>
      </c>
      <c r="D1215" s="200" t="s">
        <v>162</v>
      </c>
      <c r="E1215" s="213">
        <v>0</v>
      </c>
      <c r="F1215" s="201">
        <v>0</v>
      </c>
      <c r="G1215" s="201">
        <v>0</v>
      </c>
      <c r="H1215" s="201">
        <v>0</v>
      </c>
      <c r="I1215" s="201">
        <v>0</v>
      </c>
      <c r="J1215" s="201">
        <v>0</v>
      </c>
      <c r="K1215" s="201">
        <v>0</v>
      </c>
      <c r="L1215" s="201">
        <v>0</v>
      </c>
      <c r="M1215" s="330" t="s">
        <v>172</v>
      </c>
      <c r="N1215" s="202">
        <v>0</v>
      </c>
    </row>
    <row r="1216" spans="1:14">
      <c r="A1216" s="198" t="s">
        <v>159</v>
      </c>
      <c r="B1216" s="199" t="s">
        <v>195</v>
      </c>
      <c r="C1216" s="199" t="s">
        <v>166</v>
      </c>
      <c r="D1216" s="200" t="s">
        <v>163</v>
      </c>
      <c r="E1216" s="213">
        <v>1.4</v>
      </c>
      <c r="F1216" s="201">
        <v>3</v>
      </c>
      <c r="G1216" s="201">
        <v>1</v>
      </c>
      <c r="H1216" s="201">
        <v>0</v>
      </c>
      <c r="I1216" s="201">
        <v>0</v>
      </c>
      <c r="J1216" s="201">
        <v>0</v>
      </c>
      <c r="K1216" s="201">
        <v>0</v>
      </c>
      <c r="L1216" s="201">
        <v>0</v>
      </c>
      <c r="M1216" s="330">
        <v>2</v>
      </c>
      <c r="N1216" s="202">
        <v>0.42857142857142866</v>
      </c>
    </row>
    <row r="1217" spans="1:14" ht="15.75" customHeight="1">
      <c r="A1217" s="198" t="s">
        <v>159</v>
      </c>
      <c r="B1217" s="199" t="s">
        <v>195</v>
      </c>
      <c r="C1217" s="199" t="s">
        <v>166</v>
      </c>
      <c r="D1217" s="200" t="s">
        <v>164</v>
      </c>
      <c r="E1217" s="213">
        <v>1.4</v>
      </c>
      <c r="F1217" s="201">
        <v>3</v>
      </c>
      <c r="G1217" s="201">
        <v>1</v>
      </c>
      <c r="H1217" s="201">
        <v>0</v>
      </c>
      <c r="I1217" s="201">
        <v>0</v>
      </c>
      <c r="J1217" s="201">
        <v>0</v>
      </c>
      <c r="K1217" s="201">
        <v>0</v>
      </c>
      <c r="L1217" s="201">
        <v>0</v>
      </c>
      <c r="M1217" s="330">
        <v>2</v>
      </c>
      <c r="N1217" s="202">
        <v>0.42857142857142866</v>
      </c>
    </row>
    <row r="1218" spans="1:14" ht="15.75" customHeight="1">
      <c r="A1218" s="198" t="s">
        <v>159</v>
      </c>
      <c r="B1218" s="199" t="s">
        <v>195</v>
      </c>
      <c r="C1218" s="199" t="s">
        <v>166</v>
      </c>
      <c r="D1218" s="200" t="s">
        <v>165</v>
      </c>
      <c r="E1218" s="213">
        <v>17.2</v>
      </c>
      <c r="F1218" s="201">
        <v>18</v>
      </c>
      <c r="G1218" s="201">
        <v>22</v>
      </c>
      <c r="H1218" s="201">
        <v>23</v>
      </c>
      <c r="I1218" s="201">
        <v>16</v>
      </c>
      <c r="J1218" s="201">
        <v>24</v>
      </c>
      <c r="K1218" s="201">
        <v>10</v>
      </c>
      <c r="L1218" s="201">
        <v>9</v>
      </c>
      <c r="M1218" s="330">
        <v>16</v>
      </c>
      <c r="N1218" s="202">
        <v>-6.9767441860465074E-2</v>
      </c>
    </row>
    <row r="1219" spans="1:14" ht="15.75" customHeight="1">
      <c r="A1219" s="198" t="s">
        <v>159</v>
      </c>
      <c r="B1219" s="199" t="s">
        <v>195</v>
      </c>
      <c r="C1219" s="199" t="s">
        <v>166</v>
      </c>
      <c r="D1219" s="203" t="s">
        <v>91</v>
      </c>
      <c r="E1219" s="214">
        <v>18.600000000000001</v>
      </c>
      <c r="F1219" s="204">
        <v>21</v>
      </c>
      <c r="G1219" s="204">
        <v>23</v>
      </c>
      <c r="H1219" s="204">
        <v>23</v>
      </c>
      <c r="I1219" s="204">
        <v>16</v>
      </c>
      <c r="J1219" s="204">
        <v>24</v>
      </c>
      <c r="K1219" s="204">
        <v>10</v>
      </c>
      <c r="L1219" s="204">
        <v>9</v>
      </c>
      <c r="M1219" s="331">
        <v>18</v>
      </c>
      <c r="N1219" s="202">
        <v>-3.2258064516129108E-2</v>
      </c>
    </row>
    <row r="1220" spans="1:14" ht="15.75" customHeight="1">
      <c r="A1220" s="198" t="s">
        <v>159</v>
      </c>
      <c r="B1220" s="199" t="s">
        <v>195</v>
      </c>
      <c r="C1220" s="199" t="s">
        <v>133</v>
      </c>
      <c r="D1220" s="200" t="s">
        <v>162</v>
      </c>
      <c r="E1220" s="213">
        <v>1.2</v>
      </c>
      <c r="F1220" s="201">
        <v>0</v>
      </c>
      <c r="G1220" s="201">
        <v>1</v>
      </c>
      <c r="H1220" s="201">
        <v>1</v>
      </c>
      <c r="I1220" s="201">
        <v>1</v>
      </c>
      <c r="J1220" s="201">
        <v>0</v>
      </c>
      <c r="K1220" s="201">
        <v>1</v>
      </c>
      <c r="L1220" s="201">
        <v>0</v>
      </c>
      <c r="M1220" s="330" t="s">
        <v>172</v>
      </c>
      <c r="N1220" s="202">
        <v>-1</v>
      </c>
    </row>
    <row r="1221" spans="1:14">
      <c r="A1221" s="198" t="s">
        <v>159</v>
      </c>
      <c r="B1221" s="199" t="s">
        <v>195</v>
      </c>
      <c r="C1221" s="199" t="s">
        <v>133</v>
      </c>
      <c r="D1221" s="200" t="s">
        <v>163</v>
      </c>
      <c r="E1221" s="213">
        <v>21.8</v>
      </c>
      <c r="F1221" s="201">
        <v>44</v>
      </c>
      <c r="G1221" s="201">
        <v>22</v>
      </c>
      <c r="H1221" s="201">
        <v>23</v>
      </c>
      <c r="I1221" s="201">
        <v>31</v>
      </c>
      <c r="J1221" s="201">
        <v>37</v>
      </c>
      <c r="K1221" s="201">
        <v>24</v>
      </c>
      <c r="L1221" s="201">
        <v>25</v>
      </c>
      <c r="M1221" s="330">
        <v>20</v>
      </c>
      <c r="N1221" s="202">
        <v>-8.2568807339449574E-2</v>
      </c>
    </row>
    <row r="1222" spans="1:14" ht="15.75" customHeight="1">
      <c r="A1222" s="198" t="s">
        <v>159</v>
      </c>
      <c r="B1222" s="199" t="s">
        <v>195</v>
      </c>
      <c r="C1222" s="199" t="s">
        <v>133</v>
      </c>
      <c r="D1222" s="200" t="s">
        <v>164</v>
      </c>
      <c r="E1222" s="213">
        <v>20.6</v>
      </c>
      <c r="F1222" s="201">
        <v>44</v>
      </c>
      <c r="G1222" s="201">
        <v>21</v>
      </c>
      <c r="H1222" s="201">
        <v>22</v>
      </c>
      <c r="I1222" s="201">
        <v>30</v>
      </c>
      <c r="J1222" s="201">
        <v>37</v>
      </c>
      <c r="K1222" s="201">
        <v>23</v>
      </c>
      <c r="L1222" s="201">
        <v>25</v>
      </c>
      <c r="M1222" s="330">
        <v>20</v>
      </c>
      <c r="N1222" s="202">
        <v>-2.9126213592233077E-2</v>
      </c>
    </row>
    <row r="1223" spans="1:14" ht="15.75" customHeight="1">
      <c r="A1223" s="198" t="s">
        <v>159</v>
      </c>
      <c r="B1223" s="199" t="s">
        <v>195</v>
      </c>
      <c r="C1223" s="199" t="s">
        <v>133</v>
      </c>
      <c r="D1223" s="200" t="s">
        <v>165</v>
      </c>
      <c r="E1223" s="213">
        <v>80.900000000000006</v>
      </c>
      <c r="F1223" s="201">
        <v>93</v>
      </c>
      <c r="G1223" s="201">
        <v>79</v>
      </c>
      <c r="H1223" s="201">
        <v>104</v>
      </c>
      <c r="I1223" s="201">
        <v>91</v>
      </c>
      <c r="J1223" s="201">
        <v>143</v>
      </c>
      <c r="K1223" s="201">
        <v>179</v>
      </c>
      <c r="L1223" s="201">
        <v>161</v>
      </c>
      <c r="M1223" s="330">
        <v>171</v>
      </c>
      <c r="N1223" s="202">
        <v>1.1137206427688502</v>
      </c>
    </row>
    <row r="1224" spans="1:14" ht="15.75" customHeight="1">
      <c r="A1224" s="198" t="s">
        <v>159</v>
      </c>
      <c r="B1224" s="199" t="s">
        <v>195</v>
      </c>
      <c r="C1224" s="199" t="s">
        <v>133</v>
      </c>
      <c r="D1224" s="203" t="s">
        <v>91</v>
      </c>
      <c r="E1224" s="214">
        <v>102.7</v>
      </c>
      <c r="F1224" s="204">
        <v>137</v>
      </c>
      <c r="G1224" s="204">
        <v>101</v>
      </c>
      <c r="H1224" s="204">
        <v>127</v>
      </c>
      <c r="I1224" s="204">
        <v>122</v>
      </c>
      <c r="J1224" s="204">
        <v>180</v>
      </c>
      <c r="K1224" s="204">
        <v>203</v>
      </c>
      <c r="L1224" s="204">
        <v>186</v>
      </c>
      <c r="M1224" s="331">
        <v>191</v>
      </c>
      <c r="N1224" s="202">
        <v>0.85978578383641668</v>
      </c>
    </row>
    <row r="1225" spans="1:14" ht="15.75" customHeight="1">
      <c r="A1225" s="198" t="s">
        <v>159</v>
      </c>
      <c r="B1225" s="199" t="s">
        <v>195</v>
      </c>
      <c r="C1225" s="199" t="s">
        <v>167</v>
      </c>
      <c r="D1225" s="200" t="s">
        <v>162</v>
      </c>
      <c r="E1225" s="213">
        <v>0</v>
      </c>
      <c r="F1225" s="201">
        <v>0</v>
      </c>
      <c r="G1225" s="201">
        <v>0</v>
      </c>
      <c r="H1225" s="201">
        <v>0</v>
      </c>
      <c r="I1225" s="201">
        <v>0</v>
      </c>
      <c r="J1225" s="201">
        <v>0</v>
      </c>
      <c r="K1225" s="201">
        <v>1</v>
      </c>
      <c r="L1225" s="201">
        <v>0</v>
      </c>
      <c r="M1225" s="330">
        <v>1</v>
      </c>
      <c r="N1225" s="202">
        <v>0</v>
      </c>
    </row>
    <row r="1226" spans="1:14" ht="15.75" customHeight="1">
      <c r="A1226" s="198" t="s">
        <v>159</v>
      </c>
      <c r="B1226" s="199" t="s">
        <v>195</v>
      </c>
      <c r="C1226" s="199" t="s">
        <v>167</v>
      </c>
      <c r="D1226" s="200" t="s">
        <v>163</v>
      </c>
      <c r="E1226" s="213">
        <v>1.5</v>
      </c>
      <c r="F1226" s="201">
        <v>0</v>
      </c>
      <c r="G1226" s="201">
        <v>1</v>
      </c>
      <c r="H1226" s="201">
        <v>0</v>
      </c>
      <c r="I1226" s="201">
        <v>4</v>
      </c>
      <c r="J1226" s="201">
        <v>6</v>
      </c>
      <c r="K1226" s="201">
        <v>6</v>
      </c>
      <c r="L1226" s="201">
        <v>1</v>
      </c>
      <c r="M1226" s="330">
        <v>2</v>
      </c>
      <c r="N1226" s="202">
        <v>0.33333333333333331</v>
      </c>
    </row>
    <row r="1227" spans="1:14" ht="15.75" customHeight="1">
      <c r="A1227" s="198" t="s">
        <v>159</v>
      </c>
      <c r="B1227" s="199" t="s">
        <v>195</v>
      </c>
      <c r="C1227" s="199" t="s">
        <v>167</v>
      </c>
      <c r="D1227" s="200" t="s">
        <v>164</v>
      </c>
      <c r="E1227" s="213">
        <v>1.5</v>
      </c>
      <c r="F1227" s="201">
        <v>0</v>
      </c>
      <c r="G1227" s="201">
        <v>1</v>
      </c>
      <c r="H1227" s="201">
        <v>0</v>
      </c>
      <c r="I1227" s="201">
        <v>4</v>
      </c>
      <c r="J1227" s="201">
        <v>6</v>
      </c>
      <c r="K1227" s="201">
        <v>5</v>
      </c>
      <c r="L1227" s="201">
        <v>1</v>
      </c>
      <c r="M1227" s="330">
        <v>1</v>
      </c>
      <c r="N1227" s="202">
        <v>-0.33333333333333331</v>
      </c>
    </row>
    <row r="1228" spans="1:14" ht="15.75" customHeight="1">
      <c r="A1228" s="198" t="s">
        <v>159</v>
      </c>
      <c r="B1228" s="199" t="s">
        <v>195</v>
      </c>
      <c r="C1228" s="199" t="s">
        <v>167</v>
      </c>
      <c r="D1228" s="200" t="s">
        <v>165</v>
      </c>
      <c r="E1228" s="213">
        <v>2.5</v>
      </c>
      <c r="F1228" s="201">
        <v>7</v>
      </c>
      <c r="G1228" s="201">
        <v>4</v>
      </c>
      <c r="H1228" s="201">
        <v>7</v>
      </c>
      <c r="I1228" s="201">
        <v>5</v>
      </c>
      <c r="J1228" s="201">
        <v>14</v>
      </c>
      <c r="K1228" s="201">
        <v>6</v>
      </c>
      <c r="L1228" s="201">
        <v>6</v>
      </c>
      <c r="M1228" s="330">
        <v>7</v>
      </c>
      <c r="N1228" s="202">
        <v>1.8</v>
      </c>
    </row>
    <row r="1229" spans="1:14" ht="15.75" customHeight="1">
      <c r="A1229" s="198" t="s">
        <v>159</v>
      </c>
      <c r="B1229" s="199" t="s">
        <v>195</v>
      </c>
      <c r="C1229" s="199" t="s">
        <v>167</v>
      </c>
      <c r="D1229" s="203" t="s">
        <v>91</v>
      </c>
      <c r="E1229" s="214">
        <v>3.9</v>
      </c>
      <c r="F1229" s="204">
        <v>7</v>
      </c>
      <c r="G1229" s="204">
        <v>5</v>
      </c>
      <c r="H1229" s="204">
        <v>7</v>
      </c>
      <c r="I1229" s="204">
        <v>9</v>
      </c>
      <c r="J1229" s="204">
        <v>20</v>
      </c>
      <c r="K1229" s="204">
        <v>12</v>
      </c>
      <c r="L1229" s="204">
        <v>7</v>
      </c>
      <c r="M1229" s="331">
        <v>9</v>
      </c>
      <c r="N1229" s="202">
        <v>1.3076923076923077</v>
      </c>
    </row>
    <row r="1230" spans="1:14" ht="15.75" customHeight="1">
      <c r="A1230" s="198" t="s">
        <v>159</v>
      </c>
      <c r="B1230" s="199" t="s">
        <v>195</v>
      </c>
      <c r="C1230" s="199" t="s">
        <v>168</v>
      </c>
      <c r="D1230" s="200" t="s">
        <v>162</v>
      </c>
      <c r="E1230" s="213">
        <v>0.2</v>
      </c>
      <c r="F1230" s="201">
        <v>1</v>
      </c>
      <c r="G1230" s="201">
        <v>0</v>
      </c>
      <c r="H1230" s="201">
        <v>0</v>
      </c>
      <c r="I1230" s="201">
        <v>1</v>
      </c>
      <c r="J1230" s="201">
        <v>0</v>
      </c>
      <c r="K1230" s="201">
        <v>0</v>
      </c>
      <c r="L1230" s="201">
        <v>0</v>
      </c>
      <c r="M1230" s="330" t="s">
        <v>172</v>
      </c>
      <c r="N1230" s="202">
        <v>-1</v>
      </c>
    </row>
    <row r="1231" spans="1:14" ht="15.75" customHeight="1">
      <c r="A1231" s="198" t="s">
        <v>159</v>
      </c>
      <c r="B1231" s="199" t="s">
        <v>195</v>
      </c>
      <c r="C1231" s="199" t="s">
        <v>168</v>
      </c>
      <c r="D1231" s="200" t="s">
        <v>163</v>
      </c>
      <c r="E1231" s="213">
        <v>18</v>
      </c>
      <c r="F1231" s="201">
        <v>17</v>
      </c>
      <c r="G1231" s="201">
        <v>17</v>
      </c>
      <c r="H1231" s="201">
        <v>16</v>
      </c>
      <c r="I1231" s="201">
        <v>16</v>
      </c>
      <c r="J1231" s="201">
        <v>23</v>
      </c>
      <c r="K1231" s="201">
        <v>30</v>
      </c>
      <c r="L1231" s="201">
        <v>19</v>
      </c>
      <c r="M1231" s="330">
        <v>14</v>
      </c>
      <c r="N1231" s="202">
        <v>-0.22222222222222221</v>
      </c>
    </row>
    <row r="1232" spans="1:14" ht="15.75" customHeight="1">
      <c r="A1232" s="198" t="s">
        <v>159</v>
      </c>
      <c r="B1232" s="199" t="s">
        <v>195</v>
      </c>
      <c r="C1232" s="199" t="s">
        <v>168</v>
      </c>
      <c r="D1232" s="200" t="s">
        <v>164</v>
      </c>
      <c r="E1232" s="213">
        <v>17.8</v>
      </c>
      <c r="F1232" s="201">
        <v>16</v>
      </c>
      <c r="G1232" s="201">
        <v>17</v>
      </c>
      <c r="H1232" s="201">
        <v>16</v>
      </c>
      <c r="I1232" s="201">
        <v>15</v>
      </c>
      <c r="J1232" s="201">
        <v>23</v>
      </c>
      <c r="K1232" s="201">
        <v>30</v>
      </c>
      <c r="L1232" s="201">
        <v>19</v>
      </c>
      <c r="M1232" s="330">
        <v>14</v>
      </c>
      <c r="N1232" s="202">
        <v>-0.21348314606741575</v>
      </c>
    </row>
    <row r="1233" spans="1:14" ht="15.75" customHeight="1">
      <c r="A1233" s="198" t="s">
        <v>159</v>
      </c>
      <c r="B1233" s="199" t="s">
        <v>195</v>
      </c>
      <c r="C1233" s="199" t="s">
        <v>168</v>
      </c>
      <c r="D1233" s="200" t="s">
        <v>165</v>
      </c>
      <c r="E1233" s="213">
        <v>89.9</v>
      </c>
      <c r="F1233" s="201">
        <v>74</v>
      </c>
      <c r="G1233" s="201">
        <v>87</v>
      </c>
      <c r="H1233" s="201">
        <v>85</v>
      </c>
      <c r="I1233" s="201">
        <v>90</v>
      </c>
      <c r="J1233" s="201">
        <v>115</v>
      </c>
      <c r="K1233" s="201">
        <v>113</v>
      </c>
      <c r="L1233" s="201">
        <v>91</v>
      </c>
      <c r="M1233" s="330">
        <v>97</v>
      </c>
      <c r="N1233" s="202">
        <v>7.8976640711902052E-2</v>
      </c>
    </row>
    <row r="1234" spans="1:14" ht="15.75" customHeight="1">
      <c r="A1234" s="198" t="s">
        <v>159</v>
      </c>
      <c r="B1234" s="199" t="s">
        <v>195</v>
      </c>
      <c r="C1234" s="199" t="s">
        <v>168</v>
      </c>
      <c r="D1234" s="203" t="s">
        <v>91</v>
      </c>
      <c r="E1234" s="214">
        <v>107.9</v>
      </c>
      <c r="F1234" s="204">
        <v>91</v>
      </c>
      <c r="G1234" s="204">
        <v>104</v>
      </c>
      <c r="H1234" s="204">
        <v>101</v>
      </c>
      <c r="I1234" s="204">
        <v>106</v>
      </c>
      <c r="J1234" s="204">
        <v>138</v>
      </c>
      <c r="K1234" s="204">
        <v>143</v>
      </c>
      <c r="L1234" s="204">
        <v>110</v>
      </c>
      <c r="M1234" s="331">
        <v>111</v>
      </c>
      <c r="N1234" s="202">
        <v>2.873030583873952E-2</v>
      </c>
    </row>
    <row r="1235" spans="1:14" ht="15.75" customHeight="1">
      <c r="A1235" s="198" t="s">
        <v>159</v>
      </c>
      <c r="B1235" s="199" t="s">
        <v>195</v>
      </c>
      <c r="C1235" s="199" t="s">
        <v>131</v>
      </c>
      <c r="D1235" s="200" t="s">
        <v>162</v>
      </c>
      <c r="E1235" s="213">
        <v>2</v>
      </c>
      <c r="F1235" s="201">
        <v>1</v>
      </c>
      <c r="G1235" s="201">
        <v>3</v>
      </c>
      <c r="H1235" s="201">
        <v>0</v>
      </c>
      <c r="I1235" s="201">
        <v>1</v>
      </c>
      <c r="J1235" s="201">
        <v>1</v>
      </c>
      <c r="K1235" s="201">
        <v>3</v>
      </c>
      <c r="L1235" s="201">
        <v>0</v>
      </c>
      <c r="M1235" s="330">
        <v>6</v>
      </c>
      <c r="N1235" s="202">
        <v>2</v>
      </c>
    </row>
    <row r="1236" spans="1:14">
      <c r="A1236" s="198" t="s">
        <v>159</v>
      </c>
      <c r="B1236" s="199" t="s">
        <v>195</v>
      </c>
      <c r="C1236" s="199" t="s">
        <v>131</v>
      </c>
      <c r="D1236" s="200" t="s">
        <v>163</v>
      </c>
      <c r="E1236" s="213">
        <v>56.1</v>
      </c>
      <c r="F1236" s="201">
        <v>68</v>
      </c>
      <c r="G1236" s="201">
        <v>45</v>
      </c>
      <c r="H1236" s="201">
        <v>65</v>
      </c>
      <c r="I1236" s="201">
        <v>29</v>
      </c>
      <c r="J1236" s="201">
        <v>37</v>
      </c>
      <c r="K1236" s="201">
        <v>48</v>
      </c>
      <c r="L1236" s="201">
        <v>34</v>
      </c>
      <c r="M1236" s="330">
        <v>43</v>
      </c>
      <c r="N1236" s="202">
        <v>-0.23351158645276293</v>
      </c>
    </row>
    <row r="1237" spans="1:14" ht="15.75" customHeight="1">
      <c r="A1237" s="198" t="s">
        <v>159</v>
      </c>
      <c r="B1237" s="199" t="s">
        <v>195</v>
      </c>
      <c r="C1237" s="199" t="s">
        <v>131</v>
      </c>
      <c r="D1237" s="200" t="s">
        <v>164</v>
      </c>
      <c r="E1237" s="213">
        <v>54.1</v>
      </c>
      <c r="F1237" s="201">
        <v>67</v>
      </c>
      <c r="G1237" s="201">
        <v>42</v>
      </c>
      <c r="H1237" s="201">
        <v>65</v>
      </c>
      <c r="I1237" s="201">
        <v>28</v>
      </c>
      <c r="J1237" s="201">
        <v>36</v>
      </c>
      <c r="K1237" s="201">
        <v>45</v>
      </c>
      <c r="L1237" s="201">
        <v>34</v>
      </c>
      <c r="M1237" s="330">
        <v>37</v>
      </c>
      <c r="N1237" s="202">
        <v>-0.31608133086876156</v>
      </c>
    </row>
    <row r="1238" spans="1:14" ht="15.75" customHeight="1">
      <c r="A1238" s="198" t="s">
        <v>159</v>
      </c>
      <c r="B1238" s="199" t="s">
        <v>195</v>
      </c>
      <c r="C1238" s="199" t="s">
        <v>131</v>
      </c>
      <c r="D1238" s="200" t="s">
        <v>165</v>
      </c>
      <c r="E1238" s="213">
        <v>178.4</v>
      </c>
      <c r="F1238" s="201">
        <v>162</v>
      </c>
      <c r="G1238" s="201">
        <v>175</v>
      </c>
      <c r="H1238" s="201">
        <v>151</v>
      </c>
      <c r="I1238" s="201">
        <v>118</v>
      </c>
      <c r="J1238" s="201">
        <v>107</v>
      </c>
      <c r="K1238" s="201">
        <v>129</v>
      </c>
      <c r="L1238" s="201">
        <v>164</v>
      </c>
      <c r="M1238" s="330">
        <v>130</v>
      </c>
      <c r="N1238" s="202">
        <v>-0.27130044843049328</v>
      </c>
    </row>
    <row r="1239" spans="1:14" ht="15.75" customHeight="1">
      <c r="A1239" s="198" t="s">
        <v>159</v>
      </c>
      <c r="B1239" s="199" t="s">
        <v>195</v>
      </c>
      <c r="C1239" s="199" t="s">
        <v>131</v>
      </c>
      <c r="D1239" s="203" t="s">
        <v>91</v>
      </c>
      <c r="E1239" s="214">
        <v>234.4</v>
      </c>
      <c r="F1239" s="204">
        <v>230</v>
      </c>
      <c r="G1239" s="204">
        <v>220</v>
      </c>
      <c r="H1239" s="204">
        <v>216</v>
      </c>
      <c r="I1239" s="204">
        <v>147</v>
      </c>
      <c r="J1239" s="204">
        <v>144</v>
      </c>
      <c r="K1239" s="204">
        <v>177</v>
      </c>
      <c r="L1239" s="204">
        <v>198</v>
      </c>
      <c r="M1239" s="331">
        <v>173</v>
      </c>
      <c r="N1239" s="202">
        <v>-0.26194539249146759</v>
      </c>
    </row>
    <row r="1240" spans="1:14" ht="15.75" customHeight="1">
      <c r="A1240" s="198" t="s">
        <v>159</v>
      </c>
      <c r="B1240" s="199" t="s">
        <v>195</v>
      </c>
      <c r="C1240" s="199" t="s">
        <v>169</v>
      </c>
      <c r="D1240" s="200" t="s">
        <v>162</v>
      </c>
      <c r="E1240" s="213">
        <v>0</v>
      </c>
      <c r="F1240" s="201">
        <v>0</v>
      </c>
      <c r="G1240" s="201">
        <v>0</v>
      </c>
      <c r="H1240" s="201">
        <v>0</v>
      </c>
      <c r="I1240" s="201">
        <v>0</v>
      </c>
      <c r="J1240" s="201">
        <v>0</v>
      </c>
      <c r="K1240" s="201">
        <v>0</v>
      </c>
      <c r="L1240" s="201">
        <v>0</v>
      </c>
      <c r="M1240" s="330" t="s">
        <v>172</v>
      </c>
      <c r="N1240" s="202">
        <v>0</v>
      </c>
    </row>
    <row r="1241" spans="1:14" ht="15.75" customHeight="1">
      <c r="A1241" s="198" t="s">
        <v>159</v>
      </c>
      <c r="B1241" s="199" t="s">
        <v>195</v>
      </c>
      <c r="C1241" s="199" t="s">
        <v>169</v>
      </c>
      <c r="D1241" s="200" t="s">
        <v>163</v>
      </c>
      <c r="E1241" s="213">
        <v>0</v>
      </c>
      <c r="F1241" s="201">
        <v>1</v>
      </c>
      <c r="G1241" s="201">
        <v>0</v>
      </c>
      <c r="H1241" s="201">
        <v>0</v>
      </c>
      <c r="I1241" s="201">
        <v>1</v>
      </c>
      <c r="J1241" s="201">
        <v>0</v>
      </c>
      <c r="K1241" s="201">
        <v>1</v>
      </c>
      <c r="L1241" s="201">
        <v>1</v>
      </c>
      <c r="M1241" s="330">
        <v>0</v>
      </c>
      <c r="N1241" s="202">
        <v>0</v>
      </c>
    </row>
    <row r="1242" spans="1:14" ht="15.75" customHeight="1">
      <c r="A1242" s="198" t="s">
        <v>159</v>
      </c>
      <c r="B1242" s="199" t="s">
        <v>195</v>
      </c>
      <c r="C1242" s="199" t="s">
        <v>169</v>
      </c>
      <c r="D1242" s="200" t="s">
        <v>164</v>
      </c>
      <c r="E1242" s="213">
        <v>0</v>
      </c>
      <c r="F1242" s="201">
        <v>1</v>
      </c>
      <c r="G1242" s="201">
        <v>0</v>
      </c>
      <c r="H1242" s="201">
        <v>0</v>
      </c>
      <c r="I1242" s="201">
        <v>1</v>
      </c>
      <c r="J1242" s="201">
        <v>0</v>
      </c>
      <c r="K1242" s="201">
        <v>1</v>
      </c>
      <c r="L1242" s="201">
        <v>1</v>
      </c>
      <c r="M1242" s="330" t="s">
        <v>172</v>
      </c>
      <c r="N1242" s="202">
        <v>0</v>
      </c>
    </row>
    <row r="1243" spans="1:14" ht="15.75" customHeight="1">
      <c r="A1243" s="198" t="s">
        <v>159</v>
      </c>
      <c r="B1243" s="199" t="s">
        <v>195</v>
      </c>
      <c r="C1243" s="199" t="s">
        <v>169</v>
      </c>
      <c r="D1243" s="200" t="s">
        <v>165</v>
      </c>
      <c r="E1243" s="213">
        <v>0</v>
      </c>
      <c r="F1243" s="201">
        <v>26</v>
      </c>
      <c r="G1243" s="201">
        <v>17</v>
      </c>
      <c r="H1243" s="201">
        <v>24</v>
      </c>
      <c r="I1243" s="201">
        <v>11</v>
      </c>
      <c r="J1243" s="201">
        <v>13</v>
      </c>
      <c r="K1243" s="201">
        <v>18</v>
      </c>
      <c r="L1243" s="201">
        <v>13</v>
      </c>
      <c r="M1243" s="330">
        <v>11</v>
      </c>
      <c r="N1243" s="202">
        <v>0</v>
      </c>
    </row>
    <row r="1244" spans="1:14" ht="15.75" customHeight="1">
      <c r="A1244" s="198" t="s">
        <v>159</v>
      </c>
      <c r="B1244" s="199" t="s">
        <v>195</v>
      </c>
      <c r="C1244" s="199" t="s">
        <v>169</v>
      </c>
      <c r="D1244" s="203" t="s">
        <v>91</v>
      </c>
      <c r="E1244" s="214">
        <v>0</v>
      </c>
      <c r="F1244" s="204">
        <v>27</v>
      </c>
      <c r="G1244" s="204">
        <v>17</v>
      </c>
      <c r="H1244" s="204">
        <v>24</v>
      </c>
      <c r="I1244" s="204">
        <v>12</v>
      </c>
      <c r="J1244" s="204">
        <v>13</v>
      </c>
      <c r="K1244" s="204">
        <v>19</v>
      </c>
      <c r="L1244" s="204">
        <v>14</v>
      </c>
      <c r="M1244" s="331">
        <v>11</v>
      </c>
      <c r="N1244" s="202">
        <v>0</v>
      </c>
    </row>
    <row r="1245" spans="1:14" ht="15.75" customHeight="1">
      <c r="A1245" s="198" t="s">
        <v>159</v>
      </c>
      <c r="B1245" s="199" t="s">
        <v>195</v>
      </c>
      <c r="C1245" s="199" t="s">
        <v>139</v>
      </c>
      <c r="D1245" s="200" t="s">
        <v>162</v>
      </c>
      <c r="E1245" s="213">
        <v>0</v>
      </c>
      <c r="F1245" s="201">
        <v>0</v>
      </c>
      <c r="G1245" s="201">
        <v>0</v>
      </c>
      <c r="H1245" s="201">
        <v>0</v>
      </c>
      <c r="I1245" s="201">
        <v>0</v>
      </c>
      <c r="J1245" s="201">
        <v>0</v>
      </c>
      <c r="K1245" s="201">
        <v>0</v>
      </c>
      <c r="L1245" s="201">
        <v>0</v>
      </c>
      <c r="M1245" s="330" t="s">
        <v>172</v>
      </c>
      <c r="N1245" s="202">
        <v>0</v>
      </c>
    </row>
    <row r="1246" spans="1:14" ht="15.75" customHeight="1">
      <c r="A1246" s="198" t="s">
        <v>159</v>
      </c>
      <c r="B1246" s="199" t="s">
        <v>195</v>
      </c>
      <c r="C1246" s="199" t="s">
        <v>139</v>
      </c>
      <c r="D1246" s="200" t="s">
        <v>163</v>
      </c>
      <c r="E1246" s="213">
        <v>1</v>
      </c>
      <c r="F1246" s="201">
        <v>1</v>
      </c>
      <c r="G1246" s="201">
        <v>0</v>
      </c>
      <c r="H1246" s="201">
        <v>1</v>
      </c>
      <c r="I1246" s="201">
        <v>0</v>
      </c>
      <c r="J1246" s="201">
        <v>0</v>
      </c>
      <c r="K1246" s="201">
        <v>0</v>
      </c>
      <c r="L1246" s="201">
        <v>0</v>
      </c>
      <c r="M1246" s="330">
        <v>0</v>
      </c>
      <c r="N1246" s="202">
        <v>-1</v>
      </c>
    </row>
    <row r="1247" spans="1:14" ht="15.75" customHeight="1">
      <c r="A1247" s="198" t="s">
        <v>159</v>
      </c>
      <c r="B1247" s="199" t="s">
        <v>195</v>
      </c>
      <c r="C1247" s="199" t="s">
        <v>139</v>
      </c>
      <c r="D1247" s="200" t="s">
        <v>164</v>
      </c>
      <c r="E1247" s="213">
        <v>1</v>
      </c>
      <c r="F1247" s="201">
        <v>1</v>
      </c>
      <c r="G1247" s="201">
        <v>0</v>
      </c>
      <c r="H1247" s="201">
        <v>1</v>
      </c>
      <c r="I1247" s="201">
        <v>0</v>
      </c>
      <c r="J1247" s="201">
        <v>0</v>
      </c>
      <c r="K1247" s="201">
        <v>0</v>
      </c>
      <c r="L1247" s="201">
        <v>0</v>
      </c>
      <c r="M1247" s="330" t="s">
        <v>172</v>
      </c>
      <c r="N1247" s="202">
        <v>-1</v>
      </c>
    </row>
    <row r="1248" spans="1:14" ht="15.75" customHeight="1">
      <c r="A1248" s="198" t="s">
        <v>159</v>
      </c>
      <c r="B1248" s="199" t="s">
        <v>195</v>
      </c>
      <c r="C1248" s="199" t="s">
        <v>139</v>
      </c>
      <c r="D1248" s="200" t="s">
        <v>165</v>
      </c>
      <c r="E1248" s="213">
        <v>22.2</v>
      </c>
      <c r="F1248" s="201">
        <v>3</v>
      </c>
      <c r="G1248" s="201">
        <v>13</v>
      </c>
      <c r="H1248" s="201">
        <v>23</v>
      </c>
      <c r="I1248" s="201">
        <v>16</v>
      </c>
      <c r="J1248" s="201">
        <v>14</v>
      </c>
      <c r="K1248" s="201">
        <v>17</v>
      </c>
      <c r="L1248" s="201">
        <v>16</v>
      </c>
      <c r="M1248" s="330">
        <v>8</v>
      </c>
      <c r="N1248" s="202">
        <v>-0.63963963963963966</v>
      </c>
    </row>
    <row r="1249" spans="1:14" ht="15.75" customHeight="1">
      <c r="A1249" s="198" t="s">
        <v>159</v>
      </c>
      <c r="B1249" s="199" t="s">
        <v>195</v>
      </c>
      <c r="C1249" s="199" t="s">
        <v>139</v>
      </c>
      <c r="D1249" s="203" t="s">
        <v>91</v>
      </c>
      <c r="E1249" s="214">
        <v>23.2</v>
      </c>
      <c r="F1249" s="204">
        <v>4</v>
      </c>
      <c r="G1249" s="204">
        <v>13</v>
      </c>
      <c r="H1249" s="204">
        <v>24</v>
      </c>
      <c r="I1249" s="204">
        <v>16</v>
      </c>
      <c r="J1249" s="204">
        <v>14</v>
      </c>
      <c r="K1249" s="204">
        <v>17</v>
      </c>
      <c r="L1249" s="204">
        <v>16</v>
      </c>
      <c r="M1249" s="331">
        <v>8</v>
      </c>
      <c r="N1249" s="202">
        <v>-0.65517241379310343</v>
      </c>
    </row>
    <row r="1250" spans="1:14" ht="15.75" customHeight="1">
      <c r="A1250" s="198" t="s">
        <v>159</v>
      </c>
      <c r="B1250" s="199" t="s">
        <v>195</v>
      </c>
      <c r="C1250" s="205" t="s">
        <v>91</v>
      </c>
      <c r="D1250" s="203" t="s">
        <v>162</v>
      </c>
      <c r="E1250" s="214">
        <v>4.2</v>
      </c>
      <c r="F1250" s="204">
        <v>2</v>
      </c>
      <c r="G1250" s="204">
        <v>5</v>
      </c>
      <c r="H1250" s="204">
        <v>2</v>
      </c>
      <c r="I1250" s="204">
        <v>3</v>
      </c>
      <c r="J1250" s="204">
        <v>1</v>
      </c>
      <c r="K1250" s="204">
        <v>5</v>
      </c>
      <c r="L1250" s="204">
        <v>1</v>
      </c>
      <c r="M1250" s="331">
        <v>8</v>
      </c>
      <c r="N1250" s="202">
        <v>0.90476190476190466</v>
      </c>
    </row>
    <row r="1251" spans="1:14" ht="15.75" customHeight="1">
      <c r="A1251" s="198" t="s">
        <v>159</v>
      </c>
      <c r="B1251" s="199" t="s">
        <v>196</v>
      </c>
      <c r="C1251" s="205" t="s">
        <v>91</v>
      </c>
      <c r="D1251" s="203" t="s">
        <v>163</v>
      </c>
      <c r="E1251" s="214">
        <v>127.3</v>
      </c>
      <c r="F1251" s="204">
        <v>81</v>
      </c>
      <c r="G1251" s="204">
        <v>104</v>
      </c>
      <c r="H1251" s="204">
        <v>100</v>
      </c>
      <c r="I1251" s="204">
        <v>85</v>
      </c>
      <c r="J1251" s="204">
        <v>79</v>
      </c>
      <c r="K1251" s="204">
        <v>96</v>
      </c>
      <c r="L1251" s="204">
        <v>98</v>
      </c>
      <c r="M1251" s="331">
        <v>81</v>
      </c>
      <c r="N1251" s="202">
        <v>-0.36370777690494893</v>
      </c>
    </row>
    <row r="1252" spans="1:14" ht="15.75" customHeight="1">
      <c r="A1252" s="198" t="s">
        <v>159</v>
      </c>
      <c r="B1252" s="199" t="s">
        <v>195</v>
      </c>
      <c r="C1252" s="205" t="s">
        <v>91</v>
      </c>
      <c r="D1252" s="203" t="s">
        <v>164</v>
      </c>
      <c r="E1252" s="214">
        <v>132</v>
      </c>
      <c r="F1252" s="204">
        <v>147</v>
      </c>
      <c r="G1252" s="204">
        <v>103</v>
      </c>
      <c r="H1252" s="204">
        <v>133</v>
      </c>
      <c r="I1252" s="204">
        <v>99</v>
      </c>
      <c r="J1252" s="204">
        <v>129</v>
      </c>
      <c r="K1252" s="204">
        <v>129</v>
      </c>
      <c r="L1252" s="204">
        <v>98</v>
      </c>
      <c r="M1252" s="331">
        <v>99</v>
      </c>
      <c r="N1252" s="202">
        <v>-0.25</v>
      </c>
    </row>
    <row r="1253" spans="1:14" ht="15.75" customHeight="1">
      <c r="A1253" s="198" t="s">
        <v>159</v>
      </c>
      <c r="B1253" s="199" t="s">
        <v>195</v>
      </c>
      <c r="C1253" s="205" t="s">
        <v>91</v>
      </c>
      <c r="D1253" s="203" t="s">
        <v>165</v>
      </c>
      <c r="E1253" s="214">
        <v>855.2</v>
      </c>
      <c r="F1253" s="204">
        <v>956</v>
      </c>
      <c r="G1253" s="204">
        <v>978</v>
      </c>
      <c r="H1253" s="204">
        <v>967</v>
      </c>
      <c r="I1253" s="204">
        <v>772</v>
      </c>
      <c r="J1253" s="204">
        <v>902</v>
      </c>
      <c r="K1253" s="204">
        <v>954</v>
      </c>
      <c r="L1253" s="204">
        <v>875</v>
      </c>
      <c r="M1253" s="331">
        <v>779</v>
      </c>
      <c r="N1253" s="202">
        <v>-8.9101964452759641E-2</v>
      </c>
    </row>
    <row r="1254" spans="1:14" ht="15.75" customHeight="1">
      <c r="A1254" s="198" t="s">
        <v>159</v>
      </c>
      <c r="B1254" s="199" t="s">
        <v>195</v>
      </c>
      <c r="C1254" s="205" t="s">
        <v>91</v>
      </c>
      <c r="D1254" s="203" t="s">
        <v>91</v>
      </c>
      <c r="E1254" s="214">
        <v>991.4</v>
      </c>
      <c r="F1254" s="204">
        <v>1105</v>
      </c>
      <c r="G1254" s="204">
        <v>1086</v>
      </c>
      <c r="H1254" s="204">
        <v>1102</v>
      </c>
      <c r="I1254" s="204">
        <v>874</v>
      </c>
      <c r="J1254" s="204">
        <v>1032</v>
      </c>
      <c r="K1254" s="204">
        <v>1088</v>
      </c>
      <c r="L1254" s="204">
        <v>974</v>
      </c>
      <c r="M1254" s="331">
        <v>886</v>
      </c>
      <c r="N1254" s="202">
        <v>-0.10631430300585029</v>
      </c>
    </row>
    <row r="1255" spans="1:14" ht="15.75" customHeight="1">
      <c r="A1255" s="198" t="s">
        <v>159</v>
      </c>
      <c r="B1255" s="199" t="s">
        <v>196</v>
      </c>
      <c r="C1255" s="199" t="s">
        <v>161</v>
      </c>
      <c r="D1255" s="200" t="s">
        <v>162</v>
      </c>
      <c r="E1255" s="213">
        <v>0</v>
      </c>
      <c r="F1255" s="201">
        <v>0</v>
      </c>
      <c r="G1255" s="201">
        <v>0</v>
      </c>
      <c r="H1255" s="201">
        <v>0</v>
      </c>
      <c r="I1255" s="201">
        <v>0</v>
      </c>
      <c r="J1255" s="201">
        <v>0</v>
      </c>
      <c r="K1255" s="201">
        <v>0</v>
      </c>
      <c r="L1255" s="201">
        <v>0</v>
      </c>
      <c r="M1255" s="330" t="s">
        <v>172</v>
      </c>
      <c r="N1255" s="202">
        <v>0</v>
      </c>
    </row>
    <row r="1256" spans="1:14">
      <c r="A1256" s="198" t="s">
        <v>159</v>
      </c>
      <c r="B1256" s="199" t="s">
        <v>196</v>
      </c>
      <c r="C1256" s="199" t="s">
        <v>161</v>
      </c>
      <c r="D1256" s="200" t="s">
        <v>163</v>
      </c>
      <c r="E1256" s="213">
        <v>2.2000000000000002</v>
      </c>
      <c r="F1256" s="201">
        <v>2</v>
      </c>
      <c r="G1256" s="201">
        <v>0</v>
      </c>
      <c r="H1256" s="201">
        <v>2</v>
      </c>
      <c r="I1256" s="201">
        <v>1</v>
      </c>
      <c r="J1256" s="201">
        <v>1</v>
      </c>
      <c r="K1256" s="201">
        <v>4</v>
      </c>
      <c r="L1256" s="201">
        <v>2</v>
      </c>
      <c r="M1256" s="330">
        <v>0</v>
      </c>
      <c r="N1256" s="202">
        <v>-1</v>
      </c>
    </row>
    <row r="1257" spans="1:14" ht="15.75" customHeight="1">
      <c r="A1257" s="198" t="s">
        <v>159</v>
      </c>
      <c r="B1257" s="199" t="s">
        <v>196</v>
      </c>
      <c r="C1257" s="199" t="s">
        <v>161</v>
      </c>
      <c r="D1257" s="200" t="s">
        <v>164</v>
      </c>
      <c r="E1257" s="213">
        <v>2.2000000000000002</v>
      </c>
      <c r="F1257" s="201">
        <v>2</v>
      </c>
      <c r="G1257" s="201">
        <v>0</v>
      </c>
      <c r="H1257" s="201">
        <v>2</v>
      </c>
      <c r="I1257" s="201">
        <v>1</v>
      </c>
      <c r="J1257" s="201">
        <v>1</v>
      </c>
      <c r="K1257" s="201">
        <v>4</v>
      </c>
      <c r="L1257" s="201">
        <v>2</v>
      </c>
      <c r="M1257" s="330" t="s">
        <v>172</v>
      </c>
      <c r="N1257" s="202">
        <v>-1</v>
      </c>
    </row>
    <row r="1258" spans="1:14" ht="15.75" customHeight="1">
      <c r="A1258" s="198" t="s">
        <v>159</v>
      </c>
      <c r="B1258" s="199" t="s">
        <v>196</v>
      </c>
      <c r="C1258" s="199" t="s">
        <v>161</v>
      </c>
      <c r="D1258" s="200" t="s">
        <v>165</v>
      </c>
      <c r="E1258" s="213">
        <v>25.5</v>
      </c>
      <c r="F1258" s="201">
        <v>36</v>
      </c>
      <c r="G1258" s="201">
        <v>21</v>
      </c>
      <c r="H1258" s="201">
        <v>22</v>
      </c>
      <c r="I1258" s="201">
        <v>8</v>
      </c>
      <c r="J1258" s="201">
        <v>14</v>
      </c>
      <c r="K1258" s="201">
        <v>31</v>
      </c>
      <c r="L1258" s="201">
        <v>23</v>
      </c>
      <c r="M1258" s="330">
        <v>20</v>
      </c>
      <c r="N1258" s="202">
        <v>-0.21568627450980393</v>
      </c>
    </row>
    <row r="1259" spans="1:14" ht="15.75" customHeight="1">
      <c r="A1259" s="198" t="s">
        <v>159</v>
      </c>
      <c r="B1259" s="199" t="s">
        <v>196</v>
      </c>
      <c r="C1259" s="199" t="s">
        <v>161</v>
      </c>
      <c r="D1259" s="203" t="s">
        <v>91</v>
      </c>
      <c r="E1259" s="214">
        <v>27.8</v>
      </c>
      <c r="F1259" s="204">
        <v>38</v>
      </c>
      <c r="G1259" s="204">
        <v>21</v>
      </c>
      <c r="H1259" s="204">
        <v>24</v>
      </c>
      <c r="I1259" s="204">
        <v>9</v>
      </c>
      <c r="J1259" s="204">
        <v>15</v>
      </c>
      <c r="K1259" s="204">
        <v>35</v>
      </c>
      <c r="L1259" s="204">
        <v>25</v>
      </c>
      <c r="M1259" s="331">
        <v>20</v>
      </c>
      <c r="N1259" s="202">
        <v>-0.28057553956834536</v>
      </c>
    </row>
    <row r="1260" spans="1:14" ht="15.75" customHeight="1">
      <c r="A1260" s="198" t="s">
        <v>159</v>
      </c>
      <c r="B1260" s="199" t="s">
        <v>196</v>
      </c>
      <c r="C1260" s="199" t="s">
        <v>134</v>
      </c>
      <c r="D1260" s="200" t="s">
        <v>162</v>
      </c>
      <c r="E1260" s="213">
        <v>1.2</v>
      </c>
      <c r="F1260" s="201">
        <v>2</v>
      </c>
      <c r="G1260" s="201">
        <v>0</v>
      </c>
      <c r="H1260" s="201">
        <v>0</v>
      </c>
      <c r="I1260" s="201">
        <v>0</v>
      </c>
      <c r="J1260" s="201">
        <v>1</v>
      </c>
      <c r="K1260" s="201">
        <v>1</v>
      </c>
      <c r="L1260" s="201">
        <v>1</v>
      </c>
      <c r="M1260" s="330">
        <v>1</v>
      </c>
      <c r="N1260" s="202">
        <v>-0.16666666666666663</v>
      </c>
    </row>
    <row r="1261" spans="1:14">
      <c r="A1261" s="198" t="s">
        <v>159</v>
      </c>
      <c r="B1261" s="199" t="s">
        <v>196</v>
      </c>
      <c r="C1261" s="199" t="s">
        <v>134</v>
      </c>
      <c r="D1261" s="200" t="s">
        <v>163</v>
      </c>
      <c r="E1261" s="213">
        <v>45.4</v>
      </c>
      <c r="F1261" s="201">
        <v>22</v>
      </c>
      <c r="G1261" s="201">
        <v>32</v>
      </c>
      <c r="H1261" s="201">
        <v>30</v>
      </c>
      <c r="I1261" s="201">
        <v>15</v>
      </c>
      <c r="J1261" s="201">
        <v>22</v>
      </c>
      <c r="K1261" s="201">
        <v>22</v>
      </c>
      <c r="L1261" s="201">
        <v>20</v>
      </c>
      <c r="M1261" s="330">
        <v>19</v>
      </c>
      <c r="N1261" s="202">
        <v>-0.58149779735682816</v>
      </c>
    </row>
    <row r="1262" spans="1:14" ht="15.75" customHeight="1">
      <c r="A1262" s="198" t="s">
        <v>159</v>
      </c>
      <c r="B1262" s="199" t="s">
        <v>196</v>
      </c>
      <c r="C1262" s="199" t="s">
        <v>134</v>
      </c>
      <c r="D1262" s="200" t="s">
        <v>164</v>
      </c>
      <c r="E1262" s="213">
        <v>44.2</v>
      </c>
      <c r="F1262" s="201">
        <v>20</v>
      </c>
      <c r="G1262" s="201">
        <v>32</v>
      </c>
      <c r="H1262" s="201">
        <v>30</v>
      </c>
      <c r="I1262" s="201">
        <v>15</v>
      </c>
      <c r="J1262" s="201">
        <v>21</v>
      </c>
      <c r="K1262" s="201">
        <v>21</v>
      </c>
      <c r="L1262" s="201">
        <v>19</v>
      </c>
      <c r="M1262" s="330">
        <v>18</v>
      </c>
      <c r="N1262" s="202">
        <v>-0.59276018099547512</v>
      </c>
    </row>
    <row r="1263" spans="1:14" ht="15.75" customHeight="1">
      <c r="A1263" s="198" t="s">
        <v>159</v>
      </c>
      <c r="B1263" s="199" t="s">
        <v>196</v>
      </c>
      <c r="C1263" s="199" t="s">
        <v>134</v>
      </c>
      <c r="D1263" s="200" t="s">
        <v>165</v>
      </c>
      <c r="E1263" s="213">
        <v>574.20000000000005</v>
      </c>
      <c r="F1263" s="201">
        <v>610</v>
      </c>
      <c r="G1263" s="201">
        <v>584</v>
      </c>
      <c r="H1263" s="201">
        <v>507</v>
      </c>
      <c r="I1263" s="201">
        <v>409</v>
      </c>
      <c r="J1263" s="201">
        <v>438</v>
      </c>
      <c r="K1263" s="201">
        <v>453</v>
      </c>
      <c r="L1263" s="201">
        <v>385</v>
      </c>
      <c r="M1263" s="330">
        <v>351</v>
      </c>
      <c r="N1263" s="202">
        <v>-0.38871473354231978</v>
      </c>
    </row>
    <row r="1264" spans="1:14" ht="15.75" customHeight="1">
      <c r="A1264" s="198" t="s">
        <v>159</v>
      </c>
      <c r="B1264" s="199" t="s">
        <v>196</v>
      </c>
      <c r="C1264" s="199" t="s">
        <v>134</v>
      </c>
      <c r="D1264" s="203" t="s">
        <v>91</v>
      </c>
      <c r="E1264" s="214">
        <v>619.6</v>
      </c>
      <c r="F1264" s="204">
        <v>632</v>
      </c>
      <c r="G1264" s="204">
        <v>616</v>
      </c>
      <c r="H1264" s="204">
        <v>537</v>
      </c>
      <c r="I1264" s="204">
        <v>424</v>
      </c>
      <c r="J1264" s="204">
        <v>460</v>
      </c>
      <c r="K1264" s="204">
        <v>475</v>
      </c>
      <c r="L1264" s="204">
        <v>405</v>
      </c>
      <c r="M1264" s="331">
        <v>370</v>
      </c>
      <c r="N1264" s="202">
        <v>-0.40284054228534538</v>
      </c>
    </row>
    <row r="1265" spans="1:14" ht="15.75" customHeight="1">
      <c r="A1265" s="198" t="s">
        <v>159</v>
      </c>
      <c r="B1265" s="199" t="s">
        <v>196</v>
      </c>
      <c r="C1265" s="199" t="s">
        <v>166</v>
      </c>
      <c r="D1265" s="200" t="s">
        <v>162</v>
      </c>
      <c r="E1265" s="213">
        <v>0.2</v>
      </c>
      <c r="F1265" s="201">
        <v>0</v>
      </c>
      <c r="G1265" s="201">
        <v>0</v>
      </c>
      <c r="H1265" s="201">
        <v>0</v>
      </c>
      <c r="I1265" s="201">
        <v>0</v>
      </c>
      <c r="J1265" s="201">
        <v>0</v>
      </c>
      <c r="K1265" s="201">
        <v>0</v>
      </c>
      <c r="L1265" s="201">
        <v>0</v>
      </c>
      <c r="M1265" s="330" t="s">
        <v>172</v>
      </c>
      <c r="N1265" s="202">
        <v>-1</v>
      </c>
    </row>
    <row r="1266" spans="1:14">
      <c r="A1266" s="198" t="s">
        <v>159</v>
      </c>
      <c r="B1266" s="199" t="s">
        <v>196</v>
      </c>
      <c r="C1266" s="199" t="s">
        <v>166</v>
      </c>
      <c r="D1266" s="200" t="s">
        <v>163</v>
      </c>
      <c r="E1266" s="213">
        <v>2.9</v>
      </c>
      <c r="F1266" s="201">
        <v>1</v>
      </c>
      <c r="G1266" s="201">
        <v>1</v>
      </c>
      <c r="H1266" s="201">
        <v>0</v>
      </c>
      <c r="I1266" s="201">
        <v>2</v>
      </c>
      <c r="J1266" s="201">
        <v>1</v>
      </c>
      <c r="K1266" s="201">
        <v>2</v>
      </c>
      <c r="L1266" s="201">
        <v>0</v>
      </c>
      <c r="M1266" s="330">
        <v>1</v>
      </c>
      <c r="N1266" s="202">
        <v>-0.65517241379310343</v>
      </c>
    </row>
    <row r="1267" spans="1:14" ht="15.75" customHeight="1">
      <c r="A1267" s="198" t="s">
        <v>159</v>
      </c>
      <c r="B1267" s="199" t="s">
        <v>196</v>
      </c>
      <c r="C1267" s="199" t="s">
        <v>166</v>
      </c>
      <c r="D1267" s="200" t="s">
        <v>164</v>
      </c>
      <c r="E1267" s="213">
        <v>2.7</v>
      </c>
      <c r="F1267" s="201">
        <v>1</v>
      </c>
      <c r="G1267" s="201">
        <v>1</v>
      </c>
      <c r="H1267" s="201">
        <v>0</v>
      </c>
      <c r="I1267" s="201">
        <v>2</v>
      </c>
      <c r="J1267" s="201">
        <v>1</v>
      </c>
      <c r="K1267" s="201">
        <v>2</v>
      </c>
      <c r="L1267" s="201">
        <v>0</v>
      </c>
      <c r="M1267" s="330">
        <v>1</v>
      </c>
      <c r="N1267" s="202">
        <v>-0.62962962962962965</v>
      </c>
    </row>
    <row r="1268" spans="1:14" ht="15.75" customHeight="1">
      <c r="A1268" s="198" t="s">
        <v>159</v>
      </c>
      <c r="B1268" s="199" t="s">
        <v>196</v>
      </c>
      <c r="C1268" s="199" t="s">
        <v>166</v>
      </c>
      <c r="D1268" s="200" t="s">
        <v>165</v>
      </c>
      <c r="E1268" s="213">
        <v>23.1</v>
      </c>
      <c r="F1268" s="201">
        <v>21</v>
      </c>
      <c r="G1268" s="201">
        <v>16</v>
      </c>
      <c r="H1268" s="201">
        <v>12</v>
      </c>
      <c r="I1268" s="201">
        <v>15</v>
      </c>
      <c r="J1268" s="201">
        <v>12</v>
      </c>
      <c r="K1268" s="201">
        <v>10</v>
      </c>
      <c r="L1268" s="201">
        <v>10</v>
      </c>
      <c r="M1268" s="330">
        <v>17</v>
      </c>
      <c r="N1268" s="202">
        <v>-0.26406926406926412</v>
      </c>
    </row>
    <row r="1269" spans="1:14" ht="15.75" customHeight="1">
      <c r="A1269" s="198" t="s">
        <v>159</v>
      </c>
      <c r="B1269" s="199" t="s">
        <v>196</v>
      </c>
      <c r="C1269" s="199" t="s">
        <v>166</v>
      </c>
      <c r="D1269" s="203" t="s">
        <v>91</v>
      </c>
      <c r="E1269" s="214">
        <v>26</v>
      </c>
      <c r="F1269" s="204">
        <v>22</v>
      </c>
      <c r="G1269" s="204">
        <v>17</v>
      </c>
      <c r="H1269" s="204">
        <v>12</v>
      </c>
      <c r="I1269" s="204">
        <v>17</v>
      </c>
      <c r="J1269" s="204">
        <v>13</v>
      </c>
      <c r="K1269" s="204">
        <v>12</v>
      </c>
      <c r="L1269" s="204">
        <v>10</v>
      </c>
      <c r="M1269" s="331">
        <v>18</v>
      </c>
      <c r="N1269" s="202">
        <v>-0.30769230769230771</v>
      </c>
    </row>
    <row r="1270" spans="1:14" ht="15.75" customHeight="1">
      <c r="A1270" s="198" t="s">
        <v>159</v>
      </c>
      <c r="B1270" s="199" t="s">
        <v>196</v>
      </c>
      <c r="C1270" s="199" t="s">
        <v>133</v>
      </c>
      <c r="D1270" s="200" t="s">
        <v>162</v>
      </c>
      <c r="E1270" s="213">
        <v>0.4</v>
      </c>
      <c r="F1270" s="201">
        <v>3</v>
      </c>
      <c r="G1270" s="201">
        <v>1</v>
      </c>
      <c r="H1270" s="201">
        <v>0</v>
      </c>
      <c r="I1270" s="201">
        <v>0</v>
      </c>
      <c r="J1270" s="201">
        <v>1</v>
      </c>
      <c r="K1270" s="201">
        <v>1</v>
      </c>
      <c r="L1270" s="201">
        <v>3</v>
      </c>
      <c r="M1270" s="330" t="s">
        <v>172</v>
      </c>
      <c r="N1270" s="202">
        <v>-1</v>
      </c>
    </row>
    <row r="1271" spans="1:14">
      <c r="A1271" s="198" t="s">
        <v>159</v>
      </c>
      <c r="B1271" s="199" t="s">
        <v>196</v>
      </c>
      <c r="C1271" s="199" t="s">
        <v>133</v>
      </c>
      <c r="D1271" s="200" t="s">
        <v>163</v>
      </c>
      <c r="E1271" s="213">
        <v>23.1</v>
      </c>
      <c r="F1271" s="201">
        <v>12</v>
      </c>
      <c r="G1271" s="201">
        <v>20</v>
      </c>
      <c r="H1271" s="201">
        <v>18</v>
      </c>
      <c r="I1271" s="201">
        <v>21</v>
      </c>
      <c r="J1271" s="201">
        <v>24</v>
      </c>
      <c r="K1271" s="201">
        <v>22</v>
      </c>
      <c r="L1271" s="201">
        <v>14</v>
      </c>
      <c r="M1271" s="330">
        <v>17</v>
      </c>
      <c r="N1271" s="202">
        <v>-0.26406926406926412</v>
      </c>
    </row>
    <row r="1272" spans="1:14" ht="15.75" customHeight="1">
      <c r="A1272" s="198" t="s">
        <v>159</v>
      </c>
      <c r="B1272" s="199" t="s">
        <v>196</v>
      </c>
      <c r="C1272" s="199" t="s">
        <v>133</v>
      </c>
      <c r="D1272" s="200" t="s">
        <v>164</v>
      </c>
      <c r="E1272" s="213">
        <v>22.7</v>
      </c>
      <c r="F1272" s="201">
        <v>9</v>
      </c>
      <c r="G1272" s="201">
        <v>19</v>
      </c>
      <c r="H1272" s="201">
        <v>18</v>
      </c>
      <c r="I1272" s="201">
        <v>21</v>
      </c>
      <c r="J1272" s="201">
        <v>23</v>
      </c>
      <c r="K1272" s="201">
        <v>21</v>
      </c>
      <c r="L1272" s="201">
        <v>11</v>
      </c>
      <c r="M1272" s="330">
        <v>17</v>
      </c>
      <c r="N1272" s="202">
        <v>-0.25110132158590304</v>
      </c>
    </row>
    <row r="1273" spans="1:14" ht="15.75" customHeight="1">
      <c r="A1273" s="198" t="s">
        <v>159</v>
      </c>
      <c r="B1273" s="199" t="s">
        <v>196</v>
      </c>
      <c r="C1273" s="199" t="s">
        <v>133</v>
      </c>
      <c r="D1273" s="200" t="s">
        <v>165</v>
      </c>
      <c r="E1273" s="213">
        <v>73.900000000000006</v>
      </c>
      <c r="F1273" s="201">
        <v>71</v>
      </c>
      <c r="G1273" s="201">
        <v>65</v>
      </c>
      <c r="H1273" s="201">
        <v>58</v>
      </c>
      <c r="I1273" s="201">
        <v>70</v>
      </c>
      <c r="J1273" s="201">
        <v>95</v>
      </c>
      <c r="K1273" s="201">
        <v>85</v>
      </c>
      <c r="L1273" s="201">
        <v>89</v>
      </c>
      <c r="M1273" s="330">
        <v>97</v>
      </c>
      <c r="N1273" s="202">
        <v>0.31258457374830845</v>
      </c>
    </row>
    <row r="1274" spans="1:14" ht="15.75" customHeight="1">
      <c r="A1274" s="198" t="s">
        <v>159</v>
      </c>
      <c r="B1274" s="199" t="s">
        <v>196</v>
      </c>
      <c r="C1274" s="199" t="s">
        <v>133</v>
      </c>
      <c r="D1274" s="203" t="s">
        <v>91</v>
      </c>
      <c r="E1274" s="214">
        <v>97</v>
      </c>
      <c r="F1274" s="204">
        <v>83</v>
      </c>
      <c r="G1274" s="204">
        <v>85</v>
      </c>
      <c r="H1274" s="204">
        <v>76</v>
      </c>
      <c r="I1274" s="204">
        <v>91</v>
      </c>
      <c r="J1274" s="204">
        <v>119</v>
      </c>
      <c r="K1274" s="204">
        <v>107</v>
      </c>
      <c r="L1274" s="204">
        <v>103</v>
      </c>
      <c r="M1274" s="331">
        <v>114</v>
      </c>
      <c r="N1274" s="202">
        <v>0.17525773195876287</v>
      </c>
    </row>
    <row r="1275" spans="1:14" ht="15.75" customHeight="1">
      <c r="A1275" s="198" t="s">
        <v>159</v>
      </c>
      <c r="B1275" s="199" t="s">
        <v>196</v>
      </c>
      <c r="C1275" s="199" t="s">
        <v>167</v>
      </c>
      <c r="D1275" s="200" t="s">
        <v>162</v>
      </c>
      <c r="E1275" s="213">
        <v>0</v>
      </c>
      <c r="F1275" s="201">
        <v>0</v>
      </c>
      <c r="G1275" s="201">
        <v>0</v>
      </c>
      <c r="H1275" s="201">
        <v>0</v>
      </c>
      <c r="I1275" s="201">
        <v>0</v>
      </c>
      <c r="J1275" s="201">
        <v>0</v>
      </c>
      <c r="K1275" s="201">
        <v>0</v>
      </c>
      <c r="L1275" s="201">
        <v>0</v>
      </c>
      <c r="M1275" s="330" t="s">
        <v>172</v>
      </c>
      <c r="N1275" s="202">
        <v>0</v>
      </c>
    </row>
    <row r="1276" spans="1:14" ht="15.75" customHeight="1">
      <c r="A1276" s="198" t="s">
        <v>159</v>
      </c>
      <c r="B1276" s="199" t="s">
        <v>196</v>
      </c>
      <c r="C1276" s="199" t="s">
        <v>167</v>
      </c>
      <c r="D1276" s="200" t="s">
        <v>163</v>
      </c>
      <c r="E1276" s="213">
        <v>0.7</v>
      </c>
      <c r="F1276" s="201">
        <v>0</v>
      </c>
      <c r="G1276" s="201">
        <v>0</v>
      </c>
      <c r="H1276" s="201">
        <v>0</v>
      </c>
      <c r="I1276" s="201">
        <v>0</v>
      </c>
      <c r="J1276" s="201">
        <v>0</v>
      </c>
      <c r="K1276" s="201">
        <v>0</v>
      </c>
      <c r="L1276" s="201">
        <v>0</v>
      </c>
      <c r="M1276" s="330">
        <v>0</v>
      </c>
      <c r="N1276" s="202">
        <v>-1</v>
      </c>
    </row>
    <row r="1277" spans="1:14" ht="15.75" customHeight="1">
      <c r="A1277" s="198" t="s">
        <v>159</v>
      </c>
      <c r="B1277" s="199" t="s">
        <v>196</v>
      </c>
      <c r="C1277" s="199" t="s">
        <v>167</v>
      </c>
      <c r="D1277" s="200" t="s">
        <v>164</v>
      </c>
      <c r="E1277" s="213">
        <v>0.7</v>
      </c>
      <c r="F1277" s="201">
        <v>0</v>
      </c>
      <c r="G1277" s="201">
        <v>0</v>
      </c>
      <c r="H1277" s="201">
        <v>0</v>
      </c>
      <c r="I1277" s="201">
        <v>0</v>
      </c>
      <c r="J1277" s="201">
        <v>0</v>
      </c>
      <c r="K1277" s="201">
        <v>0</v>
      </c>
      <c r="L1277" s="201">
        <v>0</v>
      </c>
      <c r="M1277" s="330" t="s">
        <v>172</v>
      </c>
      <c r="N1277" s="202">
        <v>-1</v>
      </c>
    </row>
    <row r="1278" spans="1:14" ht="15.75" customHeight="1">
      <c r="A1278" s="198" t="s">
        <v>159</v>
      </c>
      <c r="B1278" s="199" t="s">
        <v>196</v>
      </c>
      <c r="C1278" s="199" t="s">
        <v>167</v>
      </c>
      <c r="D1278" s="200" t="s">
        <v>165</v>
      </c>
      <c r="E1278" s="213">
        <v>3.7</v>
      </c>
      <c r="F1278" s="201">
        <v>7</v>
      </c>
      <c r="G1278" s="201">
        <v>1</v>
      </c>
      <c r="H1278" s="201">
        <v>2</v>
      </c>
      <c r="I1278" s="201">
        <v>0</v>
      </c>
      <c r="J1278" s="201">
        <v>6</v>
      </c>
      <c r="K1278" s="201">
        <v>4</v>
      </c>
      <c r="L1278" s="201">
        <v>4</v>
      </c>
      <c r="M1278" s="330">
        <v>3</v>
      </c>
      <c r="N1278" s="202">
        <v>-0.18918918918918923</v>
      </c>
    </row>
    <row r="1279" spans="1:14" ht="15.75" customHeight="1">
      <c r="A1279" s="198" t="s">
        <v>159</v>
      </c>
      <c r="B1279" s="199" t="s">
        <v>196</v>
      </c>
      <c r="C1279" s="199" t="s">
        <v>167</v>
      </c>
      <c r="D1279" s="203" t="s">
        <v>91</v>
      </c>
      <c r="E1279" s="214">
        <v>4.4000000000000004</v>
      </c>
      <c r="F1279" s="204">
        <v>7</v>
      </c>
      <c r="G1279" s="204">
        <v>1</v>
      </c>
      <c r="H1279" s="204">
        <v>2</v>
      </c>
      <c r="I1279" s="204">
        <v>0</v>
      </c>
      <c r="J1279" s="204">
        <v>6</v>
      </c>
      <c r="K1279" s="204">
        <v>4</v>
      </c>
      <c r="L1279" s="204">
        <v>4</v>
      </c>
      <c r="M1279" s="331">
        <v>3</v>
      </c>
      <c r="N1279" s="202">
        <v>-0.31818181818181823</v>
      </c>
    </row>
    <row r="1280" spans="1:14" ht="15.75" customHeight="1">
      <c r="A1280" s="198" t="s">
        <v>159</v>
      </c>
      <c r="B1280" s="199" t="s">
        <v>196</v>
      </c>
      <c r="C1280" s="199" t="s">
        <v>168</v>
      </c>
      <c r="D1280" s="200" t="s">
        <v>162</v>
      </c>
      <c r="E1280" s="213">
        <v>0.2</v>
      </c>
      <c r="F1280" s="201">
        <v>0</v>
      </c>
      <c r="G1280" s="201">
        <v>0</v>
      </c>
      <c r="H1280" s="201">
        <v>0</v>
      </c>
      <c r="I1280" s="201">
        <v>0</v>
      </c>
      <c r="J1280" s="201">
        <v>0</v>
      </c>
      <c r="K1280" s="201">
        <v>0</v>
      </c>
      <c r="L1280" s="201">
        <v>0</v>
      </c>
      <c r="M1280" s="330" t="s">
        <v>172</v>
      </c>
      <c r="N1280" s="202">
        <v>-1</v>
      </c>
    </row>
    <row r="1281" spans="1:14">
      <c r="A1281" s="198" t="s">
        <v>159</v>
      </c>
      <c r="B1281" s="199" t="s">
        <v>196</v>
      </c>
      <c r="C1281" s="199" t="s">
        <v>168</v>
      </c>
      <c r="D1281" s="200" t="s">
        <v>163</v>
      </c>
      <c r="E1281" s="213">
        <v>9.6999999999999993</v>
      </c>
      <c r="F1281" s="201">
        <v>5</v>
      </c>
      <c r="G1281" s="201">
        <v>12</v>
      </c>
      <c r="H1281" s="201">
        <v>11</v>
      </c>
      <c r="I1281" s="201">
        <v>15</v>
      </c>
      <c r="J1281" s="201">
        <v>10</v>
      </c>
      <c r="K1281" s="201">
        <v>12</v>
      </c>
      <c r="L1281" s="201">
        <v>11</v>
      </c>
      <c r="M1281" s="330">
        <v>10</v>
      </c>
      <c r="N1281" s="202">
        <v>3.0927835051546466E-2</v>
      </c>
    </row>
    <row r="1282" spans="1:14" ht="15.75" customHeight="1">
      <c r="A1282" s="198" t="s">
        <v>159</v>
      </c>
      <c r="B1282" s="199" t="s">
        <v>196</v>
      </c>
      <c r="C1282" s="199" t="s">
        <v>168</v>
      </c>
      <c r="D1282" s="200" t="s">
        <v>164</v>
      </c>
      <c r="E1282" s="213">
        <v>9.5</v>
      </c>
      <c r="F1282" s="201">
        <v>5</v>
      </c>
      <c r="G1282" s="201">
        <v>12</v>
      </c>
      <c r="H1282" s="201">
        <v>11</v>
      </c>
      <c r="I1282" s="201">
        <v>15</v>
      </c>
      <c r="J1282" s="201">
        <v>10</v>
      </c>
      <c r="K1282" s="201">
        <v>12</v>
      </c>
      <c r="L1282" s="201">
        <v>11</v>
      </c>
      <c r="M1282" s="330">
        <v>10</v>
      </c>
      <c r="N1282" s="202">
        <v>5.2631578947368418E-2</v>
      </c>
    </row>
    <row r="1283" spans="1:14" ht="15.75" customHeight="1">
      <c r="A1283" s="198" t="s">
        <v>159</v>
      </c>
      <c r="B1283" s="199" t="s">
        <v>196</v>
      </c>
      <c r="C1283" s="199" t="s">
        <v>168</v>
      </c>
      <c r="D1283" s="200" t="s">
        <v>165</v>
      </c>
      <c r="E1283" s="213">
        <v>53.4</v>
      </c>
      <c r="F1283" s="201">
        <v>59</v>
      </c>
      <c r="G1283" s="201">
        <v>42</v>
      </c>
      <c r="H1283" s="201">
        <v>51</v>
      </c>
      <c r="I1283" s="201">
        <v>43</v>
      </c>
      <c r="J1283" s="201">
        <v>62</v>
      </c>
      <c r="K1283" s="201">
        <v>54</v>
      </c>
      <c r="L1283" s="201">
        <v>44</v>
      </c>
      <c r="M1283" s="330">
        <v>46</v>
      </c>
      <c r="N1283" s="202">
        <v>-0.13857677902621721</v>
      </c>
    </row>
    <row r="1284" spans="1:14" ht="15.75" customHeight="1">
      <c r="A1284" s="198" t="s">
        <v>159</v>
      </c>
      <c r="B1284" s="199" t="s">
        <v>196</v>
      </c>
      <c r="C1284" s="199" t="s">
        <v>168</v>
      </c>
      <c r="D1284" s="203" t="s">
        <v>91</v>
      </c>
      <c r="E1284" s="214">
        <v>63.2</v>
      </c>
      <c r="F1284" s="204">
        <v>64</v>
      </c>
      <c r="G1284" s="204">
        <v>54</v>
      </c>
      <c r="H1284" s="204">
        <v>62</v>
      </c>
      <c r="I1284" s="204">
        <v>58</v>
      </c>
      <c r="J1284" s="204">
        <v>72</v>
      </c>
      <c r="K1284" s="204">
        <v>66</v>
      </c>
      <c r="L1284" s="204">
        <v>55</v>
      </c>
      <c r="M1284" s="331">
        <v>56</v>
      </c>
      <c r="N1284" s="202">
        <v>-0.11392405063291143</v>
      </c>
    </row>
    <row r="1285" spans="1:14" ht="15.75" customHeight="1">
      <c r="A1285" s="198" t="s">
        <v>159</v>
      </c>
      <c r="B1285" s="199" t="s">
        <v>196</v>
      </c>
      <c r="C1285" s="199" t="s">
        <v>131</v>
      </c>
      <c r="D1285" s="200" t="s">
        <v>162</v>
      </c>
      <c r="E1285" s="213">
        <v>1</v>
      </c>
      <c r="F1285" s="201">
        <v>4</v>
      </c>
      <c r="G1285" s="201">
        <v>0</v>
      </c>
      <c r="H1285" s="201">
        <v>2</v>
      </c>
      <c r="I1285" s="201">
        <v>2</v>
      </c>
      <c r="J1285" s="201">
        <v>1</v>
      </c>
      <c r="K1285" s="201">
        <v>0</v>
      </c>
      <c r="L1285" s="201">
        <v>4</v>
      </c>
      <c r="M1285" s="330">
        <v>3</v>
      </c>
      <c r="N1285" s="202">
        <v>2</v>
      </c>
    </row>
    <row r="1286" spans="1:14" ht="15.75" customHeight="1">
      <c r="A1286" s="198" t="s">
        <v>159</v>
      </c>
      <c r="B1286" s="199" t="s">
        <v>196</v>
      </c>
      <c r="C1286" s="199" t="s">
        <v>131</v>
      </c>
      <c r="D1286" s="200" t="s">
        <v>163</v>
      </c>
      <c r="E1286" s="213">
        <v>42.2</v>
      </c>
      <c r="F1286" s="201">
        <v>34</v>
      </c>
      <c r="G1286" s="201">
        <v>38</v>
      </c>
      <c r="H1286" s="201">
        <v>37</v>
      </c>
      <c r="I1286" s="201">
        <v>31</v>
      </c>
      <c r="J1286" s="201">
        <v>21</v>
      </c>
      <c r="K1286" s="201">
        <v>33</v>
      </c>
      <c r="L1286" s="201">
        <v>50</v>
      </c>
      <c r="M1286" s="330">
        <v>31</v>
      </c>
      <c r="N1286" s="202">
        <v>-0.26540284360189581</v>
      </c>
    </row>
    <row r="1287" spans="1:14" ht="15.75" customHeight="1">
      <c r="A1287" s="198" t="s">
        <v>159</v>
      </c>
      <c r="B1287" s="199" t="s">
        <v>196</v>
      </c>
      <c r="C1287" s="199" t="s">
        <v>131</v>
      </c>
      <c r="D1287" s="200" t="s">
        <v>164</v>
      </c>
      <c r="E1287" s="213">
        <v>41.2</v>
      </c>
      <c r="F1287" s="201">
        <v>30</v>
      </c>
      <c r="G1287" s="201">
        <v>38</v>
      </c>
      <c r="H1287" s="201">
        <v>35</v>
      </c>
      <c r="I1287" s="201">
        <v>29</v>
      </c>
      <c r="J1287" s="201">
        <v>20</v>
      </c>
      <c r="K1287" s="201">
        <v>33</v>
      </c>
      <c r="L1287" s="201">
        <v>46</v>
      </c>
      <c r="M1287" s="330">
        <v>28</v>
      </c>
      <c r="N1287" s="202">
        <v>-0.32038834951456313</v>
      </c>
    </row>
    <row r="1288" spans="1:14" ht="15.75" customHeight="1">
      <c r="A1288" s="198" t="s">
        <v>159</v>
      </c>
      <c r="B1288" s="199" t="s">
        <v>196</v>
      </c>
      <c r="C1288" s="199" t="s">
        <v>131</v>
      </c>
      <c r="D1288" s="200" t="s">
        <v>165</v>
      </c>
      <c r="E1288" s="213">
        <v>108.4</v>
      </c>
      <c r="F1288" s="201">
        <v>130</v>
      </c>
      <c r="G1288" s="201">
        <v>127</v>
      </c>
      <c r="H1288" s="201">
        <v>117</v>
      </c>
      <c r="I1288" s="201">
        <v>89</v>
      </c>
      <c r="J1288" s="201">
        <v>97</v>
      </c>
      <c r="K1288" s="201">
        <v>105</v>
      </c>
      <c r="L1288" s="201">
        <v>97</v>
      </c>
      <c r="M1288" s="330">
        <v>102</v>
      </c>
      <c r="N1288" s="202">
        <v>-5.9040590405904106E-2</v>
      </c>
    </row>
    <row r="1289" spans="1:14" ht="15.75" customHeight="1">
      <c r="A1289" s="198" t="s">
        <v>159</v>
      </c>
      <c r="B1289" s="199" t="s">
        <v>196</v>
      </c>
      <c r="C1289" s="199" t="s">
        <v>131</v>
      </c>
      <c r="D1289" s="203" t="s">
        <v>91</v>
      </c>
      <c r="E1289" s="214">
        <v>150.6</v>
      </c>
      <c r="F1289" s="204">
        <v>164</v>
      </c>
      <c r="G1289" s="204">
        <v>165</v>
      </c>
      <c r="H1289" s="204">
        <v>154</v>
      </c>
      <c r="I1289" s="204">
        <v>120</v>
      </c>
      <c r="J1289" s="204">
        <v>118</v>
      </c>
      <c r="K1289" s="204">
        <v>138</v>
      </c>
      <c r="L1289" s="204">
        <v>147</v>
      </c>
      <c r="M1289" s="331">
        <v>133</v>
      </c>
      <c r="N1289" s="202">
        <v>-0.11686586985391763</v>
      </c>
    </row>
    <row r="1290" spans="1:14" ht="15.75" customHeight="1">
      <c r="A1290" s="198" t="s">
        <v>159</v>
      </c>
      <c r="B1290" s="199" t="s">
        <v>196</v>
      </c>
      <c r="C1290" s="199" t="s">
        <v>169</v>
      </c>
      <c r="D1290" s="200" t="s">
        <v>162</v>
      </c>
      <c r="E1290" s="213">
        <v>0</v>
      </c>
      <c r="F1290" s="201">
        <v>0</v>
      </c>
      <c r="G1290" s="201">
        <v>0</v>
      </c>
      <c r="H1290" s="201">
        <v>0</v>
      </c>
      <c r="I1290" s="201">
        <v>0</v>
      </c>
      <c r="J1290" s="201">
        <v>0</v>
      </c>
      <c r="K1290" s="201">
        <v>0</v>
      </c>
      <c r="L1290" s="201">
        <v>0</v>
      </c>
      <c r="M1290" s="330" t="s">
        <v>172</v>
      </c>
      <c r="N1290" s="202">
        <v>0</v>
      </c>
    </row>
    <row r="1291" spans="1:14">
      <c r="A1291" s="198" t="s">
        <v>159</v>
      </c>
      <c r="B1291" s="199" t="s">
        <v>196</v>
      </c>
      <c r="C1291" s="199" t="s">
        <v>169</v>
      </c>
      <c r="D1291" s="200" t="s">
        <v>163</v>
      </c>
      <c r="E1291" s="213">
        <v>0</v>
      </c>
      <c r="F1291" s="201">
        <v>3</v>
      </c>
      <c r="G1291" s="201">
        <v>1</v>
      </c>
      <c r="H1291" s="201">
        <v>1</v>
      </c>
      <c r="I1291" s="201">
        <v>0</v>
      </c>
      <c r="J1291" s="201">
        <v>0</v>
      </c>
      <c r="K1291" s="201">
        <v>0</v>
      </c>
      <c r="L1291" s="201">
        <v>1</v>
      </c>
      <c r="M1291" s="330">
        <v>2</v>
      </c>
      <c r="N1291" s="202">
        <v>0</v>
      </c>
    </row>
    <row r="1292" spans="1:14" ht="15.75" customHeight="1">
      <c r="A1292" s="198" t="s">
        <v>159</v>
      </c>
      <c r="B1292" s="199" t="s">
        <v>196</v>
      </c>
      <c r="C1292" s="199" t="s">
        <v>169</v>
      </c>
      <c r="D1292" s="200" t="s">
        <v>164</v>
      </c>
      <c r="E1292" s="213">
        <v>0</v>
      </c>
      <c r="F1292" s="201">
        <v>3</v>
      </c>
      <c r="G1292" s="201">
        <v>1</v>
      </c>
      <c r="H1292" s="201">
        <v>1</v>
      </c>
      <c r="I1292" s="201">
        <v>0</v>
      </c>
      <c r="J1292" s="201">
        <v>0</v>
      </c>
      <c r="K1292" s="201">
        <v>0</v>
      </c>
      <c r="L1292" s="201">
        <v>1</v>
      </c>
      <c r="M1292" s="330">
        <v>2</v>
      </c>
      <c r="N1292" s="202">
        <v>0</v>
      </c>
    </row>
    <row r="1293" spans="1:14" ht="15.75" customHeight="1">
      <c r="A1293" s="198" t="s">
        <v>159</v>
      </c>
      <c r="B1293" s="199" t="s">
        <v>196</v>
      </c>
      <c r="C1293" s="199" t="s">
        <v>169</v>
      </c>
      <c r="D1293" s="200" t="s">
        <v>165</v>
      </c>
      <c r="E1293" s="213">
        <v>0</v>
      </c>
      <c r="F1293" s="201">
        <v>9</v>
      </c>
      <c r="G1293" s="201">
        <v>7</v>
      </c>
      <c r="H1293" s="201">
        <v>5</v>
      </c>
      <c r="I1293" s="201">
        <v>8</v>
      </c>
      <c r="J1293" s="201">
        <v>19</v>
      </c>
      <c r="K1293" s="201">
        <v>11</v>
      </c>
      <c r="L1293" s="201">
        <v>12</v>
      </c>
      <c r="M1293" s="330">
        <v>8</v>
      </c>
      <c r="N1293" s="202">
        <v>0</v>
      </c>
    </row>
    <row r="1294" spans="1:14" ht="15.75" customHeight="1">
      <c r="A1294" s="198" t="s">
        <v>159</v>
      </c>
      <c r="B1294" s="199" t="s">
        <v>196</v>
      </c>
      <c r="C1294" s="199" t="s">
        <v>169</v>
      </c>
      <c r="D1294" s="203" t="s">
        <v>91</v>
      </c>
      <c r="E1294" s="214">
        <v>0</v>
      </c>
      <c r="F1294" s="204">
        <v>12</v>
      </c>
      <c r="G1294" s="204">
        <v>8</v>
      </c>
      <c r="H1294" s="204">
        <v>6</v>
      </c>
      <c r="I1294" s="204">
        <v>8</v>
      </c>
      <c r="J1294" s="204">
        <v>19</v>
      </c>
      <c r="K1294" s="204">
        <v>11</v>
      </c>
      <c r="L1294" s="204">
        <v>13</v>
      </c>
      <c r="M1294" s="331">
        <v>10</v>
      </c>
      <c r="N1294" s="202">
        <v>0</v>
      </c>
    </row>
    <row r="1295" spans="1:14" ht="15.75" customHeight="1">
      <c r="A1295" s="198" t="s">
        <v>159</v>
      </c>
      <c r="B1295" s="199" t="s">
        <v>196</v>
      </c>
      <c r="C1295" s="199" t="s">
        <v>139</v>
      </c>
      <c r="D1295" s="200" t="s">
        <v>162</v>
      </c>
      <c r="E1295" s="213">
        <v>0</v>
      </c>
      <c r="F1295" s="201">
        <v>0</v>
      </c>
      <c r="G1295" s="201">
        <v>0</v>
      </c>
      <c r="H1295" s="201">
        <v>0</v>
      </c>
      <c r="I1295" s="201">
        <v>0</v>
      </c>
      <c r="J1295" s="201">
        <v>0</v>
      </c>
      <c r="K1295" s="201">
        <v>0</v>
      </c>
      <c r="L1295" s="201">
        <v>0</v>
      </c>
      <c r="M1295" s="330" t="s">
        <v>172</v>
      </c>
      <c r="N1295" s="202">
        <v>0</v>
      </c>
    </row>
    <row r="1296" spans="1:14" ht="15.75" customHeight="1">
      <c r="A1296" s="198" t="s">
        <v>159</v>
      </c>
      <c r="B1296" s="199" t="s">
        <v>196</v>
      </c>
      <c r="C1296" s="199" t="s">
        <v>139</v>
      </c>
      <c r="D1296" s="200" t="s">
        <v>163</v>
      </c>
      <c r="E1296" s="213">
        <v>1</v>
      </c>
      <c r="F1296" s="201">
        <v>2</v>
      </c>
      <c r="G1296" s="201">
        <v>0</v>
      </c>
      <c r="H1296" s="201">
        <v>1</v>
      </c>
      <c r="I1296" s="201">
        <v>0</v>
      </c>
      <c r="J1296" s="201">
        <v>0</v>
      </c>
      <c r="K1296" s="201">
        <v>1</v>
      </c>
      <c r="L1296" s="201">
        <v>0</v>
      </c>
      <c r="M1296" s="330">
        <v>1</v>
      </c>
      <c r="N1296" s="202">
        <v>0</v>
      </c>
    </row>
    <row r="1297" spans="1:14" ht="15.75" customHeight="1">
      <c r="A1297" s="198" t="s">
        <v>159</v>
      </c>
      <c r="B1297" s="199" t="s">
        <v>196</v>
      </c>
      <c r="C1297" s="199" t="s">
        <v>139</v>
      </c>
      <c r="D1297" s="200" t="s">
        <v>164</v>
      </c>
      <c r="E1297" s="213">
        <v>1</v>
      </c>
      <c r="F1297" s="201">
        <v>2</v>
      </c>
      <c r="G1297" s="201">
        <v>0</v>
      </c>
      <c r="H1297" s="201">
        <v>1</v>
      </c>
      <c r="I1297" s="201">
        <v>0</v>
      </c>
      <c r="J1297" s="201">
        <v>0</v>
      </c>
      <c r="K1297" s="201">
        <v>1</v>
      </c>
      <c r="L1297" s="201">
        <v>0</v>
      </c>
      <c r="M1297" s="330">
        <v>1</v>
      </c>
      <c r="N1297" s="202">
        <v>0</v>
      </c>
    </row>
    <row r="1298" spans="1:14" ht="15.75" customHeight="1">
      <c r="A1298" s="198" t="s">
        <v>159</v>
      </c>
      <c r="B1298" s="199" t="s">
        <v>196</v>
      </c>
      <c r="C1298" s="199" t="s">
        <v>139</v>
      </c>
      <c r="D1298" s="200" t="s">
        <v>165</v>
      </c>
      <c r="E1298" s="213">
        <v>10.4</v>
      </c>
      <c r="F1298" s="201">
        <v>6</v>
      </c>
      <c r="G1298" s="201">
        <v>20</v>
      </c>
      <c r="H1298" s="201">
        <v>11</v>
      </c>
      <c r="I1298" s="201">
        <v>23</v>
      </c>
      <c r="J1298" s="201">
        <v>6</v>
      </c>
      <c r="K1298" s="201">
        <v>14</v>
      </c>
      <c r="L1298" s="201">
        <v>10</v>
      </c>
      <c r="M1298" s="330">
        <v>9</v>
      </c>
      <c r="N1298" s="202">
        <v>-0.13461538461538464</v>
      </c>
    </row>
    <row r="1299" spans="1:14" ht="15.75" customHeight="1">
      <c r="A1299" s="198" t="s">
        <v>159</v>
      </c>
      <c r="B1299" s="199" t="s">
        <v>196</v>
      </c>
      <c r="C1299" s="199" t="s">
        <v>139</v>
      </c>
      <c r="D1299" s="203" t="s">
        <v>91</v>
      </c>
      <c r="E1299" s="214">
        <v>11.4</v>
      </c>
      <c r="F1299" s="204">
        <v>8</v>
      </c>
      <c r="G1299" s="204">
        <v>20</v>
      </c>
      <c r="H1299" s="204">
        <v>12</v>
      </c>
      <c r="I1299" s="204">
        <v>23</v>
      </c>
      <c r="J1299" s="204">
        <v>6</v>
      </c>
      <c r="K1299" s="204">
        <v>15</v>
      </c>
      <c r="L1299" s="204">
        <v>10</v>
      </c>
      <c r="M1299" s="331">
        <v>10</v>
      </c>
      <c r="N1299" s="202">
        <v>-0.12280701754385967</v>
      </c>
    </row>
    <row r="1300" spans="1:14" ht="15.75" customHeight="1">
      <c r="A1300" s="198" t="s">
        <v>159</v>
      </c>
      <c r="B1300" s="199" t="s">
        <v>196</v>
      </c>
      <c r="C1300" s="205" t="s">
        <v>91</v>
      </c>
      <c r="D1300" s="203" t="s">
        <v>162</v>
      </c>
      <c r="E1300" s="214">
        <v>3</v>
      </c>
      <c r="F1300" s="204">
        <v>9</v>
      </c>
      <c r="G1300" s="204">
        <v>1</v>
      </c>
      <c r="H1300" s="204">
        <v>2</v>
      </c>
      <c r="I1300" s="204">
        <v>2</v>
      </c>
      <c r="J1300" s="204">
        <v>3</v>
      </c>
      <c r="K1300" s="204">
        <v>2</v>
      </c>
      <c r="L1300" s="204">
        <v>8</v>
      </c>
      <c r="M1300" s="331">
        <v>4</v>
      </c>
      <c r="N1300" s="202">
        <v>0.33333333333333331</v>
      </c>
    </row>
    <row r="1301" spans="1:14" ht="15.75" customHeight="1">
      <c r="A1301" s="198" t="s">
        <v>159</v>
      </c>
      <c r="B1301" s="199" t="s">
        <v>171</v>
      </c>
      <c r="C1301" s="205" t="s">
        <v>91</v>
      </c>
      <c r="D1301" s="203" t="s">
        <v>163</v>
      </c>
      <c r="E1301" s="214">
        <v>84.7</v>
      </c>
      <c r="F1301" s="204">
        <v>57</v>
      </c>
      <c r="G1301" s="204">
        <v>81</v>
      </c>
      <c r="H1301" s="204">
        <v>77</v>
      </c>
      <c r="I1301" s="204">
        <v>48</v>
      </c>
      <c r="J1301" s="204">
        <v>86</v>
      </c>
      <c r="K1301" s="204">
        <v>75</v>
      </c>
      <c r="L1301" s="204">
        <v>64</v>
      </c>
      <c r="M1301" s="331">
        <v>78</v>
      </c>
      <c r="N1301" s="202">
        <v>-7.9102715466351864E-2</v>
      </c>
    </row>
    <row r="1302" spans="1:14" ht="15.75" customHeight="1">
      <c r="A1302" s="198" t="s">
        <v>159</v>
      </c>
      <c r="B1302" s="199" t="s">
        <v>196</v>
      </c>
      <c r="C1302" s="205" t="s">
        <v>91</v>
      </c>
      <c r="D1302" s="203" t="s">
        <v>164</v>
      </c>
      <c r="E1302" s="214">
        <v>124.3</v>
      </c>
      <c r="F1302" s="204">
        <v>72</v>
      </c>
      <c r="G1302" s="204">
        <v>103</v>
      </c>
      <c r="H1302" s="204">
        <v>98</v>
      </c>
      <c r="I1302" s="204">
        <v>83</v>
      </c>
      <c r="J1302" s="204">
        <v>76</v>
      </c>
      <c r="K1302" s="204">
        <v>94</v>
      </c>
      <c r="L1302" s="204">
        <v>90</v>
      </c>
      <c r="M1302" s="331">
        <v>77</v>
      </c>
      <c r="N1302" s="202">
        <v>-0.38053097345132741</v>
      </c>
    </row>
    <row r="1303" spans="1:14" ht="15.75" customHeight="1">
      <c r="A1303" s="198" t="s">
        <v>159</v>
      </c>
      <c r="B1303" s="199" t="s">
        <v>196</v>
      </c>
      <c r="C1303" s="205" t="s">
        <v>91</v>
      </c>
      <c r="D1303" s="203" t="s">
        <v>165</v>
      </c>
      <c r="E1303" s="214">
        <v>872.6</v>
      </c>
      <c r="F1303" s="204">
        <v>949</v>
      </c>
      <c r="G1303" s="204">
        <v>883</v>
      </c>
      <c r="H1303" s="204">
        <v>785</v>
      </c>
      <c r="I1303" s="204">
        <v>665</v>
      </c>
      <c r="J1303" s="204">
        <v>749</v>
      </c>
      <c r="K1303" s="204">
        <v>767</v>
      </c>
      <c r="L1303" s="204">
        <v>674</v>
      </c>
      <c r="M1303" s="331">
        <v>653</v>
      </c>
      <c r="N1303" s="202">
        <v>-0.2516617006646803</v>
      </c>
    </row>
    <row r="1304" spans="1:14" ht="15.75" customHeight="1">
      <c r="A1304" s="198" t="s">
        <v>159</v>
      </c>
      <c r="B1304" s="199" t="s">
        <v>196</v>
      </c>
      <c r="C1304" s="205" t="s">
        <v>91</v>
      </c>
      <c r="D1304" s="203" t="s">
        <v>91</v>
      </c>
      <c r="E1304" s="214">
        <v>999.9</v>
      </c>
      <c r="F1304" s="204">
        <v>1030</v>
      </c>
      <c r="G1304" s="204">
        <v>987</v>
      </c>
      <c r="H1304" s="204">
        <v>885</v>
      </c>
      <c r="I1304" s="204">
        <v>750</v>
      </c>
      <c r="J1304" s="204">
        <v>828</v>
      </c>
      <c r="K1304" s="204">
        <v>863</v>
      </c>
      <c r="L1304" s="204">
        <v>772</v>
      </c>
      <c r="M1304" s="331">
        <v>734</v>
      </c>
      <c r="N1304" s="202">
        <v>-0.26592659265926594</v>
      </c>
    </row>
    <row r="1305" spans="1:14" ht="15.75" customHeight="1">
      <c r="A1305" s="198" t="s">
        <v>159</v>
      </c>
      <c r="B1305" s="199" t="s">
        <v>197</v>
      </c>
      <c r="C1305" s="199" t="s">
        <v>161</v>
      </c>
      <c r="D1305" s="200" t="s">
        <v>162</v>
      </c>
      <c r="E1305" s="213">
        <v>0</v>
      </c>
      <c r="F1305" s="201">
        <v>0</v>
      </c>
      <c r="G1305" s="201">
        <v>0</v>
      </c>
      <c r="H1305" s="201">
        <v>0</v>
      </c>
      <c r="I1305" s="201">
        <v>0</v>
      </c>
      <c r="J1305" s="201">
        <v>1</v>
      </c>
      <c r="K1305" s="201">
        <v>0</v>
      </c>
      <c r="L1305" s="201">
        <v>0</v>
      </c>
      <c r="M1305" s="330" t="s">
        <v>172</v>
      </c>
      <c r="N1305" s="202">
        <v>0</v>
      </c>
    </row>
    <row r="1306" spans="1:14">
      <c r="A1306" s="198" t="s">
        <v>159</v>
      </c>
      <c r="B1306" s="199" t="s">
        <v>197</v>
      </c>
      <c r="C1306" s="199" t="s">
        <v>161</v>
      </c>
      <c r="D1306" s="200" t="s">
        <v>163</v>
      </c>
      <c r="E1306" s="213">
        <v>3.3</v>
      </c>
      <c r="F1306" s="201">
        <v>1</v>
      </c>
      <c r="G1306" s="201">
        <v>4</v>
      </c>
      <c r="H1306" s="201">
        <v>2</v>
      </c>
      <c r="I1306" s="201">
        <v>0</v>
      </c>
      <c r="J1306" s="201">
        <v>3</v>
      </c>
      <c r="K1306" s="201">
        <v>3</v>
      </c>
      <c r="L1306" s="201">
        <v>4</v>
      </c>
      <c r="M1306" s="330">
        <v>3</v>
      </c>
      <c r="N1306" s="202">
        <v>-9.0909090909090856E-2</v>
      </c>
    </row>
    <row r="1307" spans="1:14" ht="15.75" customHeight="1">
      <c r="A1307" s="198" t="s">
        <v>159</v>
      </c>
      <c r="B1307" s="199" t="s">
        <v>197</v>
      </c>
      <c r="C1307" s="199" t="s">
        <v>161</v>
      </c>
      <c r="D1307" s="200" t="s">
        <v>164</v>
      </c>
      <c r="E1307" s="213">
        <v>3.3</v>
      </c>
      <c r="F1307" s="201">
        <v>1</v>
      </c>
      <c r="G1307" s="201">
        <v>4</v>
      </c>
      <c r="H1307" s="201">
        <v>2</v>
      </c>
      <c r="I1307" s="201">
        <v>0</v>
      </c>
      <c r="J1307" s="201">
        <v>2</v>
      </c>
      <c r="K1307" s="201">
        <v>3</v>
      </c>
      <c r="L1307" s="201">
        <v>4</v>
      </c>
      <c r="M1307" s="330">
        <v>3</v>
      </c>
      <c r="N1307" s="202">
        <v>-9.0909090909090856E-2</v>
      </c>
    </row>
    <row r="1308" spans="1:14" ht="15.75" customHeight="1">
      <c r="A1308" s="198" t="s">
        <v>159</v>
      </c>
      <c r="B1308" s="199" t="s">
        <v>197</v>
      </c>
      <c r="C1308" s="199" t="s">
        <v>161</v>
      </c>
      <c r="D1308" s="200" t="s">
        <v>165</v>
      </c>
      <c r="E1308" s="213">
        <v>17.899999999999999</v>
      </c>
      <c r="F1308" s="201">
        <v>22</v>
      </c>
      <c r="G1308" s="201">
        <v>10</v>
      </c>
      <c r="H1308" s="201">
        <v>13</v>
      </c>
      <c r="I1308" s="201">
        <v>5</v>
      </c>
      <c r="J1308" s="201">
        <v>10</v>
      </c>
      <c r="K1308" s="201">
        <v>5</v>
      </c>
      <c r="L1308" s="201">
        <v>7</v>
      </c>
      <c r="M1308" s="330">
        <v>7</v>
      </c>
      <c r="N1308" s="202">
        <v>-0.60893854748603349</v>
      </c>
    </row>
    <row r="1309" spans="1:14" ht="15.75" customHeight="1">
      <c r="A1309" s="198" t="s">
        <v>159</v>
      </c>
      <c r="B1309" s="199" t="s">
        <v>197</v>
      </c>
      <c r="C1309" s="199" t="s">
        <v>161</v>
      </c>
      <c r="D1309" s="203" t="s">
        <v>91</v>
      </c>
      <c r="E1309" s="214">
        <v>21.2</v>
      </c>
      <c r="F1309" s="204">
        <v>23</v>
      </c>
      <c r="G1309" s="204">
        <v>14</v>
      </c>
      <c r="H1309" s="204">
        <v>15</v>
      </c>
      <c r="I1309" s="204">
        <v>5</v>
      </c>
      <c r="J1309" s="204">
        <v>13</v>
      </c>
      <c r="K1309" s="204">
        <v>8</v>
      </c>
      <c r="L1309" s="204">
        <v>11</v>
      </c>
      <c r="M1309" s="331">
        <v>10</v>
      </c>
      <c r="N1309" s="202">
        <v>-0.52830188679245282</v>
      </c>
    </row>
    <row r="1310" spans="1:14" ht="15.75" customHeight="1">
      <c r="A1310" s="198" t="s">
        <v>159</v>
      </c>
      <c r="B1310" s="199" t="s">
        <v>197</v>
      </c>
      <c r="C1310" s="199" t="s">
        <v>134</v>
      </c>
      <c r="D1310" s="200" t="s">
        <v>162</v>
      </c>
      <c r="E1310" s="213">
        <v>0</v>
      </c>
      <c r="F1310" s="201">
        <v>1</v>
      </c>
      <c r="G1310" s="201">
        <v>0</v>
      </c>
      <c r="H1310" s="201">
        <v>0</v>
      </c>
      <c r="I1310" s="201">
        <v>0</v>
      </c>
      <c r="J1310" s="201">
        <v>0</v>
      </c>
      <c r="K1310" s="201">
        <v>1</v>
      </c>
      <c r="L1310" s="201">
        <v>0</v>
      </c>
      <c r="M1310" s="330" t="s">
        <v>172</v>
      </c>
      <c r="N1310" s="202">
        <v>0</v>
      </c>
    </row>
    <row r="1311" spans="1:14" ht="15.75" customHeight="1">
      <c r="A1311" s="198" t="s">
        <v>159</v>
      </c>
      <c r="B1311" s="199" t="s">
        <v>197</v>
      </c>
      <c r="C1311" s="199" t="s">
        <v>134</v>
      </c>
      <c r="D1311" s="200" t="s">
        <v>163</v>
      </c>
      <c r="E1311" s="213">
        <v>13.7</v>
      </c>
      <c r="F1311" s="201">
        <v>5</v>
      </c>
      <c r="G1311" s="201">
        <v>11</v>
      </c>
      <c r="H1311" s="201">
        <v>8</v>
      </c>
      <c r="I1311" s="201">
        <v>6</v>
      </c>
      <c r="J1311" s="201">
        <v>5</v>
      </c>
      <c r="K1311" s="201">
        <v>9</v>
      </c>
      <c r="L1311" s="201">
        <v>15</v>
      </c>
      <c r="M1311" s="330">
        <v>9</v>
      </c>
      <c r="N1311" s="202">
        <v>-0.3430656934306569</v>
      </c>
    </row>
    <row r="1312" spans="1:14" ht="15.75" customHeight="1">
      <c r="A1312" s="198" t="s">
        <v>159</v>
      </c>
      <c r="B1312" s="199" t="s">
        <v>197</v>
      </c>
      <c r="C1312" s="199" t="s">
        <v>134</v>
      </c>
      <c r="D1312" s="200" t="s">
        <v>164</v>
      </c>
      <c r="E1312" s="213">
        <v>13.7</v>
      </c>
      <c r="F1312" s="201">
        <v>4</v>
      </c>
      <c r="G1312" s="201">
        <v>11</v>
      </c>
      <c r="H1312" s="201">
        <v>8</v>
      </c>
      <c r="I1312" s="201">
        <v>6</v>
      </c>
      <c r="J1312" s="201">
        <v>5</v>
      </c>
      <c r="K1312" s="201">
        <v>8</v>
      </c>
      <c r="L1312" s="201">
        <v>15</v>
      </c>
      <c r="M1312" s="330">
        <v>9</v>
      </c>
      <c r="N1312" s="202">
        <v>-0.3430656934306569</v>
      </c>
    </row>
    <row r="1313" spans="1:14" ht="15.75" customHeight="1">
      <c r="A1313" s="198" t="s">
        <v>159</v>
      </c>
      <c r="B1313" s="199" t="s">
        <v>197</v>
      </c>
      <c r="C1313" s="199" t="s">
        <v>134</v>
      </c>
      <c r="D1313" s="200" t="s">
        <v>165</v>
      </c>
      <c r="E1313" s="213">
        <v>162.6</v>
      </c>
      <c r="F1313" s="201">
        <v>164</v>
      </c>
      <c r="G1313" s="201">
        <v>145</v>
      </c>
      <c r="H1313" s="201">
        <v>131</v>
      </c>
      <c r="I1313" s="201">
        <v>94</v>
      </c>
      <c r="J1313" s="201">
        <v>91</v>
      </c>
      <c r="K1313" s="201">
        <v>92</v>
      </c>
      <c r="L1313" s="201">
        <v>73</v>
      </c>
      <c r="M1313" s="330">
        <v>69</v>
      </c>
      <c r="N1313" s="202">
        <v>-0.57564575645756455</v>
      </c>
    </row>
    <row r="1314" spans="1:14" ht="15.75" customHeight="1">
      <c r="A1314" s="198" t="s">
        <v>159</v>
      </c>
      <c r="B1314" s="199" t="s">
        <v>197</v>
      </c>
      <c r="C1314" s="199" t="s">
        <v>134</v>
      </c>
      <c r="D1314" s="203" t="s">
        <v>91</v>
      </c>
      <c r="E1314" s="214">
        <v>176.3</v>
      </c>
      <c r="F1314" s="204">
        <v>169</v>
      </c>
      <c r="G1314" s="204">
        <v>156</v>
      </c>
      <c r="H1314" s="204">
        <v>139</v>
      </c>
      <c r="I1314" s="204">
        <v>100</v>
      </c>
      <c r="J1314" s="204">
        <v>96</v>
      </c>
      <c r="K1314" s="204">
        <v>101</v>
      </c>
      <c r="L1314" s="204">
        <v>88</v>
      </c>
      <c r="M1314" s="331">
        <v>78</v>
      </c>
      <c r="N1314" s="202">
        <v>-0.55757231990924561</v>
      </c>
    </row>
    <row r="1315" spans="1:14" ht="15.75" customHeight="1">
      <c r="A1315" s="198" t="s">
        <v>159</v>
      </c>
      <c r="B1315" s="199" t="s">
        <v>197</v>
      </c>
      <c r="C1315" s="199" t="s">
        <v>166</v>
      </c>
      <c r="D1315" s="200" t="s">
        <v>162</v>
      </c>
      <c r="E1315" s="213">
        <v>0</v>
      </c>
      <c r="F1315" s="201">
        <v>0</v>
      </c>
      <c r="G1315" s="201">
        <v>0</v>
      </c>
      <c r="H1315" s="201">
        <v>0</v>
      </c>
      <c r="I1315" s="201">
        <v>0</v>
      </c>
      <c r="J1315" s="201">
        <v>0</v>
      </c>
      <c r="K1315" s="201">
        <v>0</v>
      </c>
      <c r="L1315" s="201">
        <v>0</v>
      </c>
      <c r="M1315" s="330" t="s">
        <v>172</v>
      </c>
      <c r="N1315" s="202">
        <v>0</v>
      </c>
    </row>
    <row r="1316" spans="1:14">
      <c r="A1316" s="198" t="s">
        <v>159</v>
      </c>
      <c r="B1316" s="199" t="s">
        <v>197</v>
      </c>
      <c r="C1316" s="199" t="s">
        <v>166</v>
      </c>
      <c r="D1316" s="200" t="s">
        <v>163</v>
      </c>
      <c r="E1316" s="213">
        <v>1.4</v>
      </c>
      <c r="F1316" s="201">
        <v>0</v>
      </c>
      <c r="G1316" s="201">
        <v>1</v>
      </c>
      <c r="H1316" s="201">
        <v>2</v>
      </c>
      <c r="I1316" s="201">
        <v>0</v>
      </c>
      <c r="J1316" s="201">
        <v>0</v>
      </c>
      <c r="K1316" s="201">
        <v>1</v>
      </c>
      <c r="L1316" s="201">
        <v>0</v>
      </c>
      <c r="M1316" s="330">
        <v>1</v>
      </c>
      <c r="N1316" s="202">
        <v>-0.28571428571428564</v>
      </c>
    </row>
    <row r="1317" spans="1:14" ht="15.75" customHeight="1">
      <c r="A1317" s="198" t="s">
        <v>159</v>
      </c>
      <c r="B1317" s="199" t="s">
        <v>197</v>
      </c>
      <c r="C1317" s="199" t="s">
        <v>166</v>
      </c>
      <c r="D1317" s="200" t="s">
        <v>164</v>
      </c>
      <c r="E1317" s="213">
        <v>1.4</v>
      </c>
      <c r="F1317" s="201">
        <v>0</v>
      </c>
      <c r="G1317" s="201">
        <v>1</v>
      </c>
      <c r="H1317" s="201">
        <v>2</v>
      </c>
      <c r="I1317" s="201">
        <v>0</v>
      </c>
      <c r="J1317" s="201">
        <v>0</v>
      </c>
      <c r="K1317" s="201">
        <v>1</v>
      </c>
      <c r="L1317" s="201">
        <v>0</v>
      </c>
      <c r="M1317" s="330">
        <v>1</v>
      </c>
      <c r="N1317" s="202">
        <v>-0.28571428571428564</v>
      </c>
    </row>
    <row r="1318" spans="1:14" ht="15.75" customHeight="1">
      <c r="A1318" s="198" t="s">
        <v>159</v>
      </c>
      <c r="B1318" s="199" t="s">
        <v>197</v>
      </c>
      <c r="C1318" s="199" t="s">
        <v>166</v>
      </c>
      <c r="D1318" s="200" t="s">
        <v>165</v>
      </c>
      <c r="E1318" s="213">
        <v>7.2</v>
      </c>
      <c r="F1318" s="201">
        <v>7</v>
      </c>
      <c r="G1318" s="201">
        <v>8</v>
      </c>
      <c r="H1318" s="201">
        <v>10</v>
      </c>
      <c r="I1318" s="201">
        <v>4</v>
      </c>
      <c r="J1318" s="201">
        <v>6</v>
      </c>
      <c r="K1318" s="201">
        <v>5</v>
      </c>
      <c r="L1318" s="201">
        <v>4</v>
      </c>
      <c r="M1318" s="330">
        <v>4</v>
      </c>
      <c r="N1318" s="202">
        <v>-0.44444444444444448</v>
      </c>
    </row>
    <row r="1319" spans="1:14" ht="15.75" customHeight="1">
      <c r="A1319" s="198" t="s">
        <v>159</v>
      </c>
      <c r="B1319" s="199" t="s">
        <v>197</v>
      </c>
      <c r="C1319" s="199" t="s">
        <v>166</v>
      </c>
      <c r="D1319" s="203" t="s">
        <v>91</v>
      </c>
      <c r="E1319" s="214">
        <v>8.5</v>
      </c>
      <c r="F1319" s="204">
        <v>7</v>
      </c>
      <c r="G1319" s="204">
        <v>9</v>
      </c>
      <c r="H1319" s="204">
        <v>12</v>
      </c>
      <c r="I1319" s="204">
        <v>4</v>
      </c>
      <c r="J1319" s="204">
        <v>6</v>
      </c>
      <c r="K1319" s="204">
        <v>6</v>
      </c>
      <c r="L1319" s="204">
        <v>4</v>
      </c>
      <c r="M1319" s="331">
        <v>5</v>
      </c>
      <c r="N1319" s="202">
        <v>-0.41176470588235292</v>
      </c>
    </row>
    <row r="1320" spans="1:14" ht="15.75" customHeight="1">
      <c r="A1320" s="198" t="s">
        <v>159</v>
      </c>
      <c r="B1320" s="199" t="s">
        <v>197</v>
      </c>
      <c r="C1320" s="199" t="s">
        <v>133</v>
      </c>
      <c r="D1320" s="200" t="s">
        <v>162</v>
      </c>
      <c r="E1320" s="213">
        <v>0.4</v>
      </c>
      <c r="F1320" s="201">
        <v>1</v>
      </c>
      <c r="G1320" s="201">
        <v>0</v>
      </c>
      <c r="H1320" s="201">
        <v>1</v>
      </c>
      <c r="I1320" s="201">
        <v>2</v>
      </c>
      <c r="J1320" s="201">
        <v>0</v>
      </c>
      <c r="K1320" s="201">
        <v>0</v>
      </c>
      <c r="L1320" s="201">
        <v>0</v>
      </c>
      <c r="M1320" s="330" t="s">
        <v>172</v>
      </c>
      <c r="N1320" s="202">
        <v>-1</v>
      </c>
    </row>
    <row r="1321" spans="1:14">
      <c r="A1321" s="198" t="s">
        <v>159</v>
      </c>
      <c r="B1321" s="199" t="s">
        <v>197</v>
      </c>
      <c r="C1321" s="199" t="s">
        <v>133</v>
      </c>
      <c r="D1321" s="200" t="s">
        <v>163</v>
      </c>
      <c r="E1321" s="213">
        <v>25.1</v>
      </c>
      <c r="F1321" s="201">
        <v>25</v>
      </c>
      <c r="G1321" s="201">
        <v>15</v>
      </c>
      <c r="H1321" s="201">
        <v>12</v>
      </c>
      <c r="I1321" s="201">
        <v>12</v>
      </c>
      <c r="J1321" s="201">
        <v>14</v>
      </c>
      <c r="K1321" s="201">
        <v>21</v>
      </c>
      <c r="L1321" s="201">
        <v>15</v>
      </c>
      <c r="M1321" s="330">
        <v>18</v>
      </c>
      <c r="N1321" s="202">
        <v>-0.28286852589641437</v>
      </c>
    </row>
    <row r="1322" spans="1:14" ht="15.75" customHeight="1">
      <c r="A1322" s="198" t="s">
        <v>159</v>
      </c>
      <c r="B1322" s="199" t="s">
        <v>197</v>
      </c>
      <c r="C1322" s="199" t="s">
        <v>133</v>
      </c>
      <c r="D1322" s="200" t="s">
        <v>164</v>
      </c>
      <c r="E1322" s="213">
        <v>24.7</v>
      </c>
      <c r="F1322" s="201">
        <v>24</v>
      </c>
      <c r="G1322" s="201">
        <v>15</v>
      </c>
      <c r="H1322" s="201">
        <v>11</v>
      </c>
      <c r="I1322" s="201">
        <v>10</v>
      </c>
      <c r="J1322" s="201">
        <v>14</v>
      </c>
      <c r="K1322" s="201">
        <v>21</v>
      </c>
      <c r="L1322" s="201">
        <v>15</v>
      </c>
      <c r="M1322" s="330">
        <v>18</v>
      </c>
      <c r="N1322" s="202">
        <v>-0.27125506072874495</v>
      </c>
    </row>
    <row r="1323" spans="1:14" ht="15.75" customHeight="1">
      <c r="A1323" s="198" t="s">
        <v>159</v>
      </c>
      <c r="B1323" s="199" t="s">
        <v>197</v>
      </c>
      <c r="C1323" s="199" t="s">
        <v>133</v>
      </c>
      <c r="D1323" s="200" t="s">
        <v>165</v>
      </c>
      <c r="E1323" s="213">
        <v>90.1</v>
      </c>
      <c r="F1323" s="201">
        <v>50</v>
      </c>
      <c r="G1323" s="201">
        <v>77</v>
      </c>
      <c r="H1323" s="201">
        <v>68</v>
      </c>
      <c r="I1323" s="201">
        <v>52</v>
      </c>
      <c r="J1323" s="201">
        <v>55</v>
      </c>
      <c r="K1323" s="201">
        <v>90</v>
      </c>
      <c r="L1323" s="201">
        <v>67</v>
      </c>
      <c r="M1323" s="330">
        <v>69</v>
      </c>
      <c r="N1323" s="202">
        <v>-0.23418423973362926</v>
      </c>
    </row>
    <row r="1324" spans="1:14" ht="15.75" customHeight="1">
      <c r="A1324" s="198" t="s">
        <v>159</v>
      </c>
      <c r="B1324" s="199" t="s">
        <v>197</v>
      </c>
      <c r="C1324" s="199" t="s">
        <v>133</v>
      </c>
      <c r="D1324" s="203" t="s">
        <v>91</v>
      </c>
      <c r="E1324" s="214">
        <v>115.2</v>
      </c>
      <c r="F1324" s="204">
        <v>75</v>
      </c>
      <c r="G1324" s="204">
        <v>92</v>
      </c>
      <c r="H1324" s="204">
        <v>80</v>
      </c>
      <c r="I1324" s="204">
        <v>64</v>
      </c>
      <c r="J1324" s="204">
        <v>69</v>
      </c>
      <c r="K1324" s="204">
        <v>111</v>
      </c>
      <c r="L1324" s="204">
        <v>82</v>
      </c>
      <c r="M1324" s="331">
        <v>87</v>
      </c>
      <c r="N1324" s="202">
        <v>-0.24479166666666669</v>
      </c>
    </row>
    <row r="1325" spans="1:14" ht="15.75" customHeight="1">
      <c r="A1325" s="198" t="s">
        <v>159</v>
      </c>
      <c r="B1325" s="199" t="s">
        <v>197</v>
      </c>
      <c r="C1325" s="199" t="s">
        <v>167</v>
      </c>
      <c r="D1325" s="200" t="s">
        <v>162</v>
      </c>
      <c r="E1325" s="213">
        <v>0</v>
      </c>
      <c r="F1325" s="201">
        <v>0</v>
      </c>
      <c r="G1325" s="201">
        <v>0</v>
      </c>
      <c r="H1325" s="201">
        <v>0</v>
      </c>
      <c r="I1325" s="201">
        <v>0</v>
      </c>
      <c r="J1325" s="201">
        <v>1</v>
      </c>
      <c r="K1325" s="201">
        <v>0</v>
      </c>
      <c r="L1325" s="201">
        <v>0</v>
      </c>
      <c r="M1325" s="330" t="s">
        <v>172</v>
      </c>
      <c r="N1325" s="202">
        <v>0</v>
      </c>
    </row>
    <row r="1326" spans="1:14" ht="15.75" customHeight="1">
      <c r="A1326" s="198" t="s">
        <v>159</v>
      </c>
      <c r="B1326" s="199" t="s">
        <v>197</v>
      </c>
      <c r="C1326" s="199" t="s">
        <v>167</v>
      </c>
      <c r="D1326" s="200" t="s">
        <v>163</v>
      </c>
      <c r="E1326" s="213">
        <v>0.8</v>
      </c>
      <c r="F1326" s="201">
        <v>0</v>
      </c>
      <c r="G1326" s="201">
        <v>0</v>
      </c>
      <c r="H1326" s="201">
        <v>0</v>
      </c>
      <c r="I1326" s="201">
        <v>2</v>
      </c>
      <c r="J1326" s="201">
        <v>2</v>
      </c>
      <c r="K1326" s="201">
        <v>1</v>
      </c>
      <c r="L1326" s="201">
        <v>2</v>
      </c>
      <c r="M1326" s="330">
        <v>1</v>
      </c>
      <c r="N1326" s="202">
        <v>0.24999999999999994</v>
      </c>
    </row>
    <row r="1327" spans="1:14" ht="15.75" customHeight="1">
      <c r="A1327" s="198" t="s">
        <v>159</v>
      </c>
      <c r="B1327" s="199" t="s">
        <v>197</v>
      </c>
      <c r="C1327" s="199" t="s">
        <v>167</v>
      </c>
      <c r="D1327" s="200" t="s">
        <v>164</v>
      </c>
      <c r="E1327" s="213">
        <v>0.8</v>
      </c>
      <c r="F1327" s="201">
        <v>0</v>
      </c>
      <c r="G1327" s="201">
        <v>0</v>
      </c>
      <c r="H1327" s="201">
        <v>0</v>
      </c>
      <c r="I1327" s="201">
        <v>2</v>
      </c>
      <c r="J1327" s="201">
        <v>1</v>
      </c>
      <c r="K1327" s="201">
        <v>1</v>
      </c>
      <c r="L1327" s="201">
        <v>2</v>
      </c>
      <c r="M1327" s="330">
        <v>1</v>
      </c>
      <c r="N1327" s="202">
        <v>0.24999999999999994</v>
      </c>
    </row>
    <row r="1328" spans="1:14" ht="15.75" customHeight="1">
      <c r="A1328" s="198" t="s">
        <v>159</v>
      </c>
      <c r="B1328" s="199" t="s">
        <v>197</v>
      </c>
      <c r="C1328" s="199" t="s">
        <v>167</v>
      </c>
      <c r="D1328" s="200" t="s">
        <v>165</v>
      </c>
      <c r="E1328" s="213">
        <v>1.8</v>
      </c>
      <c r="F1328" s="201">
        <v>3</v>
      </c>
      <c r="G1328" s="201">
        <v>1</v>
      </c>
      <c r="H1328" s="201">
        <v>1</v>
      </c>
      <c r="I1328" s="201">
        <v>2</v>
      </c>
      <c r="J1328" s="201">
        <v>4</v>
      </c>
      <c r="K1328" s="201">
        <v>9</v>
      </c>
      <c r="L1328" s="201">
        <v>2</v>
      </c>
      <c r="M1328" s="330">
        <v>2</v>
      </c>
      <c r="N1328" s="202">
        <v>0.11111111111111108</v>
      </c>
    </row>
    <row r="1329" spans="1:14" ht="15.75" customHeight="1">
      <c r="A1329" s="198" t="s">
        <v>159</v>
      </c>
      <c r="B1329" s="199" t="s">
        <v>197</v>
      </c>
      <c r="C1329" s="199" t="s">
        <v>167</v>
      </c>
      <c r="D1329" s="203" t="s">
        <v>91</v>
      </c>
      <c r="E1329" s="214">
        <v>2.6</v>
      </c>
      <c r="F1329" s="204">
        <v>3</v>
      </c>
      <c r="G1329" s="204">
        <v>1</v>
      </c>
      <c r="H1329" s="204">
        <v>1</v>
      </c>
      <c r="I1329" s="204">
        <v>4</v>
      </c>
      <c r="J1329" s="204">
        <v>6</v>
      </c>
      <c r="K1329" s="204">
        <v>10</v>
      </c>
      <c r="L1329" s="204">
        <v>4</v>
      </c>
      <c r="M1329" s="331">
        <v>3</v>
      </c>
      <c r="N1329" s="202">
        <v>0.1538461538461538</v>
      </c>
    </row>
    <row r="1330" spans="1:14" ht="15.75" customHeight="1">
      <c r="A1330" s="198" t="s">
        <v>159</v>
      </c>
      <c r="B1330" s="199" t="s">
        <v>197</v>
      </c>
      <c r="C1330" s="199" t="s">
        <v>168</v>
      </c>
      <c r="D1330" s="200" t="s">
        <v>162</v>
      </c>
      <c r="E1330" s="213">
        <v>0.4</v>
      </c>
      <c r="F1330" s="201">
        <v>0</v>
      </c>
      <c r="G1330" s="201">
        <v>0</v>
      </c>
      <c r="H1330" s="201">
        <v>0</v>
      </c>
      <c r="I1330" s="201">
        <v>0</v>
      </c>
      <c r="J1330" s="201">
        <v>1</v>
      </c>
      <c r="K1330" s="201">
        <v>1</v>
      </c>
      <c r="L1330" s="201">
        <v>0</v>
      </c>
      <c r="M1330" s="330" t="s">
        <v>172</v>
      </c>
      <c r="N1330" s="202">
        <v>-1</v>
      </c>
    </row>
    <row r="1331" spans="1:14" ht="15.75" customHeight="1">
      <c r="A1331" s="198" t="s">
        <v>159</v>
      </c>
      <c r="B1331" s="199" t="s">
        <v>197</v>
      </c>
      <c r="C1331" s="199" t="s">
        <v>168</v>
      </c>
      <c r="D1331" s="200" t="s">
        <v>163</v>
      </c>
      <c r="E1331" s="213">
        <v>31.5</v>
      </c>
      <c r="F1331" s="201">
        <v>29</v>
      </c>
      <c r="G1331" s="201">
        <v>33</v>
      </c>
      <c r="H1331" s="201">
        <v>26</v>
      </c>
      <c r="I1331" s="201">
        <v>40</v>
      </c>
      <c r="J1331" s="201">
        <v>55</v>
      </c>
      <c r="K1331" s="201">
        <v>40</v>
      </c>
      <c r="L1331" s="201">
        <v>62</v>
      </c>
      <c r="M1331" s="330">
        <v>39</v>
      </c>
      <c r="N1331" s="202">
        <v>0.23809523809523808</v>
      </c>
    </row>
    <row r="1332" spans="1:14" ht="15.75" customHeight="1">
      <c r="A1332" s="198" t="s">
        <v>159</v>
      </c>
      <c r="B1332" s="199" t="s">
        <v>197</v>
      </c>
      <c r="C1332" s="199" t="s">
        <v>168</v>
      </c>
      <c r="D1332" s="200" t="s">
        <v>164</v>
      </c>
      <c r="E1332" s="213">
        <v>31.1</v>
      </c>
      <c r="F1332" s="201">
        <v>29</v>
      </c>
      <c r="G1332" s="201">
        <v>33</v>
      </c>
      <c r="H1332" s="201">
        <v>26</v>
      </c>
      <c r="I1332" s="201">
        <v>40</v>
      </c>
      <c r="J1332" s="201">
        <v>54</v>
      </c>
      <c r="K1332" s="201">
        <v>39</v>
      </c>
      <c r="L1332" s="201">
        <v>62</v>
      </c>
      <c r="M1332" s="330">
        <v>39</v>
      </c>
      <c r="N1332" s="202">
        <v>0.25401929260450157</v>
      </c>
    </row>
    <row r="1333" spans="1:14" ht="15.75" customHeight="1">
      <c r="A1333" s="198" t="s">
        <v>159</v>
      </c>
      <c r="B1333" s="199" t="s">
        <v>197</v>
      </c>
      <c r="C1333" s="199" t="s">
        <v>168</v>
      </c>
      <c r="D1333" s="200" t="s">
        <v>165</v>
      </c>
      <c r="E1333" s="213">
        <v>114.2</v>
      </c>
      <c r="F1333" s="201">
        <v>110</v>
      </c>
      <c r="G1333" s="201">
        <v>101</v>
      </c>
      <c r="H1333" s="201">
        <v>118</v>
      </c>
      <c r="I1333" s="201">
        <v>145</v>
      </c>
      <c r="J1333" s="201">
        <v>102</v>
      </c>
      <c r="K1333" s="201">
        <v>103</v>
      </c>
      <c r="L1333" s="201">
        <v>98</v>
      </c>
      <c r="M1333" s="330">
        <v>91</v>
      </c>
      <c r="N1333" s="202">
        <v>-0.20315236427320493</v>
      </c>
    </row>
    <row r="1334" spans="1:14" ht="15.75" customHeight="1">
      <c r="A1334" s="198" t="s">
        <v>159</v>
      </c>
      <c r="B1334" s="199" t="s">
        <v>197</v>
      </c>
      <c r="C1334" s="199" t="s">
        <v>168</v>
      </c>
      <c r="D1334" s="203" t="s">
        <v>91</v>
      </c>
      <c r="E1334" s="214">
        <v>145.69999999999999</v>
      </c>
      <c r="F1334" s="204">
        <v>139</v>
      </c>
      <c r="G1334" s="204">
        <v>134</v>
      </c>
      <c r="H1334" s="204">
        <v>144</v>
      </c>
      <c r="I1334" s="204">
        <v>185</v>
      </c>
      <c r="J1334" s="204">
        <v>157</v>
      </c>
      <c r="K1334" s="204">
        <v>143</v>
      </c>
      <c r="L1334" s="204">
        <v>160</v>
      </c>
      <c r="M1334" s="331">
        <v>130</v>
      </c>
      <c r="N1334" s="202">
        <v>-0.1077556623198352</v>
      </c>
    </row>
    <row r="1335" spans="1:14" ht="15.75" customHeight="1">
      <c r="A1335" s="198" t="s">
        <v>159</v>
      </c>
      <c r="B1335" s="199" t="s">
        <v>197</v>
      </c>
      <c r="C1335" s="199" t="s">
        <v>131</v>
      </c>
      <c r="D1335" s="200" t="s">
        <v>162</v>
      </c>
      <c r="E1335" s="213">
        <v>0.6</v>
      </c>
      <c r="F1335" s="201">
        <v>1</v>
      </c>
      <c r="G1335" s="201">
        <v>2</v>
      </c>
      <c r="H1335" s="201">
        <v>1</v>
      </c>
      <c r="I1335" s="201">
        <v>0</v>
      </c>
      <c r="J1335" s="201">
        <v>0</v>
      </c>
      <c r="K1335" s="201">
        <v>0</v>
      </c>
      <c r="L1335" s="201">
        <v>1</v>
      </c>
      <c r="M1335" s="330">
        <v>1</v>
      </c>
      <c r="N1335" s="202">
        <v>0.66666666666666674</v>
      </c>
    </row>
    <row r="1336" spans="1:14" ht="15.75" customHeight="1">
      <c r="A1336" s="198" t="s">
        <v>159</v>
      </c>
      <c r="B1336" s="199" t="s">
        <v>197</v>
      </c>
      <c r="C1336" s="199" t="s">
        <v>131</v>
      </c>
      <c r="D1336" s="200" t="s">
        <v>163</v>
      </c>
      <c r="E1336" s="213">
        <v>28</v>
      </c>
      <c r="F1336" s="201">
        <v>15</v>
      </c>
      <c r="G1336" s="201">
        <v>20</v>
      </c>
      <c r="H1336" s="201">
        <v>20</v>
      </c>
      <c r="I1336" s="201">
        <v>7</v>
      </c>
      <c r="J1336" s="201">
        <v>20</v>
      </c>
      <c r="K1336" s="201">
        <v>18</v>
      </c>
      <c r="L1336" s="201">
        <v>16</v>
      </c>
      <c r="M1336" s="330">
        <v>23</v>
      </c>
      <c r="N1336" s="202">
        <v>-0.17857142857142858</v>
      </c>
    </row>
    <row r="1337" spans="1:14" ht="15.75" customHeight="1">
      <c r="A1337" s="198" t="s">
        <v>159</v>
      </c>
      <c r="B1337" s="199" t="s">
        <v>197</v>
      </c>
      <c r="C1337" s="199" t="s">
        <v>131</v>
      </c>
      <c r="D1337" s="200" t="s">
        <v>164</v>
      </c>
      <c r="E1337" s="213">
        <v>27.4</v>
      </c>
      <c r="F1337" s="201">
        <v>14</v>
      </c>
      <c r="G1337" s="201">
        <v>18</v>
      </c>
      <c r="H1337" s="201">
        <v>19</v>
      </c>
      <c r="I1337" s="201">
        <v>7</v>
      </c>
      <c r="J1337" s="201">
        <v>20</v>
      </c>
      <c r="K1337" s="201">
        <v>18</v>
      </c>
      <c r="L1337" s="201">
        <v>15</v>
      </c>
      <c r="M1337" s="330">
        <v>22</v>
      </c>
      <c r="N1337" s="202">
        <v>-0.19708029197080287</v>
      </c>
    </row>
    <row r="1338" spans="1:14" ht="15.75" customHeight="1">
      <c r="A1338" s="198" t="s">
        <v>159</v>
      </c>
      <c r="B1338" s="199" t="s">
        <v>197</v>
      </c>
      <c r="C1338" s="199" t="s">
        <v>131</v>
      </c>
      <c r="D1338" s="200" t="s">
        <v>165</v>
      </c>
      <c r="E1338" s="213">
        <v>63.9</v>
      </c>
      <c r="F1338" s="201">
        <v>67</v>
      </c>
      <c r="G1338" s="201">
        <v>64</v>
      </c>
      <c r="H1338" s="201">
        <v>56</v>
      </c>
      <c r="I1338" s="201">
        <v>46</v>
      </c>
      <c r="J1338" s="201">
        <v>44</v>
      </c>
      <c r="K1338" s="201">
        <v>41</v>
      </c>
      <c r="L1338" s="201">
        <v>46</v>
      </c>
      <c r="M1338" s="330">
        <v>48</v>
      </c>
      <c r="N1338" s="202">
        <v>-0.24882629107981219</v>
      </c>
    </row>
    <row r="1339" spans="1:14" ht="15.75" customHeight="1">
      <c r="A1339" s="198" t="s">
        <v>159</v>
      </c>
      <c r="B1339" s="199" t="s">
        <v>197</v>
      </c>
      <c r="C1339" s="199" t="s">
        <v>131</v>
      </c>
      <c r="D1339" s="203" t="s">
        <v>91</v>
      </c>
      <c r="E1339" s="214">
        <v>91.8</v>
      </c>
      <c r="F1339" s="204">
        <v>82</v>
      </c>
      <c r="G1339" s="204">
        <v>84</v>
      </c>
      <c r="H1339" s="204">
        <v>76</v>
      </c>
      <c r="I1339" s="204">
        <v>53</v>
      </c>
      <c r="J1339" s="204">
        <v>64</v>
      </c>
      <c r="K1339" s="204">
        <v>59</v>
      </c>
      <c r="L1339" s="204">
        <v>62</v>
      </c>
      <c r="M1339" s="331">
        <v>71</v>
      </c>
      <c r="N1339" s="202">
        <v>-0.22657952069716772</v>
      </c>
    </row>
    <row r="1340" spans="1:14" ht="15.75" customHeight="1">
      <c r="A1340" s="198" t="s">
        <v>159</v>
      </c>
      <c r="B1340" s="199" t="s">
        <v>197</v>
      </c>
      <c r="C1340" s="199" t="s">
        <v>169</v>
      </c>
      <c r="D1340" s="200" t="s">
        <v>162</v>
      </c>
      <c r="E1340" s="213">
        <v>0</v>
      </c>
      <c r="F1340" s="201">
        <v>0</v>
      </c>
      <c r="G1340" s="201">
        <v>0</v>
      </c>
      <c r="H1340" s="201">
        <v>0</v>
      </c>
      <c r="I1340" s="201">
        <v>0</v>
      </c>
      <c r="J1340" s="201">
        <v>0</v>
      </c>
      <c r="K1340" s="201">
        <v>0</v>
      </c>
      <c r="L1340" s="201">
        <v>0</v>
      </c>
      <c r="M1340" s="330" t="s">
        <v>172</v>
      </c>
      <c r="N1340" s="202">
        <v>0</v>
      </c>
    </row>
    <row r="1341" spans="1:14" ht="15.75" customHeight="1">
      <c r="A1341" s="198" t="s">
        <v>159</v>
      </c>
      <c r="B1341" s="199" t="s">
        <v>197</v>
      </c>
      <c r="C1341" s="199" t="s">
        <v>169</v>
      </c>
      <c r="D1341" s="200" t="s">
        <v>163</v>
      </c>
      <c r="E1341" s="213">
        <v>0</v>
      </c>
      <c r="F1341" s="201">
        <v>2</v>
      </c>
      <c r="G1341" s="201">
        <v>0</v>
      </c>
      <c r="H1341" s="201">
        <v>1</v>
      </c>
      <c r="I1341" s="201">
        <v>0</v>
      </c>
      <c r="J1341" s="201">
        <v>0</v>
      </c>
      <c r="K1341" s="201">
        <v>0</v>
      </c>
      <c r="L1341" s="201">
        <v>0</v>
      </c>
      <c r="M1341" s="330">
        <v>0</v>
      </c>
      <c r="N1341" s="202">
        <v>0</v>
      </c>
    </row>
    <row r="1342" spans="1:14" ht="15.75" customHeight="1">
      <c r="A1342" s="198" t="s">
        <v>159</v>
      </c>
      <c r="B1342" s="199" t="s">
        <v>197</v>
      </c>
      <c r="C1342" s="199" t="s">
        <v>169</v>
      </c>
      <c r="D1342" s="200" t="s">
        <v>164</v>
      </c>
      <c r="E1342" s="213">
        <v>0</v>
      </c>
      <c r="F1342" s="201">
        <v>2</v>
      </c>
      <c r="G1342" s="201">
        <v>0</v>
      </c>
      <c r="H1342" s="201">
        <v>1</v>
      </c>
      <c r="I1342" s="201">
        <v>0</v>
      </c>
      <c r="J1342" s="201">
        <v>0</v>
      </c>
      <c r="K1342" s="201">
        <v>0</v>
      </c>
      <c r="L1342" s="201">
        <v>0</v>
      </c>
      <c r="M1342" s="330" t="s">
        <v>172</v>
      </c>
      <c r="N1342" s="202">
        <v>0</v>
      </c>
    </row>
    <row r="1343" spans="1:14" ht="15.75" customHeight="1">
      <c r="A1343" s="198" t="s">
        <v>159</v>
      </c>
      <c r="B1343" s="199" t="s">
        <v>197</v>
      </c>
      <c r="C1343" s="199" t="s">
        <v>169</v>
      </c>
      <c r="D1343" s="200" t="s">
        <v>165</v>
      </c>
      <c r="E1343" s="213">
        <v>0</v>
      </c>
      <c r="F1343" s="201">
        <v>12</v>
      </c>
      <c r="G1343" s="201">
        <v>9</v>
      </c>
      <c r="H1343" s="201">
        <v>3</v>
      </c>
      <c r="I1343" s="201">
        <v>5</v>
      </c>
      <c r="J1343" s="201">
        <v>2</v>
      </c>
      <c r="K1343" s="201">
        <v>10</v>
      </c>
      <c r="L1343" s="201">
        <v>1</v>
      </c>
      <c r="M1343" s="330">
        <v>1</v>
      </c>
      <c r="N1343" s="202">
        <v>0</v>
      </c>
    </row>
    <row r="1344" spans="1:14" ht="15.75" customHeight="1">
      <c r="A1344" s="198" t="s">
        <v>159</v>
      </c>
      <c r="B1344" s="199" t="s">
        <v>197</v>
      </c>
      <c r="C1344" s="199" t="s">
        <v>169</v>
      </c>
      <c r="D1344" s="203" t="s">
        <v>91</v>
      </c>
      <c r="E1344" s="214">
        <v>0</v>
      </c>
      <c r="F1344" s="204">
        <v>14</v>
      </c>
      <c r="G1344" s="204">
        <v>9</v>
      </c>
      <c r="H1344" s="204">
        <v>4</v>
      </c>
      <c r="I1344" s="204">
        <v>5</v>
      </c>
      <c r="J1344" s="204">
        <v>2</v>
      </c>
      <c r="K1344" s="204">
        <v>10</v>
      </c>
      <c r="L1344" s="204">
        <v>1</v>
      </c>
      <c r="M1344" s="331">
        <v>1</v>
      </c>
      <c r="N1344" s="202">
        <v>0</v>
      </c>
    </row>
    <row r="1345" spans="1:14" ht="15.75" customHeight="1">
      <c r="A1345" s="198" t="s">
        <v>159</v>
      </c>
      <c r="B1345" s="199" t="s">
        <v>197</v>
      </c>
      <c r="C1345" s="199" t="s">
        <v>139</v>
      </c>
      <c r="D1345" s="200" t="s">
        <v>162</v>
      </c>
      <c r="E1345" s="213">
        <v>0</v>
      </c>
      <c r="F1345" s="201">
        <v>0</v>
      </c>
      <c r="G1345" s="201">
        <v>0</v>
      </c>
      <c r="H1345" s="201">
        <v>0</v>
      </c>
      <c r="I1345" s="201">
        <v>0</v>
      </c>
      <c r="J1345" s="201">
        <v>0</v>
      </c>
      <c r="K1345" s="201">
        <v>0</v>
      </c>
      <c r="L1345" s="201">
        <v>0</v>
      </c>
      <c r="M1345" s="330" t="s">
        <v>172</v>
      </c>
      <c r="N1345" s="202">
        <v>0</v>
      </c>
    </row>
    <row r="1346" spans="1:14" ht="15.75" customHeight="1">
      <c r="A1346" s="198" t="s">
        <v>159</v>
      </c>
      <c r="B1346" s="199" t="s">
        <v>197</v>
      </c>
      <c r="C1346" s="199" t="s">
        <v>139</v>
      </c>
      <c r="D1346" s="200" t="s">
        <v>163</v>
      </c>
      <c r="E1346" s="213">
        <v>0.4</v>
      </c>
      <c r="F1346" s="201">
        <v>0</v>
      </c>
      <c r="G1346" s="201">
        <v>1</v>
      </c>
      <c r="H1346" s="201">
        <v>1</v>
      </c>
      <c r="I1346" s="201">
        <v>0</v>
      </c>
      <c r="J1346" s="201">
        <v>0</v>
      </c>
      <c r="K1346" s="201">
        <v>0</v>
      </c>
      <c r="L1346" s="201">
        <v>0</v>
      </c>
      <c r="M1346" s="330">
        <v>0</v>
      </c>
      <c r="N1346" s="202">
        <v>-1</v>
      </c>
    </row>
    <row r="1347" spans="1:14" ht="15.75" customHeight="1">
      <c r="A1347" s="198" t="s">
        <v>159</v>
      </c>
      <c r="B1347" s="199" t="s">
        <v>197</v>
      </c>
      <c r="C1347" s="199" t="s">
        <v>139</v>
      </c>
      <c r="D1347" s="200" t="s">
        <v>164</v>
      </c>
      <c r="E1347" s="213">
        <v>0.4</v>
      </c>
      <c r="F1347" s="201">
        <v>0</v>
      </c>
      <c r="G1347" s="201">
        <v>1</v>
      </c>
      <c r="H1347" s="201">
        <v>1</v>
      </c>
      <c r="I1347" s="201">
        <v>0</v>
      </c>
      <c r="J1347" s="201">
        <v>0</v>
      </c>
      <c r="K1347" s="201">
        <v>0</v>
      </c>
      <c r="L1347" s="201">
        <v>0</v>
      </c>
      <c r="M1347" s="330" t="s">
        <v>172</v>
      </c>
      <c r="N1347" s="202">
        <v>-1</v>
      </c>
    </row>
    <row r="1348" spans="1:14" ht="15.75" customHeight="1">
      <c r="A1348" s="198" t="s">
        <v>159</v>
      </c>
      <c r="B1348" s="199" t="s">
        <v>197</v>
      </c>
      <c r="C1348" s="199" t="s">
        <v>139</v>
      </c>
      <c r="D1348" s="200" t="s">
        <v>165</v>
      </c>
      <c r="E1348" s="213">
        <v>6.5</v>
      </c>
      <c r="F1348" s="201">
        <v>1</v>
      </c>
      <c r="G1348" s="201">
        <v>2</v>
      </c>
      <c r="H1348" s="201">
        <v>3</v>
      </c>
      <c r="I1348" s="201">
        <v>0</v>
      </c>
      <c r="J1348" s="201">
        <v>3</v>
      </c>
      <c r="K1348" s="201">
        <v>1</v>
      </c>
      <c r="L1348" s="201">
        <v>6</v>
      </c>
      <c r="M1348" s="330" t="s">
        <v>172</v>
      </c>
      <c r="N1348" s="202">
        <v>-1</v>
      </c>
    </row>
    <row r="1349" spans="1:14" ht="15.75" customHeight="1">
      <c r="A1349" s="198" t="s">
        <v>159</v>
      </c>
      <c r="B1349" s="199" t="s">
        <v>197</v>
      </c>
      <c r="C1349" s="199" t="s">
        <v>139</v>
      </c>
      <c r="D1349" s="203" t="s">
        <v>91</v>
      </c>
      <c r="E1349" s="214">
        <v>7</v>
      </c>
      <c r="F1349" s="204">
        <v>1</v>
      </c>
      <c r="G1349" s="204">
        <v>3</v>
      </c>
      <c r="H1349" s="204">
        <v>4</v>
      </c>
      <c r="I1349" s="204">
        <v>0</v>
      </c>
      <c r="J1349" s="204">
        <v>3</v>
      </c>
      <c r="K1349" s="204">
        <v>1</v>
      </c>
      <c r="L1349" s="204">
        <v>6</v>
      </c>
      <c r="M1349" s="331">
        <v>0</v>
      </c>
      <c r="N1349" s="202">
        <v>-1</v>
      </c>
    </row>
    <row r="1350" spans="1:14" ht="15.75" customHeight="1">
      <c r="A1350" s="198" t="s">
        <v>159</v>
      </c>
      <c r="B1350" s="199" t="s">
        <v>197</v>
      </c>
      <c r="C1350" s="205" t="s">
        <v>91</v>
      </c>
      <c r="D1350" s="203" t="s">
        <v>162</v>
      </c>
      <c r="E1350" s="214">
        <v>1.4</v>
      </c>
      <c r="F1350" s="204">
        <v>3</v>
      </c>
      <c r="G1350" s="204">
        <v>2</v>
      </c>
      <c r="H1350" s="204">
        <v>2</v>
      </c>
      <c r="I1350" s="204">
        <v>2</v>
      </c>
      <c r="J1350" s="204">
        <v>3</v>
      </c>
      <c r="K1350" s="204">
        <v>2</v>
      </c>
      <c r="L1350" s="204">
        <v>1</v>
      </c>
      <c r="M1350" s="331">
        <v>1</v>
      </c>
      <c r="N1350" s="202">
        <v>-0.28571428571428564</v>
      </c>
    </row>
    <row r="1351" spans="1:14" ht="15.75" customHeight="1">
      <c r="A1351" s="198" t="s">
        <v>159</v>
      </c>
      <c r="B1351" s="199" t="s">
        <v>194</v>
      </c>
      <c r="C1351" s="205" t="s">
        <v>91</v>
      </c>
      <c r="D1351" s="203" t="s">
        <v>163</v>
      </c>
      <c r="E1351" s="214">
        <v>89.7</v>
      </c>
      <c r="F1351" s="204">
        <v>60</v>
      </c>
      <c r="G1351" s="204">
        <v>77</v>
      </c>
      <c r="H1351" s="204">
        <v>93</v>
      </c>
      <c r="I1351" s="204">
        <v>68</v>
      </c>
      <c r="J1351" s="204">
        <v>76</v>
      </c>
      <c r="K1351" s="204">
        <v>86</v>
      </c>
      <c r="L1351" s="204">
        <v>87</v>
      </c>
      <c r="M1351" s="331">
        <v>74</v>
      </c>
      <c r="N1351" s="202">
        <v>-0.17502787068004461</v>
      </c>
    </row>
    <row r="1352" spans="1:14" ht="15.75" customHeight="1">
      <c r="A1352" s="198" t="s">
        <v>159</v>
      </c>
      <c r="B1352" s="199" t="s">
        <v>197</v>
      </c>
      <c r="C1352" s="205" t="s">
        <v>91</v>
      </c>
      <c r="D1352" s="203" t="s">
        <v>164</v>
      </c>
      <c r="E1352" s="214">
        <v>102.8</v>
      </c>
      <c r="F1352" s="204">
        <v>74</v>
      </c>
      <c r="G1352" s="204">
        <v>83</v>
      </c>
      <c r="H1352" s="204">
        <v>70</v>
      </c>
      <c r="I1352" s="204">
        <v>65</v>
      </c>
      <c r="J1352" s="204">
        <v>96</v>
      </c>
      <c r="K1352" s="204">
        <v>91</v>
      </c>
      <c r="L1352" s="204">
        <v>113</v>
      </c>
      <c r="M1352" s="331">
        <v>93</v>
      </c>
      <c r="N1352" s="202">
        <v>-9.5330739299610875E-2</v>
      </c>
    </row>
    <row r="1353" spans="1:14" ht="15.75" customHeight="1">
      <c r="A1353" s="198" t="s">
        <v>159</v>
      </c>
      <c r="B1353" s="199" t="s">
        <v>197</v>
      </c>
      <c r="C1353" s="205" t="s">
        <v>91</v>
      </c>
      <c r="D1353" s="203" t="s">
        <v>165</v>
      </c>
      <c r="E1353" s="214">
        <v>464</v>
      </c>
      <c r="F1353" s="204">
        <v>436</v>
      </c>
      <c r="G1353" s="204">
        <v>417</v>
      </c>
      <c r="H1353" s="204">
        <v>403</v>
      </c>
      <c r="I1353" s="204">
        <v>353</v>
      </c>
      <c r="J1353" s="204">
        <v>317</v>
      </c>
      <c r="K1353" s="204">
        <v>356</v>
      </c>
      <c r="L1353" s="204">
        <v>304</v>
      </c>
      <c r="M1353" s="331">
        <v>291</v>
      </c>
      <c r="N1353" s="202">
        <v>-0.37284482758620691</v>
      </c>
    </row>
    <row r="1354" spans="1:14" ht="15.75" customHeight="1">
      <c r="A1354" s="198" t="s">
        <v>159</v>
      </c>
      <c r="B1354" s="199" t="s">
        <v>197</v>
      </c>
      <c r="C1354" s="205" t="s">
        <v>91</v>
      </c>
      <c r="D1354" s="203" t="s">
        <v>91</v>
      </c>
      <c r="E1354" s="214">
        <v>568.29999999999995</v>
      </c>
      <c r="F1354" s="204">
        <v>513</v>
      </c>
      <c r="G1354" s="204">
        <v>502</v>
      </c>
      <c r="H1354" s="204">
        <v>475</v>
      </c>
      <c r="I1354" s="204">
        <v>420</v>
      </c>
      <c r="J1354" s="204">
        <v>416</v>
      </c>
      <c r="K1354" s="204">
        <v>449</v>
      </c>
      <c r="L1354" s="204">
        <v>418</v>
      </c>
      <c r="M1354" s="331">
        <v>385</v>
      </c>
      <c r="N1354" s="202">
        <v>-0.32254091149040992</v>
      </c>
    </row>
    <row r="1355" spans="1:14" ht="15.75" customHeight="1">
      <c r="A1355" s="198" t="s">
        <v>175</v>
      </c>
      <c r="B1355" s="199" t="s">
        <v>198</v>
      </c>
      <c r="C1355" s="199" t="s">
        <v>161</v>
      </c>
      <c r="D1355" s="200" t="s">
        <v>162</v>
      </c>
      <c r="E1355" s="215">
        <v>0</v>
      </c>
      <c r="F1355" s="201">
        <v>0</v>
      </c>
      <c r="G1355" s="201">
        <v>0</v>
      </c>
      <c r="H1355" s="201">
        <v>0</v>
      </c>
      <c r="I1355" s="201">
        <v>0</v>
      </c>
      <c r="J1355" s="201">
        <v>0</v>
      </c>
      <c r="K1355" s="201">
        <v>0</v>
      </c>
      <c r="L1355" s="201">
        <v>0</v>
      </c>
      <c r="M1355" s="330" t="s">
        <v>172</v>
      </c>
      <c r="N1355" s="202">
        <v>0</v>
      </c>
    </row>
    <row r="1356" spans="1:14">
      <c r="A1356" s="198" t="s">
        <v>175</v>
      </c>
      <c r="B1356" s="199" t="s">
        <v>198</v>
      </c>
      <c r="C1356" s="199" t="s">
        <v>161</v>
      </c>
      <c r="D1356" s="200" t="s">
        <v>163</v>
      </c>
      <c r="E1356" s="215">
        <v>10.1</v>
      </c>
      <c r="F1356" s="201">
        <v>4</v>
      </c>
      <c r="G1356" s="201">
        <v>7</v>
      </c>
      <c r="H1356" s="201">
        <v>5</v>
      </c>
      <c r="I1356" s="201">
        <v>2</v>
      </c>
      <c r="J1356" s="201">
        <v>8</v>
      </c>
      <c r="K1356" s="201">
        <v>5</v>
      </c>
      <c r="L1356" s="201">
        <v>11</v>
      </c>
      <c r="M1356" s="330">
        <v>4</v>
      </c>
      <c r="N1356" s="202">
        <v>-0.60396039603960394</v>
      </c>
    </row>
    <row r="1357" spans="1:14" ht="15.75" customHeight="1">
      <c r="A1357" s="198" t="s">
        <v>175</v>
      </c>
      <c r="B1357" s="199" t="s">
        <v>198</v>
      </c>
      <c r="C1357" s="199" t="s">
        <v>161</v>
      </c>
      <c r="D1357" s="200" t="s">
        <v>164</v>
      </c>
      <c r="E1357" s="215">
        <v>10.1</v>
      </c>
      <c r="F1357" s="201">
        <v>4</v>
      </c>
      <c r="G1357" s="201">
        <v>7</v>
      </c>
      <c r="H1357" s="201">
        <v>5</v>
      </c>
      <c r="I1357" s="201">
        <v>2</v>
      </c>
      <c r="J1357" s="201">
        <v>8</v>
      </c>
      <c r="K1357" s="201">
        <v>5</v>
      </c>
      <c r="L1357" s="201">
        <v>11</v>
      </c>
      <c r="M1357" s="330">
        <v>4</v>
      </c>
      <c r="N1357" s="202">
        <v>-0.60396039603960394</v>
      </c>
    </row>
    <row r="1358" spans="1:14" ht="15.75" customHeight="1">
      <c r="A1358" s="198" t="s">
        <v>175</v>
      </c>
      <c r="B1358" s="199" t="s">
        <v>198</v>
      </c>
      <c r="C1358" s="199" t="s">
        <v>161</v>
      </c>
      <c r="D1358" s="200" t="s">
        <v>165</v>
      </c>
      <c r="E1358" s="215">
        <v>82.2</v>
      </c>
      <c r="F1358" s="201">
        <v>93</v>
      </c>
      <c r="G1358" s="201">
        <v>80</v>
      </c>
      <c r="H1358" s="201">
        <v>70</v>
      </c>
      <c r="I1358" s="201">
        <v>34</v>
      </c>
      <c r="J1358" s="201">
        <v>46</v>
      </c>
      <c r="K1358" s="201">
        <v>47</v>
      </c>
      <c r="L1358" s="201">
        <v>72</v>
      </c>
      <c r="M1358" s="330">
        <v>36</v>
      </c>
      <c r="N1358" s="202">
        <v>-0.56204379562043794</v>
      </c>
    </row>
    <row r="1359" spans="1:14" ht="15.75" customHeight="1">
      <c r="A1359" s="198" t="s">
        <v>175</v>
      </c>
      <c r="B1359" s="199" t="s">
        <v>198</v>
      </c>
      <c r="C1359" s="199" t="s">
        <v>161</v>
      </c>
      <c r="D1359" s="203" t="s">
        <v>91</v>
      </c>
      <c r="E1359" s="216">
        <v>92.3</v>
      </c>
      <c r="F1359" s="204">
        <v>97</v>
      </c>
      <c r="G1359" s="204">
        <v>87</v>
      </c>
      <c r="H1359" s="204">
        <v>75</v>
      </c>
      <c r="I1359" s="204">
        <v>36</v>
      </c>
      <c r="J1359" s="204">
        <v>54</v>
      </c>
      <c r="K1359" s="204">
        <v>52</v>
      </c>
      <c r="L1359" s="204">
        <v>83</v>
      </c>
      <c r="M1359" s="331">
        <v>40</v>
      </c>
      <c r="N1359" s="202">
        <v>-0.56663055254604544</v>
      </c>
    </row>
    <row r="1360" spans="1:14" ht="15.75" customHeight="1">
      <c r="A1360" s="198" t="s">
        <v>175</v>
      </c>
      <c r="B1360" s="199" t="s">
        <v>198</v>
      </c>
      <c r="C1360" s="199" t="s">
        <v>134</v>
      </c>
      <c r="D1360" s="200" t="s">
        <v>162</v>
      </c>
      <c r="E1360" s="215">
        <v>0.6</v>
      </c>
      <c r="F1360" s="201">
        <v>0</v>
      </c>
      <c r="G1360" s="201">
        <v>0</v>
      </c>
      <c r="H1360" s="201">
        <v>0</v>
      </c>
      <c r="I1360" s="201">
        <v>0</v>
      </c>
      <c r="J1360" s="201">
        <v>0</v>
      </c>
      <c r="K1360" s="201">
        <v>0</v>
      </c>
      <c r="L1360" s="201">
        <v>0</v>
      </c>
      <c r="M1360" s="330" t="s">
        <v>172</v>
      </c>
      <c r="N1360" s="202">
        <v>-1</v>
      </c>
    </row>
    <row r="1361" spans="1:14" ht="15.75" customHeight="1">
      <c r="A1361" s="198" t="s">
        <v>175</v>
      </c>
      <c r="B1361" s="199" t="s">
        <v>198</v>
      </c>
      <c r="C1361" s="199" t="s">
        <v>134</v>
      </c>
      <c r="D1361" s="200" t="s">
        <v>163</v>
      </c>
      <c r="E1361" s="215">
        <v>21.4</v>
      </c>
      <c r="F1361" s="201">
        <v>5</v>
      </c>
      <c r="G1361" s="201">
        <v>15</v>
      </c>
      <c r="H1361" s="201">
        <v>11</v>
      </c>
      <c r="I1361" s="201">
        <v>14</v>
      </c>
      <c r="J1361" s="201">
        <v>17</v>
      </c>
      <c r="K1361" s="201">
        <v>7</v>
      </c>
      <c r="L1361" s="201">
        <v>10</v>
      </c>
      <c r="M1361" s="330">
        <v>9</v>
      </c>
      <c r="N1361" s="202">
        <v>-0.57943925233644855</v>
      </c>
    </row>
    <row r="1362" spans="1:14" ht="15.75" customHeight="1">
      <c r="A1362" s="198" t="s">
        <v>175</v>
      </c>
      <c r="B1362" s="199" t="s">
        <v>198</v>
      </c>
      <c r="C1362" s="199" t="s">
        <v>134</v>
      </c>
      <c r="D1362" s="200" t="s">
        <v>164</v>
      </c>
      <c r="E1362" s="215">
        <v>20.8</v>
      </c>
      <c r="F1362" s="201">
        <v>5</v>
      </c>
      <c r="G1362" s="201">
        <v>15</v>
      </c>
      <c r="H1362" s="201">
        <v>11</v>
      </c>
      <c r="I1362" s="201">
        <v>14</v>
      </c>
      <c r="J1362" s="201">
        <v>17</v>
      </c>
      <c r="K1362" s="201">
        <v>7</v>
      </c>
      <c r="L1362" s="201">
        <v>10</v>
      </c>
      <c r="M1362" s="330">
        <v>9</v>
      </c>
      <c r="N1362" s="202">
        <v>-0.56730769230769229</v>
      </c>
    </row>
    <row r="1363" spans="1:14" ht="15.75" customHeight="1">
      <c r="A1363" s="198" t="s">
        <v>175</v>
      </c>
      <c r="B1363" s="199" t="s">
        <v>198</v>
      </c>
      <c r="C1363" s="199" t="s">
        <v>134</v>
      </c>
      <c r="D1363" s="200" t="s">
        <v>165</v>
      </c>
      <c r="E1363" s="215">
        <v>273.7</v>
      </c>
      <c r="F1363" s="201">
        <v>282</v>
      </c>
      <c r="G1363" s="201">
        <v>272</v>
      </c>
      <c r="H1363" s="201">
        <v>316</v>
      </c>
      <c r="I1363" s="201">
        <v>180</v>
      </c>
      <c r="J1363" s="201">
        <v>219</v>
      </c>
      <c r="K1363" s="201">
        <v>209</v>
      </c>
      <c r="L1363" s="201">
        <v>191</v>
      </c>
      <c r="M1363" s="330">
        <v>155</v>
      </c>
      <c r="N1363" s="202">
        <v>-0.43368651808549502</v>
      </c>
    </row>
    <row r="1364" spans="1:14" ht="15.75" customHeight="1">
      <c r="A1364" s="198" t="s">
        <v>175</v>
      </c>
      <c r="B1364" s="199" t="s">
        <v>198</v>
      </c>
      <c r="C1364" s="199" t="s">
        <v>134</v>
      </c>
      <c r="D1364" s="203" t="s">
        <v>91</v>
      </c>
      <c r="E1364" s="216">
        <v>295.2</v>
      </c>
      <c r="F1364" s="204">
        <v>287</v>
      </c>
      <c r="G1364" s="204">
        <v>287</v>
      </c>
      <c r="H1364" s="204">
        <v>327</v>
      </c>
      <c r="I1364" s="204">
        <v>194</v>
      </c>
      <c r="J1364" s="204">
        <v>236</v>
      </c>
      <c r="K1364" s="204">
        <v>216</v>
      </c>
      <c r="L1364" s="204">
        <v>201</v>
      </c>
      <c r="M1364" s="331">
        <v>164</v>
      </c>
      <c r="N1364" s="202">
        <v>-0.44444444444444442</v>
      </c>
    </row>
    <row r="1365" spans="1:14" ht="15.75" customHeight="1">
      <c r="A1365" s="198" t="s">
        <v>175</v>
      </c>
      <c r="B1365" s="199" t="s">
        <v>198</v>
      </c>
      <c r="C1365" s="199" t="s">
        <v>166</v>
      </c>
      <c r="D1365" s="200" t="s">
        <v>162</v>
      </c>
      <c r="E1365" s="215">
        <v>0</v>
      </c>
      <c r="F1365" s="201">
        <v>0</v>
      </c>
      <c r="G1365" s="201">
        <v>0</v>
      </c>
      <c r="H1365" s="201">
        <v>0</v>
      </c>
      <c r="I1365" s="201">
        <v>0</v>
      </c>
      <c r="J1365" s="201">
        <v>0</v>
      </c>
      <c r="K1365" s="201">
        <v>0</v>
      </c>
      <c r="L1365" s="201">
        <v>0</v>
      </c>
      <c r="M1365" s="330" t="s">
        <v>172</v>
      </c>
      <c r="N1365" s="202">
        <v>0</v>
      </c>
    </row>
    <row r="1366" spans="1:14">
      <c r="A1366" s="198" t="s">
        <v>175</v>
      </c>
      <c r="B1366" s="199" t="s">
        <v>198</v>
      </c>
      <c r="C1366" s="199" t="s">
        <v>166</v>
      </c>
      <c r="D1366" s="200" t="s">
        <v>163</v>
      </c>
      <c r="E1366" s="215">
        <v>1</v>
      </c>
      <c r="F1366" s="201">
        <v>1</v>
      </c>
      <c r="G1366" s="201">
        <v>0</v>
      </c>
      <c r="H1366" s="201">
        <v>1</v>
      </c>
      <c r="I1366" s="201">
        <v>1</v>
      </c>
      <c r="J1366" s="201">
        <v>2</v>
      </c>
      <c r="K1366" s="201">
        <v>1</v>
      </c>
      <c r="L1366" s="201">
        <v>1</v>
      </c>
      <c r="M1366" s="330">
        <v>1</v>
      </c>
      <c r="N1366" s="202">
        <v>0</v>
      </c>
    </row>
    <row r="1367" spans="1:14" ht="15.75" customHeight="1">
      <c r="A1367" s="198" t="s">
        <v>175</v>
      </c>
      <c r="B1367" s="199" t="s">
        <v>198</v>
      </c>
      <c r="C1367" s="199" t="s">
        <v>166</v>
      </c>
      <c r="D1367" s="200" t="s">
        <v>164</v>
      </c>
      <c r="E1367" s="215">
        <v>1</v>
      </c>
      <c r="F1367" s="201">
        <v>1</v>
      </c>
      <c r="G1367" s="201">
        <v>0</v>
      </c>
      <c r="H1367" s="201">
        <v>1</v>
      </c>
      <c r="I1367" s="201">
        <v>1</v>
      </c>
      <c r="J1367" s="201">
        <v>2</v>
      </c>
      <c r="K1367" s="201">
        <v>1</v>
      </c>
      <c r="L1367" s="201">
        <v>1</v>
      </c>
      <c r="M1367" s="330">
        <v>1</v>
      </c>
      <c r="N1367" s="202">
        <v>0</v>
      </c>
    </row>
    <row r="1368" spans="1:14" ht="15.75" customHeight="1">
      <c r="A1368" s="198" t="s">
        <v>175</v>
      </c>
      <c r="B1368" s="199" t="s">
        <v>198</v>
      </c>
      <c r="C1368" s="199" t="s">
        <v>166</v>
      </c>
      <c r="D1368" s="200" t="s">
        <v>165</v>
      </c>
      <c r="E1368" s="215">
        <v>18.399999999999999</v>
      </c>
      <c r="F1368" s="201">
        <v>16</v>
      </c>
      <c r="G1368" s="201">
        <v>23</v>
      </c>
      <c r="H1368" s="201">
        <v>19</v>
      </c>
      <c r="I1368" s="201">
        <v>15</v>
      </c>
      <c r="J1368" s="201">
        <v>15</v>
      </c>
      <c r="K1368" s="201">
        <v>12</v>
      </c>
      <c r="L1368" s="201">
        <v>9</v>
      </c>
      <c r="M1368" s="330">
        <v>10</v>
      </c>
      <c r="N1368" s="202">
        <v>-0.45652173913043476</v>
      </c>
    </row>
    <row r="1369" spans="1:14" ht="15.75" customHeight="1">
      <c r="A1369" s="198" t="s">
        <v>175</v>
      </c>
      <c r="B1369" s="199" t="s">
        <v>198</v>
      </c>
      <c r="C1369" s="199" t="s">
        <v>166</v>
      </c>
      <c r="D1369" s="203" t="s">
        <v>91</v>
      </c>
      <c r="E1369" s="216">
        <v>19.399999999999999</v>
      </c>
      <c r="F1369" s="204">
        <v>17</v>
      </c>
      <c r="G1369" s="204">
        <v>23</v>
      </c>
      <c r="H1369" s="204">
        <v>20</v>
      </c>
      <c r="I1369" s="204">
        <v>16</v>
      </c>
      <c r="J1369" s="204">
        <v>17</v>
      </c>
      <c r="K1369" s="204">
        <v>13</v>
      </c>
      <c r="L1369" s="204">
        <v>10</v>
      </c>
      <c r="M1369" s="331">
        <v>11</v>
      </c>
      <c r="N1369" s="202">
        <v>-0.43298969072164945</v>
      </c>
    </row>
    <row r="1370" spans="1:14" ht="15.75" customHeight="1">
      <c r="A1370" s="198" t="s">
        <v>175</v>
      </c>
      <c r="B1370" s="199" t="s">
        <v>198</v>
      </c>
      <c r="C1370" s="199" t="s">
        <v>133</v>
      </c>
      <c r="D1370" s="200" t="s">
        <v>162</v>
      </c>
      <c r="E1370" s="215">
        <v>1</v>
      </c>
      <c r="F1370" s="201">
        <v>1</v>
      </c>
      <c r="G1370" s="201">
        <v>0</v>
      </c>
      <c r="H1370" s="201">
        <v>0</v>
      </c>
      <c r="I1370" s="201">
        <v>0</v>
      </c>
      <c r="J1370" s="201">
        <v>1</v>
      </c>
      <c r="K1370" s="201">
        <v>2</v>
      </c>
      <c r="L1370" s="201">
        <v>0</v>
      </c>
      <c r="M1370" s="330" t="s">
        <v>172</v>
      </c>
      <c r="N1370" s="202">
        <v>-1</v>
      </c>
    </row>
    <row r="1371" spans="1:14">
      <c r="A1371" s="198" t="s">
        <v>175</v>
      </c>
      <c r="B1371" s="199" t="s">
        <v>198</v>
      </c>
      <c r="C1371" s="199" t="s">
        <v>133</v>
      </c>
      <c r="D1371" s="200" t="s">
        <v>163</v>
      </c>
      <c r="E1371" s="215">
        <v>51.1</v>
      </c>
      <c r="F1371" s="201">
        <v>38</v>
      </c>
      <c r="G1371" s="201">
        <v>48</v>
      </c>
      <c r="H1371" s="201">
        <v>51</v>
      </c>
      <c r="I1371" s="201">
        <v>32</v>
      </c>
      <c r="J1371" s="201">
        <v>40</v>
      </c>
      <c r="K1371" s="201">
        <v>42</v>
      </c>
      <c r="L1371" s="201">
        <v>33</v>
      </c>
      <c r="M1371" s="330">
        <v>33</v>
      </c>
      <c r="N1371" s="202">
        <v>-0.35420743639921726</v>
      </c>
    </row>
    <row r="1372" spans="1:14" ht="15.75" customHeight="1">
      <c r="A1372" s="198" t="s">
        <v>175</v>
      </c>
      <c r="B1372" s="199" t="s">
        <v>198</v>
      </c>
      <c r="C1372" s="199" t="s">
        <v>133</v>
      </c>
      <c r="D1372" s="200" t="s">
        <v>164</v>
      </c>
      <c r="E1372" s="215">
        <v>50.1</v>
      </c>
      <c r="F1372" s="201">
        <v>37</v>
      </c>
      <c r="G1372" s="201">
        <v>48</v>
      </c>
      <c r="H1372" s="201">
        <v>51</v>
      </c>
      <c r="I1372" s="201">
        <v>32</v>
      </c>
      <c r="J1372" s="201">
        <v>39</v>
      </c>
      <c r="K1372" s="201">
        <v>40</v>
      </c>
      <c r="L1372" s="201">
        <v>33</v>
      </c>
      <c r="M1372" s="330">
        <v>33</v>
      </c>
      <c r="N1372" s="202">
        <v>-0.3413173652694611</v>
      </c>
    </row>
    <row r="1373" spans="1:14" ht="15.75" customHeight="1">
      <c r="A1373" s="198" t="s">
        <v>175</v>
      </c>
      <c r="B1373" s="199" t="s">
        <v>198</v>
      </c>
      <c r="C1373" s="199" t="s">
        <v>133</v>
      </c>
      <c r="D1373" s="200" t="s">
        <v>165</v>
      </c>
      <c r="E1373" s="215">
        <v>178.9</v>
      </c>
      <c r="F1373" s="201">
        <v>212</v>
      </c>
      <c r="G1373" s="201">
        <v>205</v>
      </c>
      <c r="H1373" s="201">
        <v>190</v>
      </c>
      <c r="I1373" s="201">
        <v>177</v>
      </c>
      <c r="J1373" s="201">
        <v>204</v>
      </c>
      <c r="K1373" s="201">
        <v>209</v>
      </c>
      <c r="L1373" s="201">
        <v>221</v>
      </c>
      <c r="M1373" s="330">
        <v>138</v>
      </c>
      <c r="N1373" s="202">
        <v>-0.22861934041363893</v>
      </c>
    </row>
    <row r="1374" spans="1:14" ht="15.75" customHeight="1">
      <c r="A1374" s="198" t="s">
        <v>175</v>
      </c>
      <c r="B1374" s="199" t="s">
        <v>198</v>
      </c>
      <c r="C1374" s="199" t="s">
        <v>133</v>
      </c>
      <c r="D1374" s="203" t="s">
        <v>91</v>
      </c>
      <c r="E1374" s="216">
        <v>229.9</v>
      </c>
      <c r="F1374" s="204">
        <v>250</v>
      </c>
      <c r="G1374" s="204">
        <v>253</v>
      </c>
      <c r="H1374" s="204">
        <v>241</v>
      </c>
      <c r="I1374" s="204">
        <v>209</v>
      </c>
      <c r="J1374" s="204">
        <v>244</v>
      </c>
      <c r="K1374" s="204">
        <v>251</v>
      </c>
      <c r="L1374" s="204">
        <v>254</v>
      </c>
      <c r="M1374" s="331">
        <v>171</v>
      </c>
      <c r="N1374" s="202">
        <v>-0.25619834710743805</v>
      </c>
    </row>
    <row r="1375" spans="1:14" ht="15.75" customHeight="1">
      <c r="A1375" s="198" t="s">
        <v>175</v>
      </c>
      <c r="B1375" s="199" t="s">
        <v>198</v>
      </c>
      <c r="C1375" s="199" t="s">
        <v>167</v>
      </c>
      <c r="D1375" s="200" t="s">
        <v>162</v>
      </c>
      <c r="E1375" s="215">
        <v>0</v>
      </c>
      <c r="F1375" s="201">
        <v>0</v>
      </c>
      <c r="G1375" s="201">
        <v>0</v>
      </c>
      <c r="H1375" s="201">
        <v>0</v>
      </c>
      <c r="I1375" s="201">
        <v>0</v>
      </c>
      <c r="J1375" s="201">
        <v>1</v>
      </c>
      <c r="K1375" s="201">
        <v>0</v>
      </c>
      <c r="L1375" s="201">
        <v>0</v>
      </c>
      <c r="M1375" s="330" t="s">
        <v>172</v>
      </c>
      <c r="N1375" s="202">
        <v>0</v>
      </c>
    </row>
    <row r="1376" spans="1:14" ht="15.75" customHeight="1">
      <c r="A1376" s="198" t="s">
        <v>175</v>
      </c>
      <c r="B1376" s="199" t="s">
        <v>198</v>
      </c>
      <c r="C1376" s="199" t="s">
        <v>167</v>
      </c>
      <c r="D1376" s="200" t="s">
        <v>163</v>
      </c>
      <c r="E1376" s="215">
        <v>0.3</v>
      </c>
      <c r="F1376" s="201">
        <v>1</v>
      </c>
      <c r="G1376" s="201">
        <v>0</v>
      </c>
      <c r="H1376" s="201">
        <v>0</v>
      </c>
      <c r="I1376" s="201">
        <v>4</v>
      </c>
      <c r="J1376" s="201">
        <v>7</v>
      </c>
      <c r="K1376" s="201">
        <v>9</v>
      </c>
      <c r="L1376" s="201">
        <v>2</v>
      </c>
      <c r="M1376" s="330">
        <v>3</v>
      </c>
      <c r="N1376" s="202">
        <v>9.0000000000000018</v>
      </c>
    </row>
    <row r="1377" spans="1:14" ht="15.75" customHeight="1">
      <c r="A1377" s="198" t="s">
        <v>175</v>
      </c>
      <c r="B1377" s="199" t="s">
        <v>198</v>
      </c>
      <c r="C1377" s="199" t="s">
        <v>167</v>
      </c>
      <c r="D1377" s="200" t="s">
        <v>164</v>
      </c>
      <c r="E1377" s="215">
        <v>0.3</v>
      </c>
      <c r="F1377" s="201">
        <v>1</v>
      </c>
      <c r="G1377" s="201">
        <v>0</v>
      </c>
      <c r="H1377" s="201">
        <v>0</v>
      </c>
      <c r="I1377" s="201">
        <v>4</v>
      </c>
      <c r="J1377" s="201">
        <v>6</v>
      </c>
      <c r="K1377" s="201">
        <v>9</v>
      </c>
      <c r="L1377" s="201">
        <v>2</v>
      </c>
      <c r="M1377" s="330">
        <v>3</v>
      </c>
      <c r="N1377" s="202">
        <v>9.0000000000000018</v>
      </c>
    </row>
    <row r="1378" spans="1:14" ht="15.75" customHeight="1">
      <c r="A1378" s="198" t="s">
        <v>175</v>
      </c>
      <c r="B1378" s="199" t="s">
        <v>198</v>
      </c>
      <c r="C1378" s="199" t="s">
        <v>167</v>
      </c>
      <c r="D1378" s="200" t="s">
        <v>165</v>
      </c>
      <c r="E1378" s="215">
        <v>2.1</v>
      </c>
      <c r="F1378" s="201">
        <v>2</v>
      </c>
      <c r="G1378" s="201">
        <v>2</v>
      </c>
      <c r="H1378" s="201">
        <v>6</v>
      </c>
      <c r="I1378" s="201">
        <v>14</v>
      </c>
      <c r="J1378" s="201">
        <v>22</v>
      </c>
      <c r="K1378" s="201">
        <v>15</v>
      </c>
      <c r="L1378" s="201">
        <v>21</v>
      </c>
      <c r="M1378" s="330">
        <v>9</v>
      </c>
      <c r="N1378" s="202">
        <v>3.2857142857142856</v>
      </c>
    </row>
    <row r="1379" spans="1:14" ht="15.75" customHeight="1">
      <c r="A1379" s="198" t="s">
        <v>175</v>
      </c>
      <c r="B1379" s="199" t="s">
        <v>198</v>
      </c>
      <c r="C1379" s="199" t="s">
        <v>167</v>
      </c>
      <c r="D1379" s="203" t="s">
        <v>91</v>
      </c>
      <c r="E1379" s="216">
        <v>2.4</v>
      </c>
      <c r="F1379" s="204">
        <v>3</v>
      </c>
      <c r="G1379" s="204">
        <v>2</v>
      </c>
      <c r="H1379" s="204">
        <v>6</v>
      </c>
      <c r="I1379" s="204">
        <v>18</v>
      </c>
      <c r="J1379" s="204">
        <v>29</v>
      </c>
      <c r="K1379" s="204">
        <v>24</v>
      </c>
      <c r="L1379" s="204">
        <v>23</v>
      </c>
      <c r="M1379" s="331">
        <v>12</v>
      </c>
      <c r="N1379" s="202">
        <v>4</v>
      </c>
    </row>
    <row r="1380" spans="1:14" ht="15.75" customHeight="1">
      <c r="A1380" s="198" t="s">
        <v>175</v>
      </c>
      <c r="B1380" s="199" t="s">
        <v>198</v>
      </c>
      <c r="C1380" s="199" t="s">
        <v>168</v>
      </c>
      <c r="D1380" s="200" t="s">
        <v>162</v>
      </c>
      <c r="E1380" s="215">
        <v>1.4</v>
      </c>
      <c r="F1380" s="201">
        <v>0</v>
      </c>
      <c r="G1380" s="201">
        <v>0</v>
      </c>
      <c r="H1380" s="201">
        <v>0</v>
      </c>
      <c r="I1380" s="201">
        <v>0</v>
      </c>
      <c r="J1380" s="201">
        <v>0</v>
      </c>
      <c r="K1380" s="201">
        <v>1</v>
      </c>
      <c r="L1380" s="201">
        <v>1</v>
      </c>
      <c r="M1380" s="330" t="s">
        <v>172</v>
      </c>
      <c r="N1380" s="202">
        <v>-1</v>
      </c>
    </row>
    <row r="1381" spans="1:14" ht="15.75" customHeight="1">
      <c r="A1381" s="198" t="s">
        <v>175</v>
      </c>
      <c r="B1381" s="199" t="s">
        <v>198</v>
      </c>
      <c r="C1381" s="199" t="s">
        <v>168</v>
      </c>
      <c r="D1381" s="200" t="s">
        <v>163</v>
      </c>
      <c r="E1381" s="215">
        <v>57</v>
      </c>
      <c r="F1381" s="201">
        <v>49</v>
      </c>
      <c r="G1381" s="201">
        <v>62</v>
      </c>
      <c r="H1381" s="201">
        <v>46</v>
      </c>
      <c r="I1381" s="201">
        <v>52</v>
      </c>
      <c r="J1381" s="201">
        <v>60</v>
      </c>
      <c r="K1381" s="201">
        <v>63</v>
      </c>
      <c r="L1381" s="201">
        <v>69</v>
      </c>
      <c r="M1381" s="330">
        <v>107</v>
      </c>
      <c r="N1381" s="202">
        <v>0.8771929824561403</v>
      </c>
    </row>
    <row r="1382" spans="1:14" ht="15.75" customHeight="1">
      <c r="A1382" s="198" t="s">
        <v>175</v>
      </c>
      <c r="B1382" s="199" t="s">
        <v>198</v>
      </c>
      <c r="C1382" s="199" t="s">
        <v>168</v>
      </c>
      <c r="D1382" s="200" t="s">
        <v>164</v>
      </c>
      <c r="E1382" s="215">
        <v>55.6</v>
      </c>
      <c r="F1382" s="201">
        <v>49</v>
      </c>
      <c r="G1382" s="201">
        <v>62</v>
      </c>
      <c r="H1382" s="201">
        <v>46</v>
      </c>
      <c r="I1382" s="201">
        <v>52</v>
      </c>
      <c r="J1382" s="201">
        <v>60</v>
      </c>
      <c r="K1382" s="201">
        <v>62</v>
      </c>
      <c r="L1382" s="201">
        <v>68</v>
      </c>
      <c r="M1382" s="330">
        <v>107</v>
      </c>
      <c r="N1382" s="202">
        <v>0.92446043165467617</v>
      </c>
    </row>
    <row r="1383" spans="1:14" ht="15.75" customHeight="1">
      <c r="A1383" s="198" t="s">
        <v>175</v>
      </c>
      <c r="B1383" s="199" t="s">
        <v>198</v>
      </c>
      <c r="C1383" s="199" t="s">
        <v>168</v>
      </c>
      <c r="D1383" s="200" t="s">
        <v>165</v>
      </c>
      <c r="E1383" s="215">
        <v>249.1</v>
      </c>
      <c r="F1383" s="201">
        <v>272</v>
      </c>
      <c r="G1383" s="201">
        <v>299</v>
      </c>
      <c r="H1383" s="201">
        <v>317</v>
      </c>
      <c r="I1383" s="201">
        <v>274</v>
      </c>
      <c r="J1383" s="201">
        <v>273</v>
      </c>
      <c r="K1383" s="201">
        <v>322</v>
      </c>
      <c r="L1383" s="201">
        <v>281</v>
      </c>
      <c r="M1383" s="330">
        <v>284</v>
      </c>
      <c r="N1383" s="202">
        <v>0.14010437575270979</v>
      </c>
    </row>
    <row r="1384" spans="1:14" ht="15.75" customHeight="1">
      <c r="A1384" s="198" t="s">
        <v>175</v>
      </c>
      <c r="B1384" s="199" t="s">
        <v>198</v>
      </c>
      <c r="C1384" s="199" t="s">
        <v>168</v>
      </c>
      <c r="D1384" s="203" t="s">
        <v>91</v>
      </c>
      <c r="E1384" s="216">
        <v>306.10000000000002</v>
      </c>
      <c r="F1384" s="204">
        <v>321</v>
      </c>
      <c r="G1384" s="204">
        <v>361</v>
      </c>
      <c r="H1384" s="204">
        <v>363</v>
      </c>
      <c r="I1384" s="204">
        <v>326</v>
      </c>
      <c r="J1384" s="204">
        <v>333</v>
      </c>
      <c r="K1384" s="204">
        <v>385</v>
      </c>
      <c r="L1384" s="204">
        <v>350</v>
      </c>
      <c r="M1384" s="331">
        <v>391</v>
      </c>
      <c r="N1384" s="202">
        <v>0.27736033975824886</v>
      </c>
    </row>
    <row r="1385" spans="1:14" ht="15.75" customHeight="1">
      <c r="A1385" s="198" t="s">
        <v>175</v>
      </c>
      <c r="B1385" s="199" t="s">
        <v>198</v>
      </c>
      <c r="C1385" s="199" t="s">
        <v>131</v>
      </c>
      <c r="D1385" s="200" t="s">
        <v>162</v>
      </c>
      <c r="E1385" s="215">
        <v>2.4</v>
      </c>
      <c r="F1385" s="201">
        <v>2</v>
      </c>
      <c r="G1385" s="201">
        <v>2</v>
      </c>
      <c r="H1385" s="201">
        <v>1</v>
      </c>
      <c r="I1385" s="201">
        <v>2</v>
      </c>
      <c r="J1385" s="201">
        <v>2</v>
      </c>
      <c r="K1385" s="201">
        <v>0</v>
      </c>
      <c r="L1385" s="201">
        <v>1</v>
      </c>
      <c r="M1385" s="330">
        <v>3</v>
      </c>
      <c r="N1385" s="202">
        <v>0.25000000000000006</v>
      </c>
    </row>
    <row r="1386" spans="1:14" ht="15.75" customHeight="1">
      <c r="A1386" s="198" t="s">
        <v>175</v>
      </c>
      <c r="B1386" s="199" t="s">
        <v>198</v>
      </c>
      <c r="C1386" s="199" t="s">
        <v>131</v>
      </c>
      <c r="D1386" s="200" t="s">
        <v>163</v>
      </c>
      <c r="E1386" s="215">
        <v>63.9</v>
      </c>
      <c r="F1386" s="201">
        <v>53</v>
      </c>
      <c r="G1386" s="201">
        <v>54</v>
      </c>
      <c r="H1386" s="201">
        <v>49</v>
      </c>
      <c r="I1386" s="201">
        <v>30</v>
      </c>
      <c r="J1386" s="201">
        <v>36</v>
      </c>
      <c r="K1386" s="201">
        <v>41</v>
      </c>
      <c r="L1386" s="201">
        <v>68</v>
      </c>
      <c r="M1386" s="330">
        <v>55</v>
      </c>
      <c r="N1386" s="202">
        <v>-0.13928012519561814</v>
      </c>
    </row>
    <row r="1387" spans="1:14" ht="15.75" customHeight="1">
      <c r="A1387" s="198" t="s">
        <v>175</v>
      </c>
      <c r="B1387" s="199" t="s">
        <v>198</v>
      </c>
      <c r="C1387" s="199" t="s">
        <v>131</v>
      </c>
      <c r="D1387" s="200" t="s">
        <v>164</v>
      </c>
      <c r="E1387" s="215">
        <v>61.5</v>
      </c>
      <c r="F1387" s="201">
        <v>51</v>
      </c>
      <c r="G1387" s="201">
        <v>52</v>
      </c>
      <c r="H1387" s="201">
        <v>48</v>
      </c>
      <c r="I1387" s="201">
        <v>28</v>
      </c>
      <c r="J1387" s="201">
        <v>34</v>
      </c>
      <c r="K1387" s="201">
        <v>41</v>
      </c>
      <c r="L1387" s="201">
        <v>67</v>
      </c>
      <c r="M1387" s="330">
        <v>52</v>
      </c>
      <c r="N1387" s="202">
        <v>-0.15447154471544716</v>
      </c>
    </row>
    <row r="1388" spans="1:14" ht="15.75" customHeight="1">
      <c r="A1388" s="198" t="s">
        <v>175</v>
      </c>
      <c r="B1388" s="199" t="s">
        <v>198</v>
      </c>
      <c r="C1388" s="199" t="s">
        <v>131</v>
      </c>
      <c r="D1388" s="200" t="s">
        <v>165</v>
      </c>
      <c r="E1388" s="215">
        <v>162.5</v>
      </c>
      <c r="F1388" s="201">
        <v>196</v>
      </c>
      <c r="G1388" s="201">
        <v>180</v>
      </c>
      <c r="H1388" s="201">
        <v>164</v>
      </c>
      <c r="I1388" s="201">
        <v>103</v>
      </c>
      <c r="J1388" s="201">
        <v>125</v>
      </c>
      <c r="K1388" s="201">
        <v>138</v>
      </c>
      <c r="L1388" s="201">
        <v>120</v>
      </c>
      <c r="M1388" s="330">
        <v>92</v>
      </c>
      <c r="N1388" s="202">
        <v>-0.43384615384615383</v>
      </c>
    </row>
    <row r="1389" spans="1:14" ht="15.75" customHeight="1">
      <c r="A1389" s="198" t="s">
        <v>175</v>
      </c>
      <c r="B1389" s="199" t="s">
        <v>198</v>
      </c>
      <c r="C1389" s="199" t="s">
        <v>131</v>
      </c>
      <c r="D1389" s="203" t="s">
        <v>91</v>
      </c>
      <c r="E1389" s="216">
        <v>226.5</v>
      </c>
      <c r="F1389" s="204">
        <v>249</v>
      </c>
      <c r="G1389" s="204">
        <v>234</v>
      </c>
      <c r="H1389" s="204">
        <v>213</v>
      </c>
      <c r="I1389" s="204">
        <v>133</v>
      </c>
      <c r="J1389" s="204">
        <v>161</v>
      </c>
      <c r="K1389" s="204">
        <v>179</v>
      </c>
      <c r="L1389" s="204">
        <v>188</v>
      </c>
      <c r="M1389" s="331">
        <v>147</v>
      </c>
      <c r="N1389" s="202">
        <v>-0.35099337748344372</v>
      </c>
    </row>
    <row r="1390" spans="1:14" ht="15.75" customHeight="1">
      <c r="A1390" s="198" t="s">
        <v>175</v>
      </c>
      <c r="B1390" s="199" t="s">
        <v>198</v>
      </c>
      <c r="C1390" s="199" t="s">
        <v>169</v>
      </c>
      <c r="D1390" s="200" t="s">
        <v>162</v>
      </c>
      <c r="E1390" s="215">
        <v>0</v>
      </c>
      <c r="F1390" s="201">
        <v>0</v>
      </c>
      <c r="G1390" s="201">
        <v>0</v>
      </c>
      <c r="H1390" s="201">
        <v>0</v>
      </c>
      <c r="I1390" s="201">
        <v>0</v>
      </c>
      <c r="J1390" s="201">
        <v>0</v>
      </c>
      <c r="K1390" s="201">
        <v>0</v>
      </c>
      <c r="L1390" s="201">
        <v>0</v>
      </c>
      <c r="M1390" s="330" t="s">
        <v>172</v>
      </c>
      <c r="N1390" s="202">
        <v>0</v>
      </c>
    </row>
    <row r="1391" spans="1:14" ht="15.75" customHeight="1">
      <c r="A1391" s="198" t="s">
        <v>175</v>
      </c>
      <c r="B1391" s="199" t="s">
        <v>198</v>
      </c>
      <c r="C1391" s="199" t="s">
        <v>169</v>
      </c>
      <c r="D1391" s="200" t="s">
        <v>163</v>
      </c>
      <c r="E1391" s="215">
        <v>0</v>
      </c>
      <c r="F1391" s="201">
        <v>0</v>
      </c>
      <c r="G1391" s="201">
        <v>2</v>
      </c>
      <c r="H1391" s="201">
        <v>1</v>
      </c>
      <c r="I1391" s="201">
        <v>1</v>
      </c>
      <c r="J1391" s="201">
        <v>0</v>
      </c>
      <c r="K1391" s="201">
        <v>0</v>
      </c>
      <c r="L1391" s="201">
        <v>1</v>
      </c>
      <c r="M1391" s="330">
        <v>1</v>
      </c>
      <c r="N1391" s="202">
        <v>0</v>
      </c>
    </row>
    <row r="1392" spans="1:14" ht="15.75" customHeight="1">
      <c r="A1392" s="198" t="s">
        <v>175</v>
      </c>
      <c r="B1392" s="199" t="s">
        <v>198</v>
      </c>
      <c r="C1392" s="199" t="s">
        <v>169</v>
      </c>
      <c r="D1392" s="200" t="s">
        <v>164</v>
      </c>
      <c r="E1392" s="215">
        <v>0</v>
      </c>
      <c r="F1392" s="201">
        <v>0</v>
      </c>
      <c r="G1392" s="201">
        <v>2</v>
      </c>
      <c r="H1392" s="201">
        <v>1</v>
      </c>
      <c r="I1392" s="201">
        <v>1</v>
      </c>
      <c r="J1392" s="201">
        <v>0</v>
      </c>
      <c r="K1392" s="201">
        <v>0</v>
      </c>
      <c r="L1392" s="201">
        <v>1</v>
      </c>
      <c r="M1392" s="330">
        <v>1</v>
      </c>
      <c r="N1392" s="202">
        <v>0</v>
      </c>
    </row>
    <row r="1393" spans="1:14" ht="15.75" customHeight="1">
      <c r="A1393" s="198" t="s">
        <v>175</v>
      </c>
      <c r="B1393" s="199" t="s">
        <v>198</v>
      </c>
      <c r="C1393" s="199" t="s">
        <v>169</v>
      </c>
      <c r="D1393" s="200" t="s">
        <v>165</v>
      </c>
      <c r="E1393" s="215">
        <v>0</v>
      </c>
      <c r="F1393" s="201">
        <v>22</v>
      </c>
      <c r="G1393" s="201">
        <v>24</v>
      </c>
      <c r="H1393" s="201">
        <v>11</v>
      </c>
      <c r="I1393" s="201">
        <v>10</v>
      </c>
      <c r="J1393" s="201">
        <v>6</v>
      </c>
      <c r="K1393" s="201">
        <v>3</v>
      </c>
      <c r="L1393" s="201">
        <v>7</v>
      </c>
      <c r="M1393" s="330">
        <v>6</v>
      </c>
      <c r="N1393" s="202">
        <v>0</v>
      </c>
    </row>
    <row r="1394" spans="1:14" ht="15.75" customHeight="1">
      <c r="A1394" s="198" t="s">
        <v>175</v>
      </c>
      <c r="B1394" s="199" t="s">
        <v>198</v>
      </c>
      <c r="C1394" s="199" t="s">
        <v>169</v>
      </c>
      <c r="D1394" s="203" t="s">
        <v>91</v>
      </c>
      <c r="E1394" s="216">
        <v>0</v>
      </c>
      <c r="F1394" s="204">
        <v>22</v>
      </c>
      <c r="G1394" s="204">
        <v>26</v>
      </c>
      <c r="H1394" s="204">
        <v>12</v>
      </c>
      <c r="I1394" s="204">
        <v>11</v>
      </c>
      <c r="J1394" s="204">
        <v>6</v>
      </c>
      <c r="K1394" s="204">
        <v>3</v>
      </c>
      <c r="L1394" s="204">
        <v>8</v>
      </c>
      <c r="M1394" s="331">
        <v>7</v>
      </c>
      <c r="N1394" s="202">
        <v>0</v>
      </c>
    </row>
    <row r="1395" spans="1:14" ht="15.75" customHeight="1">
      <c r="A1395" s="198" t="s">
        <v>175</v>
      </c>
      <c r="B1395" s="199" t="s">
        <v>198</v>
      </c>
      <c r="C1395" s="199" t="s">
        <v>139</v>
      </c>
      <c r="D1395" s="200" t="s">
        <v>162</v>
      </c>
      <c r="E1395" s="215">
        <v>0</v>
      </c>
      <c r="F1395" s="201">
        <v>0</v>
      </c>
      <c r="G1395" s="201">
        <v>0</v>
      </c>
      <c r="H1395" s="201">
        <v>0</v>
      </c>
      <c r="I1395" s="201">
        <v>0</v>
      </c>
      <c r="J1395" s="201">
        <v>0</v>
      </c>
      <c r="K1395" s="201">
        <v>0</v>
      </c>
      <c r="L1395" s="201">
        <v>0</v>
      </c>
      <c r="M1395" s="330" t="s">
        <v>172</v>
      </c>
      <c r="N1395" s="202">
        <v>0</v>
      </c>
    </row>
    <row r="1396" spans="1:14" ht="15.75" customHeight="1">
      <c r="A1396" s="198" t="s">
        <v>175</v>
      </c>
      <c r="B1396" s="199" t="s">
        <v>198</v>
      </c>
      <c r="C1396" s="199" t="s">
        <v>139</v>
      </c>
      <c r="D1396" s="200" t="s">
        <v>163</v>
      </c>
      <c r="E1396" s="215">
        <v>1.4</v>
      </c>
      <c r="F1396" s="201">
        <v>0</v>
      </c>
      <c r="G1396" s="201">
        <v>1</v>
      </c>
      <c r="H1396" s="201">
        <v>0</v>
      </c>
      <c r="I1396" s="201">
        <v>0</v>
      </c>
      <c r="J1396" s="201">
        <v>0</v>
      </c>
      <c r="K1396" s="201">
        <v>0</v>
      </c>
      <c r="L1396" s="201">
        <v>2</v>
      </c>
      <c r="M1396" s="330">
        <v>0</v>
      </c>
      <c r="N1396" s="202">
        <v>-1</v>
      </c>
    </row>
    <row r="1397" spans="1:14" ht="15.75" customHeight="1">
      <c r="A1397" s="198" t="s">
        <v>175</v>
      </c>
      <c r="B1397" s="199" t="s">
        <v>198</v>
      </c>
      <c r="C1397" s="199" t="s">
        <v>139</v>
      </c>
      <c r="D1397" s="200" t="s">
        <v>164</v>
      </c>
      <c r="E1397" s="215">
        <v>1.4</v>
      </c>
      <c r="F1397" s="201">
        <v>0</v>
      </c>
      <c r="G1397" s="201">
        <v>1</v>
      </c>
      <c r="H1397" s="201">
        <v>0</v>
      </c>
      <c r="I1397" s="201">
        <v>0</v>
      </c>
      <c r="J1397" s="201">
        <v>0</v>
      </c>
      <c r="K1397" s="201">
        <v>0</v>
      </c>
      <c r="L1397" s="201">
        <v>2</v>
      </c>
      <c r="M1397" s="330" t="s">
        <v>172</v>
      </c>
      <c r="N1397" s="202">
        <v>-1</v>
      </c>
    </row>
    <row r="1398" spans="1:14" ht="15.75" customHeight="1">
      <c r="A1398" s="198" t="s">
        <v>175</v>
      </c>
      <c r="B1398" s="199" t="s">
        <v>198</v>
      </c>
      <c r="C1398" s="199" t="s">
        <v>139</v>
      </c>
      <c r="D1398" s="200" t="s">
        <v>165</v>
      </c>
      <c r="E1398" s="215">
        <v>14.1</v>
      </c>
      <c r="F1398" s="201">
        <v>5</v>
      </c>
      <c r="G1398" s="201">
        <v>15</v>
      </c>
      <c r="H1398" s="201">
        <v>16</v>
      </c>
      <c r="I1398" s="201">
        <v>11</v>
      </c>
      <c r="J1398" s="201">
        <v>17</v>
      </c>
      <c r="K1398" s="201">
        <v>14</v>
      </c>
      <c r="L1398" s="201">
        <v>11</v>
      </c>
      <c r="M1398" s="330">
        <v>3</v>
      </c>
      <c r="N1398" s="202">
        <v>-0.78723404255319152</v>
      </c>
    </row>
    <row r="1399" spans="1:14" ht="15.75" customHeight="1">
      <c r="A1399" s="198" t="s">
        <v>175</v>
      </c>
      <c r="B1399" s="199" t="s">
        <v>198</v>
      </c>
      <c r="C1399" s="199" t="s">
        <v>139</v>
      </c>
      <c r="D1399" s="203" t="s">
        <v>91</v>
      </c>
      <c r="E1399" s="216">
        <v>15.5</v>
      </c>
      <c r="F1399" s="204">
        <v>5</v>
      </c>
      <c r="G1399" s="204">
        <v>16</v>
      </c>
      <c r="H1399" s="204">
        <v>16</v>
      </c>
      <c r="I1399" s="204">
        <v>11</v>
      </c>
      <c r="J1399" s="204">
        <v>17</v>
      </c>
      <c r="K1399" s="204">
        <v>14</v>
      </c>
      <c r="L1399" s="204">
        <v>13</v>
      </c>
      <c r="M1399" s="331">
        <v>3</v>
      </c>
      <c r="N1399" s="202">
        <v>-0.80645161290322576</v>
      </c>
    </row>
    <row r="1400" spans="1:14" ht="15.75" customHeight="1">
      <c r="A1400" s="198" t="s">
        <v>175</v>
      </c>
      <c r="B1400" s="199" t="s">
        <v>198</v>
      </c>
      <c r="C1400" s="205" t="s">
        <v>91</v>
      </c>
      <c r="D1400" s="203" t="s">
        <v>162</v>
      </c>
      <c r="E1400" s="216">
        <v>5.4</v>
      </c>
      <c r="F1400" s="204">
        <v>3</v>
      </c>
      <c r="G1400" s="204">
        <v>2</v>
      </c>
      <c r="H1400" s="204">
        <v>1</v>
      </c>
      <c r="I1400" s="204">
        <v>2</v>
      </c>
      <c r="J1400" s="204">
        <v>4</v>
      </c>
      <c r="K1400" s="204">
        <v>3</v>
      </c>
      <c r="L1400" s="204">
        <v>2</v>
      </c>
      <c r="M1400" s="331">
        <v>3</v>
      </c>
      <c r="N1400" s="202">
        <v>-0.44444444444444448</v>
      </c>
    </row>
    <row r="1401" spans="1:14" ht="15.75" customHeight="1">
      <c r="A1401" s="198" t="s">
        <v>159</v>
      </c>
      <c r="B1401" s="199" t="s">
        <v>201</v>
      </c>
      <c r="C1401" s="205" t="s">
        <v>91</v>
      </c>
      <c r="D1401" s="203" t="s">
        <v>163</v>
      </c>
      <c r="E1401" s="214">
        <v>118.9</v>
      </c>
      <c r="F1401" s="204">
        <v>92</v>
      </c>
      <c r="G1401" s="204">
        <v>103</v>
      </c>
      <c r="H1401" s="204">
        <v>94</v>
      </c>
      <c r="I1401" s="204">
        <v>82</v>
      </c>
      <c r="J1401" s="204">
        <v>80</v>
      </c>
      <c r="K1401" s="204">
        <v>72</v>
      </c>
      <c r="L1401" s="204">
        <v>63</v>
      </c>
      <c r="M1401" s="331">
        <v>72</v>
      </c>
      <c r="N1401" s="202">
        <v>-0.3944491169049622</v>
      </c>
    </row>
    <row r="1402" spans="1:14" ht="15.75" customHeight="1">
      <c r="A1402" s="198" t="s">
        <v>175</v>
      </c>
      <c r="B1402" s="199" t="s">
        <v>198</v>
      </c>
      <c r="C1402" s="205" t="s">
        <v>91</v>
      </c>
      <c r="D1402" s="203" t="s">
        <v>164</v>
      </c>
      <c r="E1402" s="216">
        <v>200.8</v>
      </c>
      <c r="F1402" s="204">
        <v>148</v>
      </c>
      <c r="G1402" s="204">
        <v>187</v>
      </c>
      <c r="H1402" s="204">
        <v>163</v>
      </c>
      <c r="I1402" s="204">
        <v>134</v>
      </c>
      <c r="J1402" s="204">
        <v>166</v>
      </c>
      <c r="K1402" s="204">
        <v>165</v>
      </c>
      <c r="L1402" s="204">
        <v>195</v>
      </c>
      <c r="M1402" s="331">
        <v>210</v>
      </c>
      <c r="N1402" s="202">
        <v>4.5816733067729022E-2</v>
      </c>
    </row>
    <row r="1403" spans="1:14" ht="15.75" customHeight="1">
      <c r="A1403" s="198" t="s">
        <v>175</v>
      </c>
      <c r="B1403" s="199" t="s">
        <v>198</v>
      </c>
      <c r="C1403" s="205" t="s">
        <v>91</v>
      </c>
      <c r="D1403" s="203" t="s">
        <v>165</v>
      </c>
      <c r="E1403" s="216">
        <v>981</v>
      </c>
      <c r="F1403" s="204">
        <v>1100</v>
      </c>
      <c r="G1403" s="204">
        <v>1100</v>
      </c>
      <c r="H1403" s="204">
        <v>1109</v>
      </c>
      <c r="I1403" s="204">
        <v>818</v>
      </c>
      <c r="J1403" s="204">
        <v>927</v>
      </c>
      <c r="K1403" s="204">
        <v>969</v>
      </c>
      <c r="L1403" s="204">
        <v>933</v>
      </c>
      <c r="M1403" s="331">
        <v>733</v>
      </c>
      <c r="N1403" s="202">
        <v>-0.25280326197757391</v>
      </c>
    </row>
    <row r="1404" spans="1:14" ht="15.75" customHeight="1">
      <c r="A1404" s="198" t="s">
        <v>175</v>
      </c>
      <c r="B1404" s="199" t="s">
        <v>198</v>
      </c>
      <c r="C1404" s="205" t="s">
        <v>91</v>
      </c>
      <c r="D1404" s="203" t="s">
        <v>91</v>
      </c>
      <c r="E1404" s="216">
        <v>1187.3</v>
      </c>
      <c r="F1404" s="204">
        <v>1251</v>
      </c>
      <c r="G1404" s="204">
        <v>1289</v>
      </c>
      <c r="H1404" s="204">
        <v>1273</v>
      </c>
      <c r="I1404" s="204">
        <v>954</v>
      </c>
      <c r="J1404" s="204">
        <v>1097</v>
      </c>
      <c r="K1404" s="204">
        <v>1137</v>
      </c>
      <c r="L1404" s="204">
        <v>1130</v>
      </c>
      <c r="M1404" s="331">
        <v>946</v>
      </c>
      <c r="N1404" s="202">
        <v>-0.20323422892276591</v>
      </c>
    </row>
    <row r="1405" spans="1:14" ht="15.75" customHeight="1">
      <c r="A1405" s="198" t="s">
        <v>159</v>
      </c>
      <c r="B1405" s="199" t="s">
        <v>199</v>
      </c>
      <c r="C1405" s="199" t="s">
        <v>161</v>
      </c>
      <c r="D1405" s="200" t="s">
        <v>162</v>
      </c>
      <c r="E1405" s="213">
        <v>0</v>
      </c>
      <c r="F1405" s="201">
        <v>0</v>
      </c>
      <c r="G1405" s="201">
        <v>0</v>
      </c>
      <c r="H1405" s="201">
        <v>0</v>
      </c>
      <c r="I1405" s="201">
        <v>0</v>
      </c>
      <c r="J1405" s="201">
        <v>0</v>
      </c>
      <c r="K1405" s="201">
        <v>0</v>
      </c>
      <c r="L1405" s="201">
        <v>0</v>
      </c>
      <c r="M1405" s="330" t="s">
        <v>172</v>
      </c>
      <c r="N1405" s="202">
        <v>0</v>
      </c>
    </row>
    <row r="1406" spans="1:14">
      <c r="A1406" s="198" t="s">
        <v>159</v>
      </c>
      <c r="B1406" s="199" t="s">
        <v>199</v>
      </c>
      <c r="C1406" s="199" t="s">
        <v>161</v>
      </c>
      <c r="D1406" s="200" t="s">
        <v>163</v>
      </c>
      <c r="E1406" s="213">
        <v>2.2999999999999998</v>
      </c>
      <c r="F1406" s="201">
        <v>3</v>
      </c>
      <c r="G1406" s="201">
        <v>2</v>
      </c>
      <c r="H1406" s="201">
        <v>0</v>
      </c>
      <c r="I1406" s="201">
        <v>0</v>
      </c>
      <c r="J1406" s="201">
        <v>2</v>
      </c>
      <c r="K1406" s="201">
        <v>4</v>
      </c>
      <c r="L1406" s="201">
        <v>3</v>
      </c>
      <c r="M1406" s="330">
        <v>2</v>
      </c>
      <c r="N1406" s="202">
        <v>-0.13043478260869559</v>
      </c>
    </row>
    <row r="1407" spans="1:14" ht="15.75" customHeight="1">
      <c r="A1407" s="198" t="s">
        <v>159</v>
      </c>
      <c r="B1407" s="199" t="s">
        <v>199</v>
      </c>
      <c r="C1407" s="199" t="s">
        <v>161</v>
      </c>
      <c r="D1407" s="200" t="s">
        <v>164</v>
      </c>
      <c r="E1407" s="213">
        <v>2.2999999999999998</v>
      </c>
      <c r="F1407" s="201">
        <v>3</v>
      </c>
      <c r="G1407" s="201">
        <v>2</v>
      </c>
      <c r="H1407" s="201">
        <v>0</v>
      </c>
      <c r="I1407" s="201">
        <v>0</v>
      </c>
      <c r="J1407" s="201">
        <v>2</v>
      </c>
      <c r="K1407" s="201">
        <v>4</v>
      </c>
      <c r="L1407" s="201">
        <v>3</v>
      </c>
      <c r="M1407" s="330">
        <v>2</v>
      </c>
      <c r="N1407" s="202">
        <v>-0.13043478260869559</v>
      </c>
    </row>
    <row r="1408" spans="1:14" ht="15.75" customHeight="1">
      <c r="A1408" s="198" t="s">
        <v>159</v>
      </c>
      <c r="B1408" s="199" t="s">
        <v>199</v>
      </c>
      <c r="C1408" s="199" t="s">
        <v>161</v>
      </c>
      <c r="D1408" s="200" t="s">
        <v>165</v>
      </c>
      <c r="E1408" s="213">
        <v>20.8</v>
      </c>
      <c r="F1408" s="201">
        <v>16</v>
      </c>
      <c r="G1408" s="201">
        <v>17</v>
      </c>
      <c r="H1408" s="201">
        <v>16</v>
      </c>
      <c r="I1408" s="201">
        <v>7</v>
      </c>
      <c r="J1408" s="201">
        <v>25</v>
      </c>
      <c r="K1408" s="201">
        <v>10</v>
      </c>
      <c r="L1408" s="201">
        <v>11</v>
      </c>
      <c r="M1408" s="330">
        <v>22</v>
      </c>
      <c r="N1408" s="202">
        <v>5.7692307692307654E-2</v>
      </c>
    </row>
    <row r="1409" spans="1:14" ht="15.75" customHeight="1">
      <c r="A1409" s="198" t="s">
        <v>159</v>
      </c>
      <c r="B1409" s="199" t="s">
        <v>199</v>
      </c>
      <c r="C1409" s="199" t="s">
        <v>161</v>
      </c>
      <c r="D1409" s="203" t="s">
        <v>91</v>
      </c>
      <c r="E1409" s="214">
        <v>23.2</v>
      </c>
      <c r="F1409" s="204">
        <v>19</v>
      </c>
      <c r="G1409" s="204">
        <v>19</v>
      </c>
      <c r="H1409" s="204">
        <v>16</v>
      </c>
      <c r="I1409" s="204">
        <v>7</v>
      </c>
      <c r="J1409" s="204">
        <v>27</v>
      </c>
      <c r="K1409" s="204">
        <v>14</v>
      </c>
      <c r="L1409" s="204">
        <v>14</v>
      </c>
      <c r="M1409" s="331">
        <v>24</v>
      </c>
      <c r="N1409" s="202">
        <v>3.4482758620689689E-2</v>
      </c>
    </row>
    <row r="1410" spans="1:14" ht="15.75" customHeight="1">
      <c r="A1410" s="198" t="s">
        <v>159</v>
      </c>
      <c r="B1410" s="199" t="s">
        <v>199</v>
      </c>
      <c r="C1410" s="199" t="s">
        <v>134</v>
      </c>
      <c r="D1410" s="200" t="s">
        <v>162</v>
      </c>
      <c r="E1410" s="213">
        <v>0.4</v>
      </c>
      <c r="F1410" s="201">
        <v>0</v>
      </c>
      <c r="G1410" s="201">
        <v>1</v>
      </c>
      <c r="H1410" s="201">
        <v>1</v>
      </c>
      <c r="I1410" s="201">
        <v>0</v>
      </c>
      <c r="J1410" s="201">
        <v>1</v>
      </c>
      <c r="K1410" s="201">
        <v>0</v>
      </c>
      <c r="L1410" s="201">
        <v>0</v>
      </c>
      <c r="M1410" s="330" t="s">
        <v>172</v>
      </c>
      <c r="N1410" s="202">
        <v>-1</v>
      </c>
    </row>
    <row r="1411" spans="1:14">
      <c r="A1411" s="198" t="s">
        <v>159</v>
      </c>
      <c r="B1411" s="199" t="s">
        <v>199</v>
      </c>
      <c r="C1411" s="199" t="s">
        <v>134</v>
      </c>
      <c r="D1411" s="200" t="s">
        <v>163</v>
      </c>
      <c r="E1411" s="213">
        <v>22.3</v>
      </c>
      <c r="F1411" s="201">
        <v>16</v>
      </c>
      <c r="G1411" s="201">
        <v>25</v>
      </c>
      <c r="H1411" s="201">
        <v>13</v>
      </c>
      <c r="I1411" s="201">
        <v>8</v>
      </c>
      <c r="J1411" s="201">
        <v>14</v>
      </c>
      <c r="K1411" s="201">
        <v>16</v>
      </c>
      <c r="L1411" s="201">
        <v>23</v>
      </c>
      <c r="M1411" s="330">
        <v>12</v>
      </c>
      <c r="N1411" s="202">
        <v>-0.46188340807174888</v>
      </c>
    </row>
    <row r="1412" spans="1:14" ht="15.75" customHeight="1">
      <c r="A1412" s="198" t="s">
        <v>159</v>
      </c>
      <c r="B1412" s="199" t="s">
        <v>199</v>
      </c>
      <c r="C1412" s="199" t="s">
        <v>134</v>
      </c>
      <c r="D1412" s="200" t="s">
        <v>164</v>
      </c>
      <c r="E1412" s="213">
        <v>21.9</v>
      </c>
      <c r="F1412" s="201">
        <v>16</v>
      </c>
      <c r="G1412" s="201">
        <v>24</v>
      </c>
      <c r="H1412" s="201">
        <v>12</v>
      </c>
      <c r="I1412" s="201">
        <v>8</v>
      </c>
      <c r="J1412" s="201">
        <v>13</v>
      </c>
      <c r="K1412" s="201">
        <v>16</v>
      </c>
      <c r="L1412" s="201">
        <v>23</v>
      </c>
      <c r="M1412" s="330">
        <v>12</v>
      </c>
      <c r="N1412" s="202">
        <v>-0.45205479452054792</v>
      </c>
    </row>
    <row r="1413" spans="1:14" ht="15.75" customHeight="1">
      <c r="A1413" s="198" t="s">
        <v>159</v>
      </c>
      <c r="B1413" s="199" t="s">
        <v>199</v>
      </c>
      <c r="C1413" s="199" t="s">
        <v>134</v>
      </c>
      <c r="D1413" s="200" t="s">
        <v>165</v>
      </c>
      <c r="E1413" s="213">
        <v>255.6</v>
      </c>
      <c r="F1413" s="201">
        <v>248</v>
      </c>
      <c r="G1413" s="201">
        <v>263</v>
      </c>
      <c r="H1413" s="201">
        <v>250</v>
      </c>
      <c r="I1413" s="201">
        <v>172</v>
      </c>
      <c r="J1413" s="201">
        <v>174</v>
      </c>
      <c r="K1413" s="201">
        <v>228</v>
      </c>
      <c r="L1413" s="201">
        <v>148</v>
      </c>
      <c r="M1413" s="330">
        <v>175</v>
      </c>
      <c r="N1413" s="202">
        <v>-0.31533646322378717</v>
      </c>
    </row>
    <row r="1414" spans="1:14" ht="15.75" customHeight="1">
      <c r="A1414" s="198" t="s">
        <v>159</v>
      </c>
      <c r="B1414" s="199" t="s">
        <v>199</v>
      </c>
      <c r="C1414" s="199" t="s">
        <v>134</v>
      </c>
      <c r="D1414" s="203" t="s">
        <v>91</v>
      </c>
      <c r="E1414" s="214">
        <v>277.89999999999998</v>
      </c>
      <c r="F1414" s="204">
        <v>264</v>
      </c>
      <c r="G1414" s="204">
        <v>288</v>
      </c>
      <c r="H1414" s="204">
        <v>263</v>
      </c>
      <c r="I1414" s="204">
        <v>180</v>
      </c>
      <c r="J1414" s="204">
        <v>188</v>
      </c>
      <c r="K1414" s="204">
        <v>244</v>
      </c>
      <c r="L1414" s="204">
        <v>171</v>
      </c>
      <c r="M1414" s="331">
        <v>187</v>
      </c>
      <c r="N1414" s="202">
        <v>-0.32709607772580057</v>
      </c>
    </row>
    <row r="1415" spans="1:14" ht="15.75" customHeight="1">
      <c r="A1415" s="198" t="s">
        <v>159</v>
      </c>
      <c r="B1415" s="199" t="s">
        <v>199</v>
      </c>
      <c r="C1415" s="199" t="s">
        <v>166</v>
      </c>
      <c r="D1415" s="200" t="s">
        <v>162</v>
      </c>
      <c r="E1415" s="213">
        <v>0</v>
      </c>
      <c r="F1415" s="201">
        <v>0</v>
      </c>
      <c r="G1415" s="201">
        <v>0</v>
      </c>
      <c r="H1415" s="201">
        <v>0</v>
      </c>
      <c r="I1415" s="201">
        <v>0</v>
      </c>
      <c r="J1415" s="201">
        <v>0</v>
      </c>
      <c r="K1415" s="201">
        <v>0</v>
      </c>
      <c r="L1415" s="201">
        <v>0</v>
      </c>
      <c r="M1415" s="330" t="s">
        <v>172</v>
      </c>
      <c r="N1415" s="202">
        <v>0</v>
      </c>
    </row>
    <row r="1416" spans="1:14">
      <c r="A1416" s="198" t="s">
        <v>159</v>
      </c>
      <c r="B1416" s="199" t="s">
        <v>199</v>
      </c>
      <c r="C1416" s="199" t="s">
        <v>166</v>
      </c>
      <c r="D1416" s="200" t="s">
        <v>163</v>
      </c>
      <c r="E1416" s="213">
        <v>1</v>
      </c>
      <c r="F1416" s="201">
        <v>0</v>
      </c>
      <c r="G1416" s="201">
        <v>0</v>
      </c>
      <c r="H1416" s="201">
        <v>1</v>
      </c>
      <c r="I1416" s="201">
        <v>1</v>
      </c>
      <c r="J1416" s="201">
        <v>1</v>
      </c>
      <c r="K1416" s="201">
        <v>1</v>
      </c>
      <c r="L1416" s="201">
        <v>2</v>
      </c>
      <c r="M1416" s="330">
        <v>2</v>
      </c>
      <c r="N1416" s="202">
        <v>1</v>
      </c>
    </row>
    <row r="1417" spans="1:14" ht="15.75" customHeight="1">
      <c r="A1417" s="198" t="s">
        <v>159</v>
      </c>
      <c r="B1417" s="199" t="s">
        <v>199</v>
      </c>
      <c r="C1417" s="199" t="s">
        <v>166</v>
      </c>
      <c r="D1417" s="200" t="s">
        <v>164</v>
      </c>
      <c r="E1417" s="213">
        <v>1</v>
      </c>
      <c r="F1417" s="201">
        <v>0</v>
      </c>
      <c r="G1417" s="201">
        <v>0</v>
      </c>
      <c r="H1417" s="201">
        <v>1</v>
      </c>
      <c r="I1417" s="201">
        <v>1</v>
      </c>
      <c r="J1417" s="201">
        <v>1</v>
      </c>
      <c r="K1417" s="201">
        <v>1</v>
      </c>
      <c r="L1417" s="201">
        <v>2</v>
      </c>
      <c r="M1417" s="330">
        <v>2</v>
      </c>
      <c r="N1417" s="202">
        <v>1</v>
      </c>
    </row>
    <row r="1418" spans="1:14" ht="15.75" customHeight="1">
      <c r="A1418" s="198" t="s">
        <v>159</v>
      </c>
      <c r="B1418" s="199" t="s">
        <v>199</v>
      </c>
      <c r="C1418" s="199" t="s">
        <v>166</v>
      </c>
      <c r="D1418" s="200" t="s">
        <v>165</v>
      </c>
      <c r="E1418" s="213">
        <v>11</v>
      </c>
      <c r="F1418" s="201">
        <v>8</v>
      </c>
      <c r="G1418" s="201">
        <v>15</v>
      </c>
      <c r="H1418" s="201">
        <v>17</v>
      </c>
      <c r="I1418" s="201">
        <v>17</v>
      </c>
      <c r="J1418" s="201">
        <v>6</v>
      </c>
      <c r="K1418" s="201">
        <v>10</v>
      </c>
      <c r="L1418" s="201">
        <v>12</v>
      </c>
      <c r="M1418" s="330">
        <v>9</v>
      </c>
      <c r="N1418" s="202">
        <v>-0.18181818181818182</v>
      </c>
    </row>
    <row r="1419" spans="1:14" ht="15.75" customHeight="1">
      <c r="A1419" s="198" t="s">
        <v>159</v>
      </c>
      <c r="B1419" s="199" t="s">
        <v>199</v>
      </c>
      <c r="C1419" s="199" t="s">
        <v>166</v>
      </c>
      <c r="D1419" s="203" t="s">
        <v>91</v>
      </c>
      <c r="E1419" s="214">
        <v>12</v>
      </c>
      <c r="F1419" s="204">
        <v>8</v>
      </c>
      <c r="G1419" s="204">
        <v>15</v>
      </c>
      <c r="H1419" s="204">
        <v>18</v>
      </c>
      <c r="I1419" s="204">
        <v>18</v>
      </c>
      <c r="J1419" s="204">
        <v>7</v>
      </c>
      <c r="K1419" s="204">
        <v>11</v>
      </c>
      <c r="L1419" s="204">
        <v>14</v>
      </c>
      <c r="M1419" s="331">
        <v>11</v>
      </c>
      <c r="N1419" s="202">
        <v>-8.3333333333333329E-2</v>
      </c>
    </row>
    <row r="1420" spans="1:14" ht="15.75" customHeight="1">
      <c r="A1420" s="198" t="s">
        <v>159</v>
      </c>
      <c r="B1420" s="199" t="s">
        <v>199</v>
      </c>
      <c r="C1420" s="199" t="s">
        <v>133</v>
      </c>
      <c r="D1420" s="200" t="s">
        <v>162</v>
      </c>
      <c r="E1420" s="213">
        <v>0.2</v>
      </c>
      <c r="F1420" s="201">
        <v>0</v>
      </c>
      <c r="G1420" s="201">
        <v>1</v>
      </c>
      <c r="H1420" s="201">
        <v>0</v>
      </c>
      <c r="I1420" s="201">
        <v>3</v>
      </c>
      <c r="J1420" s="201">
        <v>0</v>
      </c>
      <c r="K1420" s="201">
        <v>0</v>
      </c>
      <c r="L1420" s="201">
        <v>1</v>
      </c>
      <c r="M1420" s="330">
        <v>1</v>
      </c>
      <c r="N1420" s="202">
        <v>4</v>
      </c>
    </row>
    <row r="1421" spans="1:14">
      <c r="A1421" s="198" t="s">
        <v>159</v>
      </c>
      <c r="B1421" s="199" t="s">
        <v>199</v>
      </c>
      <c r="C1421" s="199" t="s">
        <v>133</v>
      </c>
      <c r="D1421" s="200" t="s">
        <v>163</v>
      </c>
      <c r="E1421" s="213">
        <v>17.8</v>
      </c>
      <c r="F1421" s="201">
        <v>15</v>
      </c>
      <c r="G1421" s="201">
        <v>18</v>
      </c>
      <c r="H1421" s="201">
        <v>22</v>
      </c>
      <c r="I1421" s="201">
        <v>20</v>
      </c>
      <c r="J1421" s="201">
        <v>16</v>
      </c>
      <c r="K1421" s="201">
        <v>16</v>
      </c>
      <c r="L1421" s="201">
        <v>17</v>
      </c>
      <c r="M1421" s="330">
        <v>14</v>
      </c>
      <c r="N1421" s="202">
        <v>-0.21348314606741575</v>
      </c>
    </row>
    <row r="1422" spans="1:14" ht="15.75" customHeight="1">
      <c r="A1422" s="198" t="s">
        <v>159</v>
      </c>
      <c r="B1422" s="199" t="s">
        <v>199</v>
      </c>
      <c r="C1422" s="199" t="s">
        <v>133</v>
      </c>
      <c r="D1422" s="200" t="s">
        <v>164</v>
      </c>
      <c r="E1422" s="213">
        <v>17.600000000000001</v>
      </c>
      <c r="F1422" s="201">
        <v>15</v>
      </c>
      <c r="G1422" s="201">
        <v>17</v>
      </c>
      <c r="H1422" s="201">
        <v>22</v>
      </c>
      <c r="I1422" s="201">
        <v>17</v>
      </c>
      <c r="J1422" s="201">
        <v>16</v>
      </c>
      <c r="K1422" s="201">
        <v>16</v>
      </c>
      <c r="L1422" s="201">
        <v>16</v>
      </c>
      <c r="M1422" s="330">
        <v>13</v>
      </c>
      <c r="N1422" s="202">
        <v>-0.26136363636363641</v>
      </c>
    </row>
    <row r="1423" spans="1:14" ht="15.75" customHeight="1">
      <c r="A1423" s="198" t="s">
        <v>159</v>
      </c>
      <c r="B1423" s="199" t="s">
        <v>199</v>
      </c>
      <c r="C1423" s="199" t="s">
        <v>133</v>
      </c>
      <c r="D1423" s="200" t="s">
        <v>165</v>
      </c>
      <c r="E1423" s="213">
        <v>58.7</v>
      </c>
      <c r="F1423" s="201">
        <v>56</v>
      </c>
      <c r="G1423" s="201">
        <v>48</v>
      </c>
      <c r="H1423" s="201">
        <v>62</v>
      </c>
      <c r="I1423" s="201">
        <v>51</v>
      </c>
      <c r="J1423" s="201">
        <v>83</v>
      </c>
      <c r="K1423" s="201">
        <v>67</v>
      </c>
      <c r="L1423" s="201">
        <v>90</v>
      </c>
      <c r="M1423" s="330">
        <v>73</v>
      </c>
      <c r="N1423" s="202">
        <v>0.24361158432708682</v>
      </c>
    </row>
    <row r="1424" spans="1:14" ht="15.75" customHeight="1">
      <c r="A1424" s="198" t="s">
        <v>159</v>
      </c>
      <c r="B1424" s="199" t="s">
        <v>199</v>
      </c>
      <c r="C1424" s="199" t="s">
        <v>133</v>
      </c>
      <c r="D1424" s="203" t="s">
        <v>91</v>
      </c>
      <c r="E1424" s="214">
        <v>76.5</v>
      </c>
      <c r="F1424" s="204">
        <v>71</v>
      </c>
      <c r="G1424" s="204">
        <v>66</v>
      </c>
      <c r="H1424" s="204">
        <v>84</v>
      </c>
      <c r="I1424" s="204">
        <v>71</v>
      </c>
      <c r="J1424" s="204">
        <v>99</v>
      </c>
      <c r="K1424" s="204">
        <v>83</v>
      </c>
      <c r="L1424" s="204">
        <v>107</v>
      </c>
      <c r="M1424" s="331">
        <v>87</v>
      </c>
      <c r="N1424" s="202">
        <v>0.13725490196078433</v>
      </c>
    </row>
    <row r="1425" spans="1:14" ht="15.75" customHeight="1">
      <c r="A1425" s="198" t="s">
        <v>159</v>
      </c>
      <c r="B1425" s="199" t="s">
        <v>199</v>
      </c>
      <c r="C1425" s="199" t="s">
        <v>167</v>
      </c>
      <c r="D1425" s="200" t="s">
        <v>162</v>
      </c>
      <c r="E1425" s="213">
        <v>0</v>
      </c>
      <c r="F1425" s="201">
        <v>0</v>
      </c>
      <c r="G1425" s="201">
        <v>0</v>
      </c>
      <c r="H1425" s="201">
        <v>0</v>
      </c>
      <c r="I1425" s="201">
        <v>0</v>
      </c>
      <c r="J1425" s="201">
        <v>0</v>
      </c>
      <c r="K1425" s="201">
        <v>0</v>
      </c>
      <c r="L1425" s="201">
        <v>0</v>
      </c>
      <c r="M1425" s="330" t="s">
        <v>172</v>
      </c>
      <c r="N1425" s="202">
        <v>0</v>
      </c>
    </row>
    <row r="1426" spans="1:14" ht="15.75" customHeight="1">
      <c r="A1426" s="198" t="s">
        <v>159</v>
      </c>
      <c r="B1426" s="199" t="s">
        <v>199</v>
      </c>
      <c r="C1426" s="199" t="s">
        <v>167</v>
      </c>
      <c r="D1426" s="200" t="s">
        <v>163</v>
      </c>
      <c r="E1426" s="213">
        <v>0.6</v>
      </c>
      <c r="F1426" s="201">
        <v>0</v>
      </c>
      <c r="G1426" s="201">
        <v>0</v>
      </c>
      <c r="H1426" s="201">
        <v>0</v>
      </c>
      <c r="I1426" s="201">
        <v>0</v>
      </c>
      <c r="J1426" s="201">
        <v>0</v>
      </c>
      <c r="K1426" s="201">
        <v>0</v>
      </c>
      <c r="L1426" s="201">
        <v>1</v>
      </c>
      <c r="M1426" s="330">
        <v>3</v>
      </c>
      <c r="N1426" s="202">
        <v>4</v>
      </c>
    </row>
    <row r="1427" spans="1:14" ht="15.75" customHeight="1">
      <c r="A1427" s="198" t="s">
        <v>159</v>
      </c>
      <c r="B1427" s="199" t="s">
        <v>199</v>
      </c>
      <c r="C1427" s="199" t="s">
        <v>167</v>
      </c>
      <c r="D1427" s="200" t="s">
        <v>164</v>
      </c>
      <c r="E1427" s="213">
        <v>0.6</v>
      </c>
      <c r="F1427" s="201">
        <v>0</v>
      </c>
      <c r="G1427" s="201">
        <v>0</v>
      </c>
      <c r="H1427" s="201">
        <v>0</v>
      </c>
      <c r="I1427" s="201">
        <v>0</v>
      </c>
      <c r="J1427" s="201">
        <v>0</v>
      </c>
      <c r="K1427" s="201">
        <v>0</v>
      </c>
      <c r="L1427" s="201">
        <v>1</v>
      </c>
      <c r="M1427" s="330">
        <v>3</v>
      </c>
      <c r="N1427" s="202">
        <v>4</v>
      </c>
    </row>
    <row r="1428" spans="1:14" ht="15.75" customHeight="1">
      <c r="A1428" s="198" t="s">
        <v>159</v>
      </c>
      <c r="B1428" s="199" t="s">
        <v>199</v>
      </c>
      <c r="C1428" s="199" t="s">
        <v>167</v>
      </c>
      <c r="D1428" s="200" t="s">
        <v>165</v>
      </c>
      <c r="E1428" s="213">
        <v>3.8</v>
      </c>
      <c r="F1428" s="201">
        <v>1</v>
      </c>
      <c r="G1428" s="201">
        <v>1</v>
      </c>
      <c r="H1428" s="201">
        <v>0</v>
      </c>
      <c r="I1428" s="201">
        <v>3</v>
      </c>
      <c r="J1428" s="201">
        <v>4</v>
      </c>
      <c r="K1428" s="201">
        <v>7</v>
      </c>
      <c r="L1428" s="201">
        <v>0</v>
      </c>
      <c r="M1428" s="330">
        <v>3</v>
      </c>
      <c r="N1428" s="202">
        <v>-0.21052631578947364</v>
      </c>
    </row>
    <row r="1429" spans="1:14" ht="15.75" customHeight="1">
      <c r="A1429" s="198" t="s">
        <v>159</v>
      </c>
      <c r="B1429" s="199" t="s">
        <v>199</v>
      </c>
      <c r="C1429" s="199" t="s">
        <v>167</v>
      </c>
      <c r="D1429" s="203" t="s">
        <v>91</v>
      </c>
      <c r="E1429" s="214">
        <v>4.4000000000000004</v>
      </c>
      <c r="F1429" s="204">
        <v>1</v>
      </c>
      <c r="G1429" s="204">
        <v>1</v>
      </c>
      <c r="H1429" s="204">
        <v>0</v>
      </c>
      <c r="I1429" s="204">
        <v>3</v>
      </c>
      <c r="J1429" s="204">
        <v>4</v>
      </c>
      <c r="K1429" s="204">
        <v>7</v>
      </c>
      <c r="L1429" s="204">
        <v>1</v>
      </c>
      <c r="M1429" s="331">
        <v>6</v>
      </c>
      <c r="N1429" s="202">
        <v>0.36363636363636354</v>
      </c>
    </row>
    <row r="1430" spans="1:14" ht="15.75" customHeight="1">
      <c r="A1430" s="198" t="s">
        <v>159</v>
      </c>
      <c r="B1430" s="199" t="s">
        <v>199</v>
      </c>
      <c r="C1430" s="199" t="s">
        <v>168</v>
      </c>
      <c r="D1430" s="200" t="s">
        <v>162</v>
      </c>
      <c r="E1430" s="213">
        <v>0.2</v>
      </c>
      <c r="F1430" s="201">
        <v>0</v>
      </c>
      <c r="G1430" s="201">
        <v>0</v>
      </c>
      <c r="H1430" s="201">
        <v>0</v>
      </c>
      <c r="I1430" s="201">
        <v>1</v>
      </c>
      <c r="J1430" s="201">
        <v>0</v>
      </c>
      <c r="K1430" s="201">
        <v>0</v>
      </c>
      <c r="L1430" s="201">
        <v>0</v>
      </c>
      <c r="M1430" s="330" t="s">
        <v>172</v>
      </c>
      <c r="N1430" s="202">
        <v>-1</v>
      </c>
    </row>
    <row r="1431" spans="1:14" ht="15.75" customHeight="1">
      <c r="A1431" s="198" t="s">
        <v>159</v>
      </c>
      <c r="B1431" s="199" t="s">
        <v>199</v>
      </c>
      <c r="C1431" s="199" t="s">
        <v>168</v>
      </c>
      <c r="D1431" s="200" t="s">
        <v>163</v>
      </c>
      <c r="E1431" s="213">
        <v>8.9</v>
      </c>
      <c r="F1431" s="201">
        <v>1</v>
      </c>
      <c r="G1431" s="201">
        <v>6</v>
      </c>
      <c r="H1431" s="201">
        <v>7</v>
      </c>
      <c r="I1431" s="201">
        <v>8</v>
      </c>
      <c r="J1431" s="201">
        <v>15</v>
      </c>
      <c r="K1431" s="201">
        <v>10</v>
      </c>
      <c r="L1431" s="201">
        <v>9</v>
      </c>
      <c r="M1431" s="330">
        <v>12</v>
      </c>
      <c r="N1431" s="202">
        <v>0.348314606741573</v>
      </c>
    </row>
    <row r="1432" spans="1:14" ht="15.75" customHeight="1">
      <c r="A1432" s="198" t="s">
        <v>159</v>
      </c>
      <c r="B1432" s="199" t="s">
        <v>199</v>
      </c>
      <c r="C1432" s="199" t="s">
        <v>168</v>
      </c>
      <c r="D1432" s="200" t="s">
        <v>164</v>
      </c>
      <c r="E1432" s="213">
        <v>8.6999999999999993</v>
      </c>
      <c r="F1432" s="201">
        <v>1</v>
      </c>
      <c r="G1432" s="201">
        <v>6</v>
      </c>
      <c r="H1432" s="201">
        <v>7</v>
      </c>
      <c r="I1432" s="201">
        <v>7</v>
      </c>
      <c r="J1432" s="201">
        <v>15</v>
      </c>
      <c r="K1432" s="201">
        <v>10</v>
      </c>
      <c r="L1432" s="201">
        <v>9</v>
      </c>
      <c r="M1432" s="330">
        <v>12</v>
      </c>
      <c r="N1432" s="202">
        <v>0.3793103448275863</v>
      </c>
    </row>
    <row r="1433" spans="1:14" ht="15.75" customHeight="1">
      <c r="A1433" s="198" t="s">
        <v>159</v>
      </c>
      <c r="B1433" s="199" t="s">
        <v>199</v>
      </c>
      <c r="C1433" s="199" t="s">
        <v>168</v>
      </c>
      <c r="D1433" s="200" t="s">
        <v>165</v>
      </c>
      <c r="E1433" s="213">
        <v>40</v>
      </c>
      <c r="F1433" s="201">
        <v>43</v>
      </c>
      <c r="G1433" s="201">
        <v>31</v>
      </c>
      <c r="H1433" s="201">
        <v>48</v>
      </c>
      <c r="I1433" s="201">
        <v>30</v>
      </c>
      <c r="J1433" s="201">
        <v>31</v>
      </c>
      <c r="K1433" s="201">
        <v>26</v>
      </c>
      <c r="L1433" s="201">
        <v>34</v>
      </c>
      <c r="M1433" s="330">
        <v>42</v>
      </c>
      <c r="N1433" s="202">
        <v>0.05</v>
      </c>
    </row>
    <row r="1434" spans="1:14" ht="15.75" customHeight="1">
      <c r="A1434" s="198" t="s">
        <v>159</v>
      </c>
      <c r="B1434" s="199" t="s">
        <v>199</v>
      </c>
      <c r="C1434" s="199" t="s">
        <v>168</v>
      </c>
      <c r="D1434" s="203" t="s">
        <v>91</v>
      </c>
      <c r="E1434" s="214">
        <v>48.9</v>
      </c>
      <c r="F1434" s="204">
        <v>44</v>
      </c>
      <c r="G1434" s="204">
        <v>37</v>
      </c>
      <c r="H1434" s="204">
        <v>55</v>
      </c>
      <c r="I1434" s="204">
        <v>38</v>
      </c>
      <c r="J1434" s="204">
        <v>46</v>
      </c>
      <c r="K1434" s="204">
        <v>36</v>
      </c>
      <c r="L1434" s="204">
        <v>43</v>
      </c>
      <c r="M1434" s="331">
        <v>54</v>
      </c>
      <c r="N1434" s="202">
        <v>0.1042944785276074</v>
      </c>
    </row>
    <row r="1435" spans="1:14" ht="15.75" customHeight="1">
      <c r="A1435" s="198" t="s">
        <v>159</v>
      </c>
      <c r="B1435" s="199" t="s">
        <v>199</v>
      </c>
      <c r="C1435" s="199" t="s">
        <v>131</v>
      </c>
      <c r="D1435" s="200" t="s">
        <v>162</v>
      </c>
      <c r="E1435" s="213">
        <v>2</v>
      </c>
      <c r="F1435" s="201">
        <v>1</v>
      </c>
      <c r="G1435" s="201">
        <v>1</v>
      </c>
      <c r="H1435" s="201">
        <v>2</v>
      </c>
      <c r="I1435" s="201">
        <v>2</v>
      </c>
      <c r="J1435" s="201">
        <v>0</v>
      </c>
      <c r="K1435" s="201">
        <v>1</v>
      </c>
      <c r="L1435" s="201">
        <v>1</v>
      </c>
      <c r="M1435" s="330">
        <v>1</v>
      </c>
      <c r="N1435" s="202">
        <v>-0.5</v>
      </c>
    </row>
    <row r="1436" spans="1:14" ht="15.75" customHeight="1">
      <c r="A1436" s="198" t="s">
        <v>159</v>
      </c>
      <c r="B1436" s="199" t="s">
        <v>199</v>
      </c>
      <c r="C1436" s="199" t="s">
        <v>131</v>
      </c>
      <c r="D1436" s="200" t="s">
        <v>163</v>
      </c>
      <c r="E1436" s="213">
        <v>20</v>
      </c>
      <c r="F1436" s="201">
        <v>25</v>
      </c>
      <c r="G1436" s="201">
        <v>19</v>
      </c>
      <c r="H1436" s="201">
        <v>25</v>
      </c>
      <c r="I1436" s="201">
        <v>22</v>
      </c>
      <c r="J1436" s="201">
        <v>17</v>
      </c>
      <c r="K1436" s="201">
        <v>24</v>
      </c>
      <c r="L1436" s="201">
        <v>17</v>
      </c>
      <c r="M1436" s="330">
        <v>27</v>
      </c>
      <c r="N1436" s="202">
        <v>0.35</v>
      </c>
    </row>
    <row r="1437" spans="1:14" ht="15.75" customHeight="1">
      <c r="A1437" s="198" t="s">
        <v>159</v>
      </c>
      <c r="B1437" s="199" t="s">
        <v>199</v>
      </c>
      <c r="C1437" s="199" t="s">
        <v>131</v>
      </c>
      <c r="D1437" s="200" t="s">
        <v>164</v>
      </c>
      <c r="E1437" s="213">
        <v>18</v>
      </c>
      <c r="F1437" s="201">
        <v>24</v>
      </c>
      <c r="G1437" s="201">
        <v>18</v>
      </c>
      <c r="H1437" s="201">
        <v>23</v>
      </c>
      <c r="I1437" s="201">
        <v>20</v>
      </c>
      <c r="J1437" s="201">
        <v>17</v>
      </c>
      <c r="K1437" s="201">
        <v>23</v>
      </c>
      <c r="L1437" s="201">
        <v>16</v>
      </c>
      <c r="M1437" s="330">
        <v>26</v>
      </c>
      <c r="N1437" s="202">
        <v>0.44444444444444442</v>
      </c>
    </row>
    <row r="1438" spans="1:14" ht="15.75" customHeight="1">
      <c r="A1438" s="198" t="s">
        <v>159</v>
      </c>
      <c r="B1438" s="199" t="s">
        <v>199</v>
      </c>
      <c r="C1438" s="199" t="s">
        <v>131</v>
      </c>
      <c r="D1438" s="200" t="s">
        <v>165</v>
      </c>
      <c r="E1438" s="213">
        <v>55.6</v>
      </c>
      <c r="F1438" s="201">
        <v>90</v>
      </c>
      <c r="G1438" s="201">
        <v>58</v>
      </c>
      <c r="H1438" s="201">
        <v>60</v>
      </c>
      <c r="I1438" s="201">
        <v>38</v>
      </c>
      <c r="J1438" s="201">
        <v>35</v>
      </c>
      <c r="K1438" s="201">
        <v>51</v>
      </c>
      <c r="L1438" s="201">
        <v>45</v>
      </c>
      <c r="M1438" s="330">
        <v>52</v>
      </c>
      <c r="N1438" s="202">
        <v>-6.4748201438848949E-2</v>
      </c>
    </row>
    <row r="1439" spans="1:14" ht="15.75" customHeight="1">
      <c r="A1439" s="198" t="s">
        <v>159</v>
      </c>
      <c r="B1439" s="199" t="s">
        <v>199</v>
      </c>
      <c r="C1439" s="199" t="s">
        <v>131</v>
      </c>
      <c r="D1439" s="203" t="s">
        <v>91</v>
      </c>
      <c r="E1439" s="214">
        <v>75.599999999999994</v>
      </c>
      <c r="F1439" s="204">
        <v>115</v>
      </c>
      <c r="G1439" s="204">
        <v>77</v>
      </c>
      <c r="H1439" s="204">
        <v>85</v>
      </c>
      <c r="I1439" s="204">
        <v>60</v>
      </c>
      <c r="J1439" s="204">
        <v>52</v>
      </c>
      <c r="K1439" s="204">
        <v>75</v>
      </c>
      <c r="L1439" s="204">
        <v>62</v>
      </c>
      <c r="M1439" s="331">
        <v>79</v>
      </c>
      <c r="N1439" s="202">
        <v>4.4973544973545054E-2</v>
      </c>
    </row>
    <row r="1440" spans="1:14" ht="15.75" customHeight="1">
      <c r="A1440" s="198" t="s">
        <v>159</v>
      </c>
      <c r="B1440" s="199" t="s">
        <v>199</v>
      </c>
      <c r="C1440" s="199" t="s">
        <v>169</v>
      </c>
      <c r="D1440" s="200" t="s">
        <v>162</v>
      </c>
      <c r="E1440" s="213">
        <v>0</v>
      </c>
      <c r="F1440" s="201">
        <v>0</v>
      </c>
      <c r="G1440" s="201">
        <v>0</v>
      </c>
      <c r="H1440" s="201">
        <v>0</v>
      </c>
      <c r="I1440" s="201">
        <v>0</v>
      </c>
      <c r="J1440" s="201">
        <v>0</v>
      </c>
      <c r="K1440" s="201">
        <v>0</v>
      </c>
      <c r="L1440" s="201">
        <v>0</v>
      </c>
      <c r="M1440" s="330" t="s">
        <v>172</v>
      </c>
      <c r="N1440" s="202">
        <v>0</v>
      </c>
    </row>
    <row r="1441" spans="1:14">
      <c r="A1441" s="198" t="s">
        <v>159</v>
      </c>
      <c r="B1441" s="199" t="s">
        <v>199</v>
      </c>
      <c r="C1441" s="199" t="s">
        <v>169</v>
      </c>
      <c r="D1441" s="200" t="s">
        <v>163</v>
      </c>
      <c r="E1441" s="213">
        <v>0</v>
      </c>
      <c r="F1441" s="201">
        <v>1</v>
      </c>
      <c r="G1441" s="201">
        <v>0</v>
      </c>
      <c r="H1441" s="201">
        <v>0</v>
      </c>
      <c r="I1441" s="201">
        <v>0</v>
      </c>
      <c r="J1441" s="201">
        <v>0</v>
      </c>
      <c r="K1441" s="201">
        <v>0</v>
      </c>
      <c r="L1441" s="201">
        <v>0</v>
      </c>
      <c r="M1441" s="330">
        <v>0</v>
      </c>
      <c r="N1441" s="202">
        <v>0</v>
      </c>
    </row>
    <row r="1442" spans="1:14" ht="15.75" customHeight="1">
      <c r="A1442" s="198" t="s">
        <v>159</v>
      </c>
      <c r="B1442" s="199" t="s">
        <v>199</v>
      </c>
      <c r="C1442" s="199" t="s">
        <v>169</v>
      </c>
      <c r="D1442" s="200" t="s">
        <v>164</v>
      </c>
      <c r="E1442" s="213">
        <v>0</v>
      </c>
      <c r="F1442" s="201">
        <v>1</v>
      </c>
      <c r="G1442" s="201">
        <v>0</v>
      </c>
      <c r="H1442" s="201">
        <v>0</v>
      </c>
      <c r="I1442" s="201">
        <v>0</v>
      </c>
      <c r="J1442" s="201">
        <v>0</v>
      </c>
      <c r="K1442" s="201">
        <v>0</v>
      </c>
      <c r="L1442" s="201">
        <v>0</v>
      </c>
      <c r="M1442" s="330" t="s">
        <v>172</v>
      </c>
      <c r="N1442" s="202">
        <v>0</v>
      </c>
    </row>
    <row r="1443" spans="1:14" ht="15.75" customHeight="1">
      <c r="A1443" s="198" t="s">
        <v>159</v>
      </c>
      <c r="B1443" s="199" t="s">
        <v>199</v>
      </c>
      <c r="C1443" s="199" t="s">
        <v>169</v>
      </c>
      <c r="D1443" s="200" t="s">
        <v>165</v>
      </c>
      <c r="E1443" s="213">
        <v>0</v>
      </c>
      <c r="F1443" s="201">
        <v>8</v>
      </c>
      <c r="G1443" s="201">
        <v>4</v>
      </c>
      <c r="H1443" s="201">
        <v>7</v>
      </c>
      <c r="I1443" s="201">
        <v>1</v>
      </c>
      <c r="J1443" s="201">
        <v>5</v>
      </c>
      <c r="K1443" s="201">
        <v>7</v>
      </c>
      <c r="L1443" s="201">
        <v>1</v>
      </c>
      <c r="M1443" s="330" t="s">
        <v>172</v>
      </c>
      <c r="N1443" s="202">
        <v>0</v>
      </c>
    </row>
    <row r="1444" spans="1:14" ht="15.75" customHeight="1">
      <c r="A1444" s="198" t="s">
        <v>159</v>
      </c>
      <c r="B1444" s="199" t="s">
        <v>199</v>
      </c>
      <c r="C1444" s="199" t="s">
        <v>169</v>
      </c>
      <c r="D1444" s="203" t="s">
        <v>91</v>
      </c>
      <c r="E1444" s="214">
        <v>0</v>
      </c>
      <c r="F1444" s="204">
        <v>9</v>
      </c>
      <c r="G1444" s="204">
        <v>4</v>
      </c>
      <c r="H1444" s="204">
        <v>7</v>
      </c>
      <c r="I1444" s="204">
        <v>1</v>
      </c>
      <c r="J1444" s="204">
        <v>5</v>
      </c>
      <c r="K1444" s="204">
        <v>7</v>
      </c>
      <c r="L1444" s="204">
        <v>1</v>
      </c>
      <c r="M1444" s="331">
        <v>0</v>
      </c>
      <c r="N1444" s="202">
        <v>0</v>
      </c>
    </row>
    <row r="1445" spans="1:14" ht="15.75" customHeight="1">
      <c r="A1445" s="198" t="s">
        <v>159</v>
      </c>
      <c r="B1445" s="199" t="s">
        <v>199</v>
      </c>
      <c r="C1445" s="199" t="s">
        <v>139</v>
      </c>
      <c r="D1445" s="200" t="s">
        <v>162</v>
      </c>
      <c r="E1445" s="213">
        <v>0</v>
      </c>
      <c r="F1445" s="201">
        <v>0</v>
      </c>
      <c r="G1445" s="201">
        <v>0</v>
      </c>
      <c r="H1445" s="201">
        <v>0</v>
      </c>
      <c r="I1445" s="201">
        <v>0</v>
      </c>
      <c r="J1445" s="201">
        <v>0</v>
      </c>
      <c r="K1445" s="201">
        <v>0</v>
      </c>
      <c r="L1445" s="201">
        <v>0</v>
      </c>
      <c r="M1445" s="330" t="s">
        <v>172</v>
      </c>
      <c r="N1445" s="202">
        <v>0</v>
      </c>
    </row>
    <row r="1446" spans="1:14" ht="15.75" customHeight="1">
      <c r="A1446" s="198" t="s">
        <v>159</v>
      </c>
      <c r="B1446" s="199" t="s">
        <v>199</v>
      </c>
      <c r="C1446" s="199" t="s">
        <v>139</v>
      </c>
      <c r="D1446" s="200" t="s">
        <v>163</v>
      </c>
      <c r="E1446" s="213">
        <v>0.7</v>
      </c>
      <c r="F1446" s="201">
        <v>0</v>
      </c>
      <c r="G1446" s="201">
        <v>0</v>
      </c>
      <c r="H1446" s="201">
        <v>0</v>
      </c>
      <c r="I1446" s="201">
        <v>0</v>
      </c>
      <c r="J1446" s="201">
        <v>0</v>
      </c>
      <c r="K1446" s="201">
        <v>0</v>
      </c>
      <c r="L1446" s="201">
        <v>0</v>
      </c>
      <c r="M1446" s="330">
        <v>0</v>
      </c>
      <c r="N1446" s="202">
        <v>-1</v>
      </c>
    </row>
    <row r="1447" spans="1:14" ht="15.75" customHeight="1">
      <c r="A1447" s="198" t="s">
        <v>159</v>
      </c>
      <c r="B1447" s="199" t="s">
        <v>199</v>
      </c>
      <c r="C1447" s="199" t="s">
        <v>139</v>
      </c>
      <c r="D1447" s="200" t="s">
        <v>164</v>
      </c>
      <c r="E1447" s="213">
        <v>0.7</v>
      </c>
      <c r="F1447" s="201">
        <v>0</v>
      </c>
      <c r="G1447" s="201">
        <v>0</v>
      </c>
      <c r="H1447" s="201">
        <v>0</v>
      </c>
      <c r="I1447" s="201">
        <v>0</v>
      </c>
      <c r="J1447" s="201">
        <v>0</v>
      </c>
      <c r="K1447" s="201">
        <v>0</v>
      </c>
      <c r="L1447" s="201">
        <v>0</v>
      </c>
      <c r="M1447" s="330" t="s">
        <v>172</v>
      </c>
      <c r="N1447" s="202">
        <v>-1</v>
      </c>
    </row>
    <row r="1448" spans="1:14" ht="15.75" customHeight="1">
      <c r="A1448" s="198" t="s">
        <v>159</v>
      </c>
      <c r="B1448" s="199" t="s">
        <v>199</v>
      </c>
      <c r="C1448" s="199" t="s">
        <v>139</v>
      </c>
      <c r="D1448" s="200" t="s">
        <v>165</v>
      </c>
      <c r="E1448" s="213">
        <v>7.6</v>
      </c>
      <c r="F1448" s="201">
        <v>2</v>
      </c>
      <c r="G1448" s="201">
        <v>1</v>
      </c>
      <c r="H1448" s="201">
        <v>2</v>
      </c>
      <c r="I1448" s="201">
        <v>3</v>
      </c>
      <c r="J1448" s="201">
        <v>7</v>
      </c>
      <c r="K1448" s="201">
        <v>5</v>
      </c>
      <c r="L1448" s="201">
        <v>4</v>
      </c>
      <c r="M1448" s="330">
        <v>5</v>
      </c>
      <c r="N1448" s="202">
        <v>-0.34210526315789469</v>
      </c>
    </row>
    <row r="1449" spans="1:14" ht="15.75" customHeight="1">
      <c r="A1449" s="198" t="s">
        <v>159</v>
      </c>
      <c r="B1449" s="199" t="s">
        <v>199</v>
      </c>
      <c r="C1449" s="199" t="s">
        <v>139</v>
      </c>
      <c r="D1449" s="203" t="s">
        <v>91</v>
      </c>
      <c r="E1449" s="214">
        <v>8.3000000000000007</v>
      </c>
      <c r="F1449" s="204">
        <v>2</v>
      </c>
      <c r="G1449" s="204">
        <v>1</v>
      </c>
      <c r="H1449" s="204">
        <v>2</v>
      </c>
      <c r="I1449" s="204">
        <v>3</v>
      </c>
      <c r="J1449" s="204">
        <v>7</v>
      </c>
      <c r="K1449" s="204">
        <v>5</v>
      </c>
      <c r="L1449" s="204">
        <v>4</v>
      </c>
      <c r="M1449" s="331">
        <v>5</v>
      </c>
      <c r="N1449" s="202">
        <v>-0.39759036144578319</v>
      </c>
    </row>
    <row r="1450" spans="1:14" ht="15.75" customHeight="1">
      <c r="A1450" s="198" t="s">
        <v>159</v>
      </c>
      <c r="B1450" s="199" t="s">
        <v>199</v>
      </c>
      <c r="C1450" s="205" t="s">
        <v>91</v>
      </c>
      <c r="D1450" s="203" t="s">
        <v>162</v>
      </c>
      <c r="E1450" s="214">
        <v>2.8</v>
      </c>
      <c r="F1450" s="204">
        <v>1</v>
      </c>
      <c r="G1450" s="204">
        <v>3</v>
      </c>
      <c r="H1450" s="204">
        <v>3</v>
      </c>
      <c r="I1450" s="204">
        <v>6</v>
      </c>
      <c r="J1450" s="204">
        <v>1</v>
      </c>
      <c r="K1450" s="204">
        <v>1</v>
      </c>
      <c r="L1450" s="204">
        <v>2</v>
      </c>
      <c r="M1450" s="331">
        <v>2</v>
      </c>
      <c r="N1450" s="202">
        <v>-0.28571428571428564</v>
      </c>
    </row>
    <row r="1451" spans="1:14" ht="15.75" customHeight="1">
      <c r="A1451" s="198" t="s">
        <v>159</v>
      </c>
      <c r="B1451" s="199" t="s">
        <v>199</v>
      </c>
      <c r="C1451" s="205" t="s">
        <v>91</v>
      </c>
      <c r="D1451" s="203" t="s">
        <v>163</v>
      </c>
      <c r="E1451" s="214">
        <v>73.599999999999994</v>
      </c>
      <c r="F1451" s="204">
        <v>61</v>
      </c>
      <c r="G1451" s="204">
        <v>70</v>
      </c>
      <c r="H1451" s="204">
        <v>68</v>
      </c>
      <c r="I1451" s="204">
        <v>59</v>
      </c>
      <c r="J1451" s="204">
        <v>65</v>
      </c>
      <c r="K1451" s="204">
        <v>71</v>
      </c>
      <c r="L1451" s="204">
        <v>72</v>
      </c>
      <c r="M1451" s="331">
        <v>72</v>
      </c>
      <c r="N1451" s="202">
        <v>-2.1739130434782532E-2</v>
      </c>
    </row>
    <row r="1452" spans="1:14" ht="15.75" customHeight="1">
      <c r="A1452" s="198" t="s">
        <v>159</v>
      </c>
      <c r="B1452" s="199" t="s">
        <v>199</v>
      </c>
      <c r="C1452" s="205" t="s">
        <v>91</v>
      </c>
      <c r="D1452" s="203" t="s">
        <v>164</v>
      </c>
      <c r="E1452" s="214">
        <v>70.8</v>
      </c>
      <c r="F1452" s="204">
        <v>60</v>
      </c>
      <c r="G1452" s="204">
        <v>67</v>
      </c>
      <c r="H1452" s="204">
        <v>65</v>
      </c>
      <c r="I1452" s="204">
        <v>53</v>
      </c>
      <c r="J1452" s="204">
        <v>64</v>
      </c>
      <c r="K1452" s="204">
        <v>70</v>
      </c>
      <c r="L1452" s="204">
        <v>70</v>
      </c>
      <c r="M1452" s="331">
        <v>70</v>
      </c>
      <c r="N1452" s="202">
        <v>-1.1299435028248548E-2</v>
      </c>
    </row>
    <row r="1453" spans="1:14" ht="15.75" customHeight="1">
      <c r="A1453" s="198" t="s">
        <v>159</v>
      </c>
      <c r="B1453" s="199" t="s">
        <v>199</v>
      </c>
      <c r="C1453" s="205" t="s">
        <v>91</v>
      </c>
      <c r="D1453" s="203" t="s">
        <v>165</v>
      </c>
      <c r="E1453" s="214">
        <v>453.1</v>
      </c>
      <c r="F1453" s="204">
        <v>472</v>
      </c>
      <c r="G1453" s="204">
        <v>438</v>
      </c>
      <c r="H1453" s="204">
        <v>462</v>
      </c>
      <c r="I1453" s="204">
        <v>322</v>
      </c>
      <c r="J1453" s="204">
        <v>370</v>
      </c>
      <c r="K1453" s="204">
        <v>411</v>
      </c>
      <c r="L1453" s="204">
        <v>345</v>
      </c>
      <c r="M1453" s="331">
        <v>381</v>
      </c>
      <c r="N1453" s="202">
        <v>-0.15912602074597224</v>
      </c>
    </row>
    <row r="1454" spans="1:14" ht="15.75" customHeight="1">
      <c r="A1454" s="198" t="s">
        <v>159</v>
      </c>
      <c r="B1454" s="199" t="s">
        <v>199</v>
      </c>
      <c r="C1454" s="205" t="s">
        <v>91</v>
      </c>
      <c r="D1454" s="203" t="s">
        <v>91</v>
      </c>
      <c r="E1454" s="214">
        <v>526.70000000000005</v>
      </c>
      <c r="F1454" s="204">
        <v>533</v>
      </c>
      <c r="G1454" s="204">
        <v>508</v>
      </c>
      <c r="H1454" s="204">
        <v>530</v>
      </c>
      <c r="I1454" s="204">
        <v>381</v>
      </c>
      <c r="J1454" s="204">
        <v>435</v>
      </c>
      <c r="K1454" s="204">
        <v>482</v>
      </c>
      <c r="L1454" s="204">
        <v>417</v>
      </c>
      <c r="M1454" s="331">
        <v>453</v>
      </c>
      <c r="N1454" s="202">
        <v>-0.13992785266755275</v>
      </c>
    </row>
    <row r="1455" spans="1:14" ht="15.75" customHeight="1">
      <c r="A1455" s="198" t="s">
        <v>175</v>
      </c>
      <c r="B1455" s="205" t="s">
        <v>91</v>
      </c>
      <c r="C1455" s="205" t="s">
        <v>91</v>
      </c>
      <c r="D1455" s="203" t="s">
        <v>91</v>
      </c>
      <c r="E1455" s="216">
        <v>13817.6</v>
      </c>
      <c r="F1455" s="204">
        <v>14292</v>
      </c>
      <c r="G1455" s="204">
        <v>13509</v>
      </c>
      <c r="H1455" s="204">
        <v>13294</v>
      </c>
      <c r="I1455" s="204">
        <v>10450</v>
      </c>
      <c r="J1455" s="204">
        <v>11714</v>
      </c>
      <c r="K1455" s="204">
        <v>11590</v>
      </c>
      <c r="L1455" s="204">
        <v>11294</v>
      </c>
      <c r="M1455" s="331">
        <v>10153</v>
      </c>
      <c r="N1455" s="202">
        <v>-0.26521248263084762</v>
      </c>
    </row>
    <row r="1456" spans="1:14">
      <c r="A1456" s="198" t="s">
        <v>159</v>
      </c>
      <c r="B1456" s="205" t="s">
        <v>91</v>
      </c>
      <c r="C1456" s="205" t="s">
        <v>91</v>
      </c>
      <c r="D1456" s="203" t="s">
        <v>91</v>
      </c>
      <c r="E1456" s="214">
        <v>17786.7</v>
      </c>
      <c r="F1456" s="204">
        <v>18275</v>
      </c>
      <c r="G1456" s="204">
        <v>17082</v>
      </c>
      <c r="H1456" s="204">
        <v>16713</v>
      </c>
      <c r="I1456" s="204">
        <v>13895</v>
      </c>
      <c r="J1456" s="204">
        <v>14957</v>
      </c>
      <c r="K1456" s="204">
        <v>15617</v>
      </c>
      <c r="L1456" s="204">
        <v>14882</v>
      </c>
      <c r="M1456" s="331">
        <v>13866</v>
      </c>
      <c r="N1456" s="202">
        <v>-0.22042874732243758</v>
      </c>
    </row>
    <row r="1457" spans="1:14" ht="15.75" customHeight="1">
      <c r="A1457" s="206" t="s">
        <v>91</v>
      </c>
      <c r="B1457" s="205" t="s">
        <v>91</v>
      </c>
      <c r="C1457" s="205" t="s">
        <v>91</v>
      </c>
      <c r="D1457" s="203" t="s">
        <v>91</v>
      </c>
      <c r="E1457" s="216">
        <v>31604.3</v>
      </c>
      <c r="F1457" s="204">
        <v>32567</v>
      </c>
      <c r="G1457" s="204">
        <v>30591</v>
      </c>
      <c r="H1457" s="204">
        <v>30007</v>
      </c>
      <c r="I1457" s="204">
        <v>24345</v>
      </c>
      <c r="J1457" s="204">
        <v>26671</v>
      </c>
      <c r="K1457" s="204">
        <v>27207</v>
      </c>
      <c r="L1457" s="204">
        <v>26176</v>
      </c>
      <c r="M1457" s="331">
        <v>24019</v>
      </c>
      <c r="N1457" s="202">
        <v>-0.24000847985875337</v>
      </c>
    </row>
    <row r="1458" spans="1:14" ht="15.75" customHeight="1">
      <c r="A1458" s="198" t="s">
        <v>175</v>
      </c>
      <c r="B1458" s="199" t="s">
        <v>200</v>
      </c>
      <c r="C1458" s="199" t="s">
        <v>161</v>
      </c>
      <c r="D1458" s="200" t="s">
        <v>162</v>
      </c>
      <c r="E1458" s="215">
        <v>0</v>
      </c>
      <c r="F1458" s="201">
        <v>0</v>
      </c>
      <c r="G1458" s="201">
        <v>0</v>
      </c>
      <c r="H1458" s="201">
        <v>0</v>
      </c>
      <c r="I1458" s="201">
        <v>0</v>
      </c>
      <c r="J1458" s="201">
        <v>0</v>
      </c>
      <c r="K1458" s="201">
        <v>0</v>
      </c>
      <c r="L1458" s="201">
        <v>0</v>
      </c>
      <c r="M1458" s="330" t="s">
        <v>172</v>
      </c>
      <c r="N1458" s="202">
        <v>0</v>
      </c>
    </row>
    <row r="1459" spans="1:14" ht="15.75" customHeight="1">
      <c r="A1459" s="198" t="s">
        <v>175</v>
      </c>
      <c r="B1459" s="199" t="s">
        <v>200</v>
      </c>
      <c r="C1459" s="199" t="s">
        <v>161</v>
      </c>
      <c r="D1459" s="200" t="s">
        <v>163</v>
      </c>
      <c r="E1459" s="215">
        <v>2.9</v>
      </c>
      <c r="F1459" s="201">
        <v>5</v>
      </c>
      <c r="G1459" s="201">
        <v>4</v>
      </c>
      <c r="H1459" s="201">
        <v>4</v>
      </c>
      <c r="I1459" s="201">
        <v>2</v>
      </c>
      <c r="J1459" s="201">
        <v>1</v>
      </c>
      <c r="K1459" s="201">
        <v>3</v>
      </c>
      <c r="L1459" s="201">
        <v>0</v>
      </c>
      <c r="M1459" s="330">
        <v>1</v>
      </c>
      <c r="N1459" s="202">
        <v>-0.65517241379310343</v>
      </c>
    </row>
    <row r="1460" spans="1:14" ht="15.75" customHeight="1">
      <c r="A1460" s="198" t="s">
        <v>175</v>
      </c>
      <c r="B1460" s="199" t="s">
        <v>200</v>
      </c>
      <c r="C1460" s="199" t="s">
        <v>161</v>
      </c>
      <c r="D1460" s="200" t="s">
        <v>164</v>
      </c>
      <c r="E1460" s="215">
        <v>2.9</v>
      </c>
      <c r="F1460" s="201">
        <v>5</v>
      </c>
      <c r="G1460" s="201">
        <v>4</v>
      </c>
      <c r="H1460" s="201">
        <v>4</v>
      </c>
      <c r="I1460" s="201">
        <v>2</v>
      </c>
      <c r="J1460" s="201">
        <v>1</v>
      </c>
      <c r="K1460" s="201">
        <v>3</v>
      </c>
      <c r="L1460" s="201">
        <v>0</v>
      </c>
      <c r="M1460" s="330">
        <v>1</v>
      </c>
      <c r="N1460" s="202">
        <v>-0.65517241379310343</v>
      </c>
    </row>
    <row r="1461" spans="1:14" ht="15.75" customHeight="1">
      <c r="A1461" s="198" t="s">
        <v>175</v>
      </c>
      <c r="B1461" s="199" t="s">
        <v>200</v>
      </c>
      <c r="C1461" s="199" t="s">
        <v>161</v>
      </c>
      <c r="D1461" s="200" t="s">
        <v>165</v>
      </c>
      <c r="E1461" s="215">
        <v>29.2</v>
      </c>
      <c r="F1461" s="201">
        <v>22</v>
      </c>
      <c r="G1461" s="201">
        <v>38</v>
      </c>
      <c r="H1461" s="201">
        <v>50</v>
      </c>
      <c r="I1461" s="201">
        <v>29</v>
      </c>
      <c r="J1461" s="201">
        <v>25</v>
      </c>
      <c r="K1461" s="201">
        <v>18</v>
      </c>
      <c r="L1461" s="201">
        <v>16</v>
      </c>
      <c r="M1461" s="330">
        <v>9</v>
      </c>
      <c r="N1461" s="202">
        <v>-0.69178082191780821</v>
      </c>
    </row>
    <row r="1462" spans="1:14" ht="15.75" customHeight="1">
      <c r="A1462" s="198" t="s">
        <v>175</v>
      </c>
      <c r="B1462" s="199" t="s">
        <v>200</v>
      </c>
      <c r="C1462" s="199" t="s">
        <v>161</v>
      </c>
      <c r="D1462" s="203" t="s">
        <v>91</v>
      </c>
      <c r="E1462" s="216">
        <v>32.1</v>
      </c>
      <c r="F1462" s="204">
        <v>27</v>
      </c>
      <c r="G1462" s="204">
        <v>42</v>
      </c>
      <c r="H1462" s="204">
        <v>54</v>
      </c>
      <c r="I1462" s="204">
        <v>31</v>
      </c>
      <c r="J1462" s="204">
        <v>26</v>
      </c>
      <c r="K1462" s="204">
        <v>21</v>
      </c>
      <c r="L1462" s="204">
        <v>16</v>
      </c>
      <c r="M1462" s="331">
        <v>10</v>
      </c>
      <c r="N1462" s="202">
        <v>-0.68847352024922115</v>
      </c>
    </row>
    <row r="1463" spans="1:14" ht="15.75" customHeight="1">
      <c r="A1463" s="198" t="s">
        <v>175</v>
      </c>
      <c r="B1463" s="199" t="s">
        <v>200</v>
      </c>
      <c r="C1463" s="199" t="s">
        <v>134</v>
      </c>
      <c r="D1463" s="200" t="s">
        <v>162</v>
      </c>
      <c r="E1463" s="215">
        <v>0.4</v>
      </c>
      <c r="F1463" s="201">
        <v>0</v>
      </c>
      <c r="G1463" s="201">
        <v>0</v>
      </c>
      <c r="H1463" s="201">
        <v>0</v>
      </c>
      <c r="I1463" s="201">
        <v>0</v>
      </c>
      <c r="J1463" s="201">
        <v>0</v>
      </c>
      <c r="K1463" s="201">
        <v>0</v>
      </c>
      <c r="L1463" s="201">
        <v>0</v>
      </c>
      <c r="M1463" s="330" t="s">
        <v>172</v>
      </c>
      <c r="N1463" s="202">
        <v>-1</v>
      </c>
    </row>
    <row r="1464" spans="1:14" ht="15.75" customHeight="1">
      <c r="A1464" s="198" t="s">
        <v>175</v>
      </c>
      <c r="B1464" s="199" t="s">
        <v>200</v>
      </c>
      <c r="C1464" s="199" t="s">
        <v>134</v>
      </c>
      <c r="D1464" s="200" t="s">
        <v>163</v>
      </c>
      <c r="E1464" s="215">
        <v>21.6</v>
      </c>
      <c r="F1464" s="201">
        <v>18</v>
      </c>
      <c r="G1464" s="201">
        <v>16</v>
      </c>
      <c r="H1464" s="201">
        <v>16</v>
      </c>
      <c r="I1464" s="201">
        <v>17</v>
      </c>
      <c r="J1464" s="201">
        <v>21</v>
      </c>
      <c r="K1464" s="201">
        <v>9</v>
      </c>
      <c r="L1464" s="201">
        <v>12</v>
      </c>
      <c r="M1464" s="330">
        <v>20</v>
      </c>
      <c r="N1464" s="202">
        <v>-7.4074074074074139E-2</v>
      </c>
    </row>
    <row r="1465" spans="1:14" ht="15.75" customHeight="1">
      <c r="A1465" s="198" t="s">
        <v>175</v>
      </c>
      <c r="B1465" s="199" t="s">
        <v>200</v>
      </c>
      <c r="C1465" s="199" t="s">
        <v>134</v>
      </c>
      <c r="D1465" s="200" t="s">
        <v>164</v>
      </c>
      <c r="E1465" s="215">
        <v>21.2</v>
      </c>
      <c r="F1465" s="201">
        <v>18</v>
      </c>
      <c r="G1465" s="201">
        <v>16</v>
      </c>
      <c r="H1465" s="201">
        <v>16</v>
      </c>
      <c r="I1465" s="201">
        <v>17</v>
      </c>
      <c r="J1465" s="201">
        <v>21</v>
      </c>
      <c r="K1465" s="201">
        <v>9</v>
      </c>
      <c r="L1465" s="201">
        <v>12</v>
      </c>
      <c r="M1465" s="330">
        <v>20</v>
      </c>
      <c r="N1465" s="202">
        <v>-5.6603773584905627E-2</v>
      </c>
    </row>
    <row r="1466" spans="1:14">
      <c r="A1466" s="198" t="s">
        <v>175</v>
      </c>
      <c r="B1466" s="199" t="s">
        <v>200</v>
      </c>
      <c r="C1466" s="199" t="s">
        <v>134</v>
      </c>
      <c r="D1466" s="200" t="s">
        <v>165</v>
      </c>
      <c r="E1466" s="215">
        <v>365.6</v>
      </c>
      <c r="F1466" s="201">
        <v>400</v>
      </c>
      <c r="G1466" s="201">
        <v>378</v>
      </c>
      <c r="H1466" s="201">
        <v>400</v>
      </c>
      <c r="I1466" s="201">
        <v>309</v>
      </c>
      <c r="J1466" s="201">
        <v>373</v>
      </c>
      <c r="K1466" s="201">
        <v>321</v>
      </c>
      <c r="L1466" s="201">
        <v>326</v>
      </c>
      <c r="M1466" s="330">
        <v>252</v>
      </c>
      <c r="N1466" s="202">
        <v>-0.31072210065645517</v>
      </c>
    </row>
    <row r="1467" spans="1:14" ht="15.75" customHeight="1">
      <c r="A1467" s="198" t="s">
        <v>175</v>
      </c>
      <c r="B1467" s="199" t="s">
        <v>200</v>
      </c>
      <c r="C1467" s="199" t="s">
        <v>134</v>
      </c>
      <c r="D1467" s="203" t="s">
        <v>91</v>
      </c>
      <c r="E1467" s="216">
        <v>387.2</v>
      </c>
      <c r="F1467" s="204">
        <v>418</v>
      </c>
      <c r="G1467" s="204">
        <v>394</v>
      </c>
      <c r="H1467" s="204">
        <v>416</v>
      </c>
      <c r="I1467" s="204">
        <v>326</v>
      </c>
      <c r="J1467" s="204">
        <v>394</v>
      </c>
      <c r="K1467" s="204">
        <v>330</v>
      </c>
      <c r="L1467" s="204">
        <v>338</v>
      </c>
      <c r="M1467" s="331">
        <v>272</v>
      </c>
      <c r="N1467" s="202">
        <v>-0.29752066115702475</v>
      </c>
    </row>
    <row r="1468" spans="1:14" ht="15.75" customHeight="1">
      <c r="A1468" s="198" t="s">
        <v>175</v>
      </c>
      <c r="B1468" s="199" t="s">
        <v>200</v>
      </c>
      <c r="C1468" s="199" t="s">
        <v>166</v>
      </c>
      <c r="D1468" s="200" t="s">
        <v>162</v>
      </c>
      <c r="E1468" s="215">
        <v>0</v>
      </c>
      <c r="F1468" s="201">
        <v>0</v>
      </c>
      <c r="G1468" s="201">
        <v>0</v>
      </c>
      <c r="H1468" s="201">
        <v>0</v>
      </c>
      <c r="I1468" s="201">
        <v>0</v>
      </c>
      <c r="J1468" s="201">
        <v>0</v>
      </c>
      <c r="K1468" s="201">
        <v>0</v>
      </c>
      <c r="L1468" s="201">
        <v>0</v>
      </c>
      <c r="M1468" s="330" t="s">
        <v>172</v>
      </c>
      <c r="N1468" s="202">
        <v>0</v>
      </c>
    </row>
    <row r="1469" spans="1:14" ht="15.75" customHeight="1">
      <c r="A1469" s="198" t="s">
        <v>175</v>
      </c>
      <c r="B1469" s="199" t="s">
        <v>200</v>
      </c>
      <c r="C1469" s="199" t="s">
        <v>166</v>
      </c>
      <c r="D1469" s="200" t="s">
        <v>163</v>
      </c>
      <c r="E1469" s="215">
        <v>1.1000000000000001</v>
      </c>
      <c r="F1469" s="201">
        <v>1</v>
      </c>
      <c r="G1469" s="201">
        <v>2</v>
      </c>
      <c r="H1469" s="201">
        <v>2</v>
      </c>
      <c r="I1469" s="201">
        <v>0</v>
      </c>
      <c r="J1469" s="201">
        <v>1</v>
      </c>
      <c r="K1469" s="201">
        <v>1</v>
      </c>
      <c r="L1469" s="201">
        <v>1</v>
      </c>
      <c r="M1469" s="330">
        <v>1</v>
      </c>
      <c r="N1469" s="202">
        <v>-9.0909090909090981E-2</v>
      </c>
    </row>
    <row r="1470" spans="1:14" ht="15.75" customHeight="1">
      <c r="A1470" s="198" t="s">
        <v>175</v>
      </c>
      <c r="B1470" s="199" t="s">
        <v>200</v>
      </c>
      <c r="C1470" s="199" t="s">
        <v>166</v>
      </c>
      <c r="D1470" s="200" t="s">
        <v>164</v>
      </c>
      <c r="E1470" s="215">
        <v>1.1000000000000001</v>
      </c>
      <c r="F1470" s="201">
        <v>1</v>
      </c>
      <c r="G1470" s="201">
        <v>2</v>
      </c>
      <c r="H1470" s="201">
        <v>2</v>
      </c>
      <c r="I1470" s="201">
        <v>0</v>
      </c>
      <c r="J1470" s="201">
        <v>1</v>
      </c>
      <c r="K1470" s="201">
        <v>1</v>
      </c>
      <c r="L1470" s="201">
        <v>1</v>
      </c>
      <c r="M1470" s="330">
        <v>1</v>
      </c>
      <c r="N1470" s="202">
        <v>-9.0909090909090981E-2</v>
      </c>
    </row>
    <row r="1471" spans="1:14">
      <c r="A1471" s="198" t="s">
        <v>175</v>
      </c>
      <c r="B1471" s="199" t="s">
        <v>200</v>
      </c>
      <c r="C1471" s="199" t="s">
        <v>166</v>
      </c>
      <c r="D1471" s="200" t="s">
        <v>165</v>
      </c>
      <c r="E1471" s="215">
        <v>20.100000000000001</v>
      </c>
      <c r="F1471" s="201">
        <v>20</v>
      </c>
      <c r="G1471" s="201">
        <v>21</v>
      </c>
      <c r="H1471" s="201">
        <v>19</v>
      </c>
      <c r="I1471" s="201">
        <v>8</v>
      </c>
      <c r="J1471" s="201">
        <v>9</v>
      </c>
      <c r="K1471" s="201">
        <v>16</v>
      </c>
      <c r="L1471" s="201">
        <v>9</v>
      </c>
      <c r="M1471" s="330">
        <v>11</v>
      </c>
      <c r="N1471" s="202">
        <v>-0.45273631840796025</v>
      </c>
    </row>
    <row r="1472" spans="1:14" ht="15.75" customHeight="1">
      <c r="A1472" s="198" t="s">
        <v>175</v>
      </c>
      <c r="B1472" s="199" t="s">
        <v>200</v>
      </c>
      <c r="C1472" s="199" t="s">
        <v>166</v>
      </c>
      <c r="D1472" s="203" t="s">
        <v>91</v>
      </c>
      <c r="E1472" s="216">
        <v>21.2</v>
      </c>
      <c r="F1472" s="204">
        <v>21</v>
      </c>
      <c r="G1472" s="204">
        <v>23</v>
      </c>
      <c r="H1472" s="204">
        <v>21</v>
      </c>
      <c r="I1472" s="204">
        <v>8</v>
      </c>
      <c r="J1472" s="204">
        <v>10</v>
      </c>
      <c r="K1472" s="204">
        <v>17</v>
      </c>
      <c r="L1472" s="204">
        <v>10</v>
      </c>
      <c r="M1472" s="331">
        <v>12</v>
      </c>
      <c r="N1472" s="202">
        <v>-0.43396226415094336</v>
      </c>
    </row>
    <row r="1473" spans="1:14" ht="15.75" customHeight="1">
      <c r="A1473" s="198" t="s">
        <v>175</v>
      </c>
      <c r="B1473" s="199" t="s">
        <v>200</v>
      </c>
      <c r="C1473" s="199" t="s">
        <v>133</v>
      </c>
      <c r="D1473" s="200" t="s">
        <v>162</v>
      </c>
      <c r="E1473" s="215">
        <v>1</v>
      </c>
      <c r="F1473" s="201">
        <v>2</v>
      </c>
      <c r="G1473" s="201">
        <v>0</v>
      </c>
      <c r="H1473" s="201">
        <v>1</v>
      </c>
      <c r="I1473" s="201">
        <v>0</v>
      </c>
      <c r="J1473" s="201">
        <v>0</v>
      </c>
      <c r="K1473" s="201">
        <v>0</v>
      </c>
      <c r="L1473" s="201">
        <v>2</v>
      </c>
      <c r="M1473" s="330" t="s">
        <v>172</v>
      </c>
      <c r="N1473" s="202">
        <v>-1</v>
      </c>
    </row>
    <row r="1474" spans="1:14" ht="15.75" customHeight="1">
      <c r="A1474" s="198" t="s">
        <v>175</v>
      </c>
      <c r="B1474" s="199" t="s">
        <v>200</v>
      </c>
      <c r="C1474" s="199" t="s">
        <v>133</v>
      </c>
      <c r="D1474" s="200" t="s">
        <v>163</v>
      </c>
      <c r="E1474" s="215">
        <v>46.4</v>
      </c>
      <c r="F1474" s="201">
        <v>50</v>
      </c>
      <c r="G1474" s="201">
        <v>43</v>
      </c>
      <c r="H1474" s="201">
        <v>45</v>
      </c>
      <c r="I1474" s="201">
        <v>26</v>
      </c>
      <c r="J1474" s="201">
        <v>41</v>
      </c>
      <c r="K1474" s="201">
        <v>45</v>
      </c>
      <c r="L1474" s="201">
        <v>44</v>
      </c>
      <c r="M1474" s="330">
        <v>33</v>
      </c>
      <c r="N1474" s="202">
        <v>-0.28879310344827586</v>
      </c>
    </row>
    <row r="1475" spans="1:14" ht="15.75" customHeight="1">
      <c r="A1475" s="198" t="s">
        <v>175</v>
      </c>
      <c r="B1475" s="199" t="s">
        <v>200</v>
      </c>
      <c r="C1475" s="199" t="s">
        <v>133</v>
      </c>
      <c r="D1475" s="200" t="s">
        <v>164</v>
      </c>
      <c r="E1475" s="215">
        <v>45.4</v>
      </c>
      <c r="F1475" s="201">
        <v>48</v>
      </c>
      <c r="G1475" s="201">
        <v>43</v>
      </c>
      <c r="H1475" s="201">
        <v>44</v>
      </c>
      <c r="I1475" s="201">
        <v>26</v>
      </c>
      <c r="J1475" s="201">
        <v>41</v>
      </c>
      <c r="K1475" s="201">
        <v>45</v>
      </c>
      <c r="L1475" s="201">
        <v>42</v>
      </c>
      <c r="M1475" s="330">
        <v>33</v>
      </c>
      <c r="N1475" s="202">
        <v>-0.27312775330396472</v>
      </c>
    </row>
    <row r="1476" spans="1:14" ht="15.75" customHeight="1">
      <c r="A1476" s="198" t="s">
        <v>175</v>
      </c>
      <c r="B1476" s="199" t="s">
        <v>200</v>
      </c>
      <c r="C1476" s="199" t="s">
        <v>133</v>
      </c>
      <c r="D1476" s="200" t="s">
        <v>165</v>
      </c>
      <c r="E1476" s="215">
        <v>181.9</v>
      </c>
      <c r="F1476" s="201">
        <v>216</v>
      </c>
      <c r="G1476" s="201">
        <v>211</v>
      </c>
      <c r="H1476" s="201">
        <v>206</v>
      </c>
      <c r="I1476" s="201">
        <v>178</v>
      </c>
      <c r="J1476" s="201">
        <v>246</v>
      </c>
      <c r="K1476" s="201">
        <v>230</v>
      </c>
      <c r="L1476" s="201">
        <v>214</v>
      </c>
      <c r="M1476" s="330">
        <v>202</v>
      </c>
      <c r="N1476" s="202">
        <v>0.11050027487630562</v>
      </c>
    </row>
    <row r="1477" spans="1:14" ht="15.75" customHeight="1">
      <c r="A1477" s="198" t="s">
        <v>175</v>
      </c>
      <c r="B1477" s="199" t="s">
        <v>200</v>
      </c>
      <c r="C1477" s="199" t="s">
        <v>133</v>
      </c>
      <c r="D1477" s="203" t="s">
        <v>91</v>
      </c>
      <c r="E1477" s="216">
        <v>228.3</v>
      </c>
      <c r="F1477" s="204">
        <v>266</v>
      </c>
      <c r="G1477" s="204">
        <v>254</v>
      </c>
      <c r="H1477" s="204">
        <v>251</v>
      </c>
      <c r="I1477" s="204">
        <v>204</v>
      </c>
      <c r="J1477" s="204">
        <v>287</v>
      </c>
      <c r="K1477" s="204">
        <v>275</v>
      </c>
      <c r="L1477" s="204">
        <v>258</v>
      </c>
      <c r="M1477" s="331">
        <v>235</v>
      </c>
      <c r="N1477" s="202">
        <v>2.934734997809894E-2</v>
      </c>
    </row>
    <row r="1478" spans="1:14" ht="15.75" customHeight="1">
      <c r="A1478" s="198" t="s">
        <v>175</v>
      </c>
      <c r="B1478" s="199" t="s">
        <v>200</v>
      </c>
      <c r="C1478" s="199" t="s">
        <v>167</v>
      </c>
      <c r="D1478" s="200" t="s">
        <v>162</v>
      </c>
      <c r="E1478" s="215">
        <v>0.2</v>
      </c>
      <c r="F1478" s="201">
        <v>0</v>
      </c>
      <c r="G1478" s="201">
        <v>0</v>
      </c>
      <c r="H1478" s="201">
        <v>0</v>
      </c>
      <c r="I1478" s="201">
        <v>0</v>
      </c>
      <c r="J1478" s="201">
        <v>0</v>
      </c>
      <c r="K1478" s="201">
        <v>1</v>
      </c>
      <c r="L1478" s="201">
        <v>0</v>
      </c>
      <c r="M1478" s="330" t="s">
        <v>172</v>
      </c>
      <c r="N1478" s="202">
        <v>-1</v>
      </c>
    </row>
    <row r="1479" spans="1:14" ht="15.75" customHeight="1">
      <c r="A1479" s="198" t="s">
        <v>175</v>
      </c>
      <c r="B1479" s="199" t="s">
        <v>200</v>
      </c>
      <c r="C1479" s="199" t="s">
        <v>167</v>
      </c>
      <c r="D1479" s="200" t="s">
        <v>163</v>
      </c>
      <c r="E1479" s="215">
        <v>0.6</v>
      </c>
      <c r="F1479" s="201">
        <v>0</v>
      </c>
      <c r="G1479" s="201">
        <v>1</v>
      </c>
      <c r="H1479" s="201">
        <v>0</v>
      </c>
      <c r="I1479" s="201">
        <v>1</v>
      </c>
      <c r="J1479" s="201">
        <v>6</v>
      </c>
      <c r="K1479" s="201">
        <v>7</v>
      </c>
      <c r="L1479" s="201">
        <v>4</v>
      </c>
      <c r="M1479" s="330">
        <v>1</v>
      </c>
      <c r="N1479" s="202">
        <v>0.66666666666666674</v>
      </c>
    </row>
    <row r="1480" spans="1:14" ht="15.75" customHeight="1">
      <c r="A1480" s="198" t="s">
        <v>175</v>
      </c>
      <c r="B1480" s="199" t="s">
        <v>200</v>
      </c>
      <c r="C1480" s="199" t="s">
        <v>167</v>
      </c>
      <c r="D1480" s="200" t="s">
        <v>164</v>
      </c>
      <c r="E1480" s="215">
        <v>0.4</v>
      </c>
      <c r="F1480" s="201">
        <v>0</v>
      </c>
      <c r="G1480" s="201">
        <v>1</v>
      </c>
      <c r="H1480" s="201">
        <v>0</v>
      </c>
      <c r="I1480" s="201">
        <v>1</v>
      </c>
      <c r="J1480" s="201">
        <v>6</v>
      </c>
      <c r="K1480" s="201">
        <v>6</v>
      </c>
      <c r="L1480" s="201">
        <v>4</v>
      </c>
      <c r="M1480" s="330">
        <v>1</v>
      </c>
      <c r="N1480" s="202">
        <v>1.4999999999999998</v>
      </c>
    </row>
    <row r="1481" spans="1:14" ht="15.75" customHeight="1">
      <c r="A1481" s="198" t="s">
        <v>175</v>
      </c>
      <c r="B1481" s="199" t="s">
        <v>200</v>
      </c>
      <c r="C1481" s="199" t="s">
        <v>167</v>
      </c>
      <c r="D1481" s="200" t="s">
        <v>165</v>
      </c>
      <c r="E1481" s="215">
        <v>2.2999999999999998</v>
      </c>
      <c r="F1481" s="201">
        <v>8</v>
      </c>
      <c r="G1481" s="201">
        <v>8</v>
      </c>
      <c r="H1481" s="201">
        <v>7</v>
      </c>
      <c r="I1481" s="201">
        <v>17</v>
      </c>
      <c r="J1481" s="201">
        <v>9</v>
      </c>
      <c r="K1481" s="201">
        <v>9</v>
      </c>
      <c r="L1481" s="201">
        <v>3</v>
      </c>
      <c r="M1481" s="330">
        <v>8</v>
      </c>
      <c r="N1481" s="202">
        <v>2.4782608695652177</v>
      </c>
    </row>
    <row r="1482" spans="1:14" ht="15.75" customHeight="1">
      <c r="A1482" s="198" t="s">
        <v>175</v>
      </c>
      <c r="B1482" s="199" t="s">
        <v>200</v>
      </c>
      <c r="C1482" s="199" t="s">
        <v>167</v>
      </c>
      <c r="D1482" s="203" t="s">
        <v>91</v>
      </c>
      <c r="E1482" s="216">
        <v>2.8</v>
      </c>
      <c r="F1482" s="204">
        <v>8</v>
      </c>
      <c r="G1482" s="204">
        <v>9</v>
      </c>
      <c r="H1482" s="204">
        <v>7</v>
      </c>
      <c r="I1482" s="204">
        <v>18</v>
      </c>
      <c r="J1482" s="204">
        <v>15</v>
      </c>
      <c r="K1482" s="204">
        <v>16</v>
      </c>
      <c r="L1482" s="204">
        <v>7</v>
      </c>
      <c r="M1482" s="331">
        <v>9</v>
      </c>
      <c r="N1482" s="202">
        <v>2.2142857142857144</v>
      </c>
    </row>
    <row r="1483" spans="1:14" ht="15.75" customHeight="1">
      <c r="A1483" s="198" t="s">
        <v>175</v>
      </c>
      <c r="B1483" s="199" t="s">
        <v>200</v>
      </c>
      <c r="C1483" s="199" t="s">
        <v>168</v>
      </c>
      <c r="D1483" s="200" t="s">
        <v>162</v>
      </c>
      <c r="E1483" s="215">
        <v>2.2000000000000002</v>
      </c>
      <c r="F1483" s="201">
        <v>1</v>
      </c>
      <c r="G1483" s="201">
        <v>0</v>
      </c>
      <c r="H1483" s="201">
        <v>0</v>
      </c>
      <c r="I1483" s="201">
        <v>0</v>
      </c>
      <c r="J1483" s="201">
        <v>0</v>
      </c>
      <c r="K1483" s="201">
        <v>0</v>
      </c>
      <c r="L1483" s="201">
        <v>0</v>
      </c>
      <c r="M1483" s="330">
        <v>2</v>
      </c>
      <c r="N1483" s="202">
        <v>-9.0909090909090981E-2</v>
      </c>
    </row>
    <row r="1484" spans="1:14" ht="15.75" customHeight="1">
      <c r="A1484" s="198" t="s">
        <v>175</v>
      </c>
      <c r="B1484" s="199" t="s">
        <v>200</v>
      </c>
      <c r="C1484" s="199" t="s">
        <v>168</v>
      </c>
      <c r="D1484" s="200" t="s">
        <v>163</v>
      </c>
      <c r="E1484" s="215">
        <v>49.2</v>
      </c>
      <c r="F1484" s="201">
        <v>49</v>
      </c>
      <c r="G1484" s="201">
        <v>38</v>
      </c>
      <c r="H1484" s="201">
        <v>33</v>
      </c>
      <c r="I1484" s="201">
        <v>35</v>
      </c>
      <c r="J1484" s="201">
        <v>44</v>
      </c>
      <c r="K1484" s="201">
        <v>54</v>
      </c>
      <c r="L1484" s="201">
        <v>48</v>
      </c>
      <c r="M1484" s="330">
        <v>47</v>
      </c>
      <c r="N1484" s="202">
        <v>-4.4715447154471601E-2</v>
      </c>
    </row>
    <row r="1485" spans="1:14" ht="15.75" customHeight="1">
      <c r="A1485" s="198" t="s">
        <v>175</v>
      </c>
      <c r="B1485" s="199" t="s">
        <v>200</v>
      </c>
      <c r="C1485" s="199" t="s">
        <v>168</v>
      </c>
      <c r="D1485" s="200" t="s">
        <v>164</v>
      </c>
      <c r="E1485" s="215">
        <v>47</v>
      </c>
      <c r="F1485" s="201">
        <v>48</v>
      </c>
      <c r="G1485" s="201">
        <v>38</v>
      </c>
      <c r="H1485" s="201">
        <v>33</v>
      </c>
      <c r="I1485" s="201">
        <v>35</v>
      </c>
      <c r="J1485" s="201">
        <v>44</v>
      </c>
      <c r="K1485" s="201">
        <v>54</v>
      </c>
      <c r="L1485" s="201">
        <v>48</v>
      </c>
      <c r="M1485" s="330">
        <v>45</v>
      </c>
      <c r="N1485" s="202">
        <v>-4.2553191489361701E-2</v>
      </c>
    </row>
    <row r="1486" spans="1:14" ht="15.75" customHeight="1">
      <c r="A1486" s="198" t="s">
        <v>175</v>
      </c>
      <c r="B1486" s="199" t="s">
        <v>200</v>
      </c>
      <c r="C1486" s="199" t="s">
        <v>168</v>
      </c>
      <c r="D1486" s="200" t="s">
        <v>165</v>
      </c>
      <c r="E1486" s="215">
        <v>204.4</v>
      </c>
      <c r="F1486" s="201">
        <v>236</v>
      </c>
      <c r="G1486" s="201">
        <v>264</v>
      </c>
      <c r="H1486" s="201">
        <v>255</v>
      </c>
      <c r="I1486" s="201">
        <v>239</v>
      </c>
      <c r="J1486" s="201">
        <v>304</v>
      </c>
      <c r="K1486" s="201">
        <v>258</v>
      </c>
      <c r="L1486" s="201">
        <v>260</v>
      </c>
      <c r="M1486" s="330">
        <v>230</v>
      </c>
      <c r="N1486" s="202">
        <v>0.12524461839530329</v>
      </c>
    </row>
    <row r="1487" spans="1:14" ht="15.75" customHeight="1">
      <c r="A1487" s="198" t="s">
        <v>175</v>
      </c>
      <c r="B1487" s="199" t="s">
        <v>200</v>
      </c>
      <c r="C1487" s="199" t="s">
        <v>168</v>
      </c>
      <c r="D1487" s="203" t="s">
        <v>91</v>
      </c>
      <c r="E1487" s="216">
        <v>253.6</v>
      </c>
      <c r="F1487" s="204">
        <v>285</v>
      </c>
      <c r="G1487" s="204">
        <v>302</v>
      </c>
      <c r="H1487" s="204">
        <v>288</v>
      </c>
      <c r="I1487" s="204">
        <v>274</v>
      </c>
      <c r="J1487" s="204">
        <v>348</v>
      </c>
      <c r="K1487" s="204">
        <v>312</v>
      </c>
      <c r="L1487" s="204">
        <v>308</v>
      </c>
      <c r="M1487" s="331">
        <v>277</v>
      </c>
      <c r="N1487" s="202">
        <v>9.2271293375394345E-2</v>
      </c>
    </row>
    <row r="1488" spans="1:14" ht="15.75" customHeight="1">
      <c r="A1488" s="198" t="s">
        <v>175</v>
      </c>
      <c r="B1488" s="199" t="s">
        <v>200</v>
      </c>
      <c r="C1488" s="199" t="s">
        <v>131</v>
      </c>
      <c r="D1488" s="200" t="s">
        <v>162</v>
      </c>
      <c r="E1488" s="215">
        <v>2.8</v>
      </c>
      <c r="F1488" s="201">
        <v>3</v>
      </c>
      <c r="G1488" s="201">
        <v>2</v>
      </c>
      <c r="H1488" s="201">
        <v>2</v>
      </c>
      <c r="I1488" s="201">
        <v>2</v>
      </c>
      <c r="J1488" s="201">
        <v>2</v>
      </c>
      <c r="K1488" s="201">
        <v>3</v>
      </c>
      <c r="L1488" s="201">
        <v>1</v>
      </c>
      <c r="M1488" s="330">
        <v>3</v>
      </c>
      <c r="N1488" s="202">
        <v>7.1428571428571494E-2</v>
      </c>
    </row>
    <row r="1489" spans="1:14" ht="15.75" customHeight="1">
      <c r="A1489" s="198" t="s">
        <v>175</v>
      </c>
      <c r="B1489" s="199" t="s">
        <v>200</v>
      </c>
      <c r="C1489" s="199" t="s">
        <v>131</v>
      </c>
      <c r="D1489" s="200" t="s">
        <v>163</v>
      </c>
      <c r="E1489" s="215">
        <v>63.6</v>
      </c>
      <c r="F1489" s="201">
        <v>58</v>
      </c>
      <c r="G1489" s="201">
        <v>57</v>
      </c>
      <c r="H1489" s="201">
        <v>59</v>
      </c>
      <c r="I1489" s="201">
        <v>34</v>
      </c>
      <c r="J1489" s="201">
        <v>45</v>
      </c>
      <c r="K1489" s="201">
        <v>48</v>
      </c>
      <c r="L1489" s="201">
        <v>49</v>
      </c>
      <c r="M1489" s="330">
        <v>49</v>
      </c>
      <c r="N1489" s="202">
        <v>-0.22955974842767296</v>
      </c>
    </row>
    <row r="1490" spans="1:14" ht="15.75" customHeight="1">
      <c r="A1490" s="198" t="s">
        <v>175</v>
      </c>
      <c r="B1490" s="199" t="s">
        <v>200</v>
      </c>
      <c r="C1490" s="199" t="s">
        <v>131</v>
      </c>
      <c r="D1490" s="200" t="s">
        <v>164</v>
      </c>
      <c r="E1490" s="215">
        <v>60.8</v>
      </c>
      <c r="F1490" s="201">
        <v>55</v>
      </c>
      <c r="G1490" s="201">
        <v>55</v>
      </c>
      <c r="H1490" s="201">
        <v>57</v>
      </c>
      <c r="I1490" s="201">
        <v>32</v>
      </c>
      <c r="J1490" s="201">
        <v>43</v>
      </c>
      <c r="K1490" s="201">
        <v>45</v>
      </c>
      <c r="L1490" s="201">
        <v>48</v>
      </c>
      <c r="M1490" s="330">
        <v>46</v>
      </c>
      <c r="N1490" s="202">
        <v>-0.2434210526315789</v>
      </c>
    </row>
    <row r="1491" spans="1:14" ht="15.75" customHeight="1">
      <c r="A1491" s="198" t="s">
        <v>175</v>
      </c>
      <c r="B1491" s="199" t="s">
        <v>200</v>
      </c>
      <c r="C1491" s="199" t="s">
        <v>131</v>
      </c>
      <c r="D1491" s="200" t="s">
        <v>165</v>
      </c>
      <c r="E1491" s="215">
        <v>155.30000000000001</v>
      </c>
      <c r="F1491" s="201">
        <v>190</v>
      </c>
      <c r="G1491" s="201">
        <v>178</v>
      </c>
      <c r="H1491" s="201">
        <v>166</v>
      </c>
      <c r="I1491" s="201">
        <v>110</v>
      </c>
      <c r="J1491" s="201">
        <v>111</v>
      </c>
      <c r="K1491" s="201">
        <v>115</v>
      </c>
      <c r="L1491" s="201">
        <v>139</v>
      </c>
      <c r="M1491" s="330">
        <v>123</v>
      </c>
      <c r="N1491" s="202">
        <v>-0.20798454603992278</v>
      </c>
    </row>
    <row r="1492" spans="1:14" ht="15.75" customHeight="1">
      <c r="A1492" s="198" t="s">
        <v>175</v>
      </c>
      <c r="B1492" s="199" t="s">
        <v>200</v>
      </c>
      <c r="C1492" s="199" t="s">
        <v>131</v>
      </c>
      <c r="D1492" s="203" t="s">
        <v>91</v>
      </c>
      <c r="E1492" s="216">
        <v>218.9</v>
      </c>
      <c r="F1492" s="204">
        <v>248</v>
      </c>
      <c r="G1492" s="204">
        <v>235</v>
      </c>
      <c r="H1492" s="204">
        <v>225</v>
      </c>
      <c r="I1492" s="204">
        <v>144</v>
      </c>
      <c r="J1492" s="204">
        <v>156</v>
      </c>
      <c r="K1492" s="204">
        <v>163</v>
      </c>
      <c r="L1492" s="204">
        <v>188</v>
      </c>
      <c r="M1492" s="331">
        <v>172</v>
      </c>
      <c r="N1492" s="202">
        <v>-0.21425308359981729</v>
      </c>
    </row>
    <row r="1493" spans="1:14" ht="15.75" customHeight="1">
      <c r="A1493" s="198" t="s">
        <v>175</v>
      </c>
      <c r="B1493" s="199" t="s">
        <v>200</v>
      </c>
      <c r="C1493" s="199" t="s">
        <v>169</v>
      </c>
      <c r="D1493" s="200" t="s">
        <v>162</v>
      </c>
      <c r="E1493" s="215">
        <v>0</v>
      </c>
      <c r="F1493" s="201">
        <v>0</v>
      </c>
      <c r="G1493" s="201">
        <v>0</v>
      </c>
      <c r="H1493" s="201">
        <v>0</v>
      </c>
      <c r="I1493" s="201">
        <v>0</v>
      </c>
      <c r="J1493" s="201">
        <v>0</v>
      </c>
      <c r="K1493" s="201">
        <v>0</v>
      </c>
      <c r="L1493" s="201">
        <v>0</v>
      </c>
      <c r="M1493" s="330" t="s">
        <v>172</v>
      </c>
      <c r="N1493" s="202">
        <v>0</v>
      </c>
    </row>
    <row r="1494" spans="1:14" ht="15.75" customHeight="1">
      <c r="A1494" s="198" t="s">
        <v>175</v>
      </c>
      <c r="B1494" s="199" t="s">
        <v>200</v>
      </c>
      <c r="C1494" s="199" t="s">
        <v>169</v>
      </c>
      <c r="D1494" s="200" t="s">
        <v>163</v>
      </c>
      <c r="E1494" s="215">
        <v>0</v>
      </c>
      <c r="F1494" s="201">
        <v>1</v>
      </c>
      <c r="G1494" s="201">
        <v>1</v>
      </c>
      <c r="H1494" s="201">
        <v>0</v>
      </c>
      <c r="I1494" s="201">
        <v>0</v>
      </c>
      <c r="J1494" s="201">
        <v>2</v>
      </c>
      <c r="K1494" s="201">
        <v>1</v>
      </c>
      <c r="L1494" s="201">
        <v>0</v>
      </c>
      <c r="M1494" s="330">
        <v>0</v>
      </c>
      <c r="N1494" s="202">
        <v>0</v>
      </c>
    </row>
    <row r="1495" spans="1:14" ht="15.75" customHeight="1">
      <c r="A1495" s="198" t="s">
        <v>175</v>
      </c>
      <c r="B1495" s="199" t="s">
        <v>200</v>
      </c>
      <c r="C1495" s="199" t="s">
        <v>169</v>
      </c>
      <c r="D1495" s="200" t="s">
        <v>164</v>
      </c>
      <c r="E1495" s="215">
        <v>0</v>
      </c>
      <c r="F1495" s="201">
        <v>1</v>
      </c>
      <c r="G1495" s="201">
        <v>1</v>
      </c>
      <c r="H1495" s="201">
        <v>0</v>
      </c>
      <c r="I1495" s="201">
        <v>0</v>
      </c>
      <c r="J1495" s="201">
        <v>2</v>
      </c>
      <c r="K1495" s="201">
        <v>1</v>
      </c>
      <c r="L1495" s="201">
        <v>0</v>
      </c>
      <c r="M1495" s="330" t="s">
        <v>172</v>
      </c>
      <c r="N1495" s="202">
        <v>0</v>
      </c>
    </row>
    <row r="1496" spans="1:14" ht="15.75" customHeight="1">
      <c r="A1496" s="198" t="s">
        <v>175</v>
      </c>
      <c r="B1496" s="199" t="s">
        <v>200</v>
      </c>
      <c r="C1496" s="199" t="s">
        <v>169</v>
      </c>
      <c r="D1496" s="200" t="s">
        <v>165</v>
      </c>
      <c r="E1496" s="215">
        <v>0</v>
      </c>
      <c r="F1496" s="201">
        <v>19</v>
      </c>
      <c r="G1496" s="201">
        <v>34</v>
      </c>
      <c r="H1496" s="201">
        <v>28</v>
      </c>
      <c r="I1496" s="201">
        <v>4</v>
      </c>
      <c r="J1496" s="201">
        <v>13</v>
      </c>
      <c r="K1496" s="201">
        <v>9</v>
      </c>
      <c r="L1496" s="201">
        <v>7</v>
      </c>
      <c r="M1496" s="330">
        <v>6</v>
      </c>
      <c r="N1496" s="202">
        <v>0</v>
      </c>
    </row>
    <row r="1497" spans="1:14" ht="15.75" customHeight="1">
      <c r="A1497" s="198" t="s">
        <v>175</v>
      </c>
      <c r="B1497" s="199" t="s">
        <v>200</v>
      </c>
      <c r="C1497" s="199" t="s">
        <v>169</v>
      </c>
      <c r="D1497" s="203" t="s">
        <v>91</v>
      </c>
      <c r="E1497" s="216">
        <v>0</v>
      </c>
      <c r="F1497" s="204">
        <v>20</v>
      </c>
      <c r="G1497" s="204">
        <v>35</v>
      </c>
      <c r="H1497" s="204">
        <v>28</v>
      </c>
      <c r="I1497" s="204">
        <v>4</v>
      </c>
      <c r="J1497" s="204">
        <v>15</v>
      </c>
      <c r="K1497" s="204">
        <v>10</v>
      </c>
      <c r="L1497" s="204">
        <v>7</v>
      </c>
      <c r="M1497" s="331">
        <v>6</v>
      </c>
      <c r="N1497" s="202">
        <v>0</v>
      </c>
    </row>
    <row r="1498" spans="1:14" ht="15.75" customHeight="1">
      <c r="A1498" s="198" t="s">
        <v>175</v>
      </c>
      <c r="B1498" s="199" t="s">
        <v>200</v>
      </c>
      <c r="C1498" s="199" t="s">
        <v>139</v>
      </c>
      <c r="D1498" s="200" t="s">
        <v>162</v>
      </c>
      <c r="E1498" s="215">
        <v>0</v>
      </c>
      <c r="F1498" s="201">
        <v>0</v>
      </c>
      <c r="G1498" s="201">
        <v>0</v>
      </c>
      <c r="H1498" s="201">
        <v>0</v>
      </c>
      <c r="I1498" s="201">
        <v>0</v>
      </c>
      <c r="J1498" s="201">
        <v>0</v>
      </c>
      <c r="K1498" s="201">
        <v>0</v>
      </c>
      <c r="L1498" s="201">
        <v>0</v>
      </c>
      <c r="M1498" s="330" t="s">
        <v>172</v>
      </c>
      <c r="N1498" s="202">
        <v>0</v>
      </c>
    </row>
    <row r="1499" spans="1:14" ht="15.75" customHeight="1">
      <c r="A1499" s="198" t="s">
        <v>175</v>
      </c>
      <c r="B1499" s="199" t="s">
        <v>200</v>
      </c>
      <c r="C1499" s="199" t="s">
        <v>139</v>
      </c>
      <c r="D1499" s="200" t="s">
        <v>163</v>
      </c>
      <c r="E1499" s="215">
        <v>1.5</v>
      </c>
      <c r="F1499" s="201">
        <v>5</v>
      </c>
      <c r="G1499" s="201">
        <v>1</v>
      </c>
      <c r="H1499" s="201">
        <v>1</v>
      </c>
      <c r="I1499" s="201">
        <v>0</v>
      </c>
      <c r="J1499" s="201">
        <v>0</v>
      </c>
      <c r="K1499" s="201">
        <v>1</v>
      </c>
      <c r="L1499" s="201">
        <v>0</v>
      </c>
      <c r="M1499" s="330">
        <v>2</v>
      </c>
      <c r="N1499" s="202">
        <v>0.33333333333333331</v>
      </c>
    </row>
    <row r="1500" spans="1:14" ht="15.75" customHeight="1">
      <c r="A1500" s="198" t="s">
        <v>175</v>
      </c>
      <c r="B1500" s="199" t="s">
        <v>200</v>
      </c>
      <c r="C1500" s="199" t="s">
        <v>139</v>
      </c>
      <c r="D1500" s="200" t="s">
        <v>164</v>
      </c>
      <c r="E1500" s="215">
        <v>1.5</v>
      </c>
      <c r="F1500" s="201">
        <v>5</v>
      </c>
      <c r="G1500" s="201">
        <v>1</v>
      </c>
      <c r="H1500" s="201">
        <v>1</v>
      </c>
      <c r="I1500" s="201">
        <v>0</v>
      </c>
      <c r="J1500" s="201">
        <v>0</v>
      </c>
      <c r="K1500" s="201">
        <v>1</v>
      </c>
      <c r="L1500" s="201">
        <v>0</v>
      </c>
      <c r="M1500" s="330">
        <v>2</v>
      </c>
      <c r="N1500" s="202">
        <v>0.33333333333333331</v>
      </c>
    </row>
    <row r="1501" spans="1:14" ht="15.75" customHeight="1">
      <c r="A1501" s="198" t="s">
        <v>175</v>
      </c>
      <c r="B1501" s="199" t="s">
        <v>200</v>
      </c>
      <c r="C1501" s="199" t="s">
        <v>139</v>
      </c>
      <c r="D1501" s="200" t="s">
        <v>165</v>
      </c>
      <c r="E1501" s="215">
        <v>21.2</v>
      </c>
      <c r="F1501" s="201">
        <v>5</v>
      </c>
      <c r="G1501" s="201">
        <v>39</v>
      </c>
      <c r="H1501" s="201">
        <v>44</v>
      </c>
      <c r="I1501" s="201">
        <v>26</v>
      </c>
      <c r="J1501" s="201">
        <v>25</v>
      </c>
      <c r="K1501" s="201">
        <v>16</v>
      </c>
      <c r="L1501" s="201">
        <v>25</v>
      </c>
      <c r="M1501" s="330">
        <v>16</v>
      </c>
      <c r="N1501" s="202">
        <v>-0.2452830188679245</v>
      </c>
    </row>
    <row r="1502" spans="1:14" ht="15.75" customHeight="1">
      <c r="A1502" s="198" t="s">
        <v>175</v>
      </c>
      <c r="B1502" s="199" t="s">
        <v>200</v>
      </c>
      <c r="C1502" s="199" t="s">
        <v>139</v>
      </c>
      <c r="D1502" s="203" t="s">
        <v>91</v>
      </c>
      <c r="E1502" s="216">
        <v>22.7</v>
      </c>
      <c r="F1502" s="204">
        <v>10</v>
      </c>
      <c r="G1502" s="204">
        <v>40</v>
      </c>
      <c r="H1502" s="204">
        <v>45</v>
      </c>
      <c r="I1502" s="204">
        <v>26</v>
      </c>
      <c r="J1502" s="204">
        <v>25</v>
      </c>
      <c r="K1502" s="204">
        <v>17</v>
      </c>
      <c r="L1502" s="204">
        <v>25</v>
      </c>
      <c r="M1502" s="331">
        <v>18</v>
      </c>
      <c r="N1502" s="202">
        <v>-0.20704845814977971</v>
      </c>
    </row>
    <row r="1503" spans="1:14" ht="15.75" customHeight="1">
      <c r="A1503" s="198" t="s">
        <v>175</v>
      </c>
      <c r="B1503" s="199" t="s">
        <v>200</v>
      </c>
      <c r="C1503" s="205" t="s">
        <v>91</v>
      </c>
      <c r="D1503" s="203" t="s">
        <v>162</v>
      </c>
      <c r="E1503" s="216">
        <v>6.6</v>
      </c>
      <c r="F1503" s="204">
        <v>6</v>
      </c>
      <c r="G1503" s="204">
        <v>2</v>
      </c>
      <c r="H1503" s="204">
        <v>3</v>
      </c>
      <c r="I1503" s="204">
        <v>2</v>
      </c>
      <c r="J1503" s="204">
        <v>2</v>
      </c>
      <c r="K1503" s="204">
        <v>4</v>
      </c>
      <c r="L1503" s="204">
        <v>3</v>
      </c>
      <c r="M1503" s="331">
        <v>5</v>
      </c>
      <c r="N1503" s="202">
        <v>-0.24242424242424238</v>
      </c>
    </row>
    <row r="1504" spans="1:14" ht="15.75" customHeight="1">
      <c r="A1504" s="198" t="s">
        <v>159</v>
      </c>
      <c r="B1504" s="199" t="s">
        <v>191</v>
      </c>
      <c r="C1504" s="205" t="s">
        <v>91</v>
      </c>
      <c r="D1504" s="203" t="s">
        <v>163</v>
      </c>
      <c r="E1504" s="214">
        <v>75.8</v>
      </c>
      <c r="F1504" s="204">
        <v>50</v>
      </c>
      <c r="G1504" s="204">
        <v>55</v>
      </c>
      <c r="H1504" s="204">
        <v>60</v>
      </c>
      <c r="I1504" s="204">
        <v>47</v>
      </c>
      <c r="J1504" s="204">
        <v>56</v>
      </c>
      <c r="K1504" s="204">
        <v>53</v>
      </c>
      <c r="L1504" s="204">
        <v>60</v>
      </c>
      <c r="M1504" s="331">
        <v>63</v>
      </c>
      <c r="N1504" s="202">
        <v>-0.16886543535620049</v>
      </c>
    </row>
    <row r="1505" spans="1:14" ht="15.75" customHeight="1">
      <c r="A1505" s="198" t="s">
        <v>175</v>
      </c>
      <c r="B1505" s="199" t="s">
        <v>200</v>
      </c>
      <c r="C1505" s="205" t="s">
        <v>91</v>
      </c>
      <c r="D1505" s="203" t="s">
        <v>164</v>
      </c>
      <c r="E1505" s="216">
        <v>180.3</v>
      </c>
      <c r="F1505" s="204">
        <v>181</v>
      </c>
      <c r="G1505" s="204">
        <v>161</v>
      </c>
      <c r="H1505" s="204">
        <v>157</v>
      </c>
      <c r="I1505" s="204">
        <v>113</v>
      </c>
      <c r="J1505" s="204">
        <v>159</v>
      </c>
      <c r="K1505" s="204">
        <v>165</v>
      </c>
      <c r="L1505" s="204">
        <v>155</v>
      </c>
      <c r="M1505" s="331">
        <v>149</v>
      </c>
      <c r="N1505" s="202">
        <v>-0.17359955629506382</v>
      </c>
    </row>
    <row r="1506" spans="1:14">
      <c r="A1506" s="198" t="s">
        <v>175</v>
      </c>
      <c r="B1506" s="199" t="s">
        <v>200</v>
      </c>
      <c r="C1506" s="205" t="s">
        <v>91</v>
      </c>
      <c r="D1506" s="203" t="s">
        <v>165</v>
      </c>
      <c r="E1506" s="216">
        <v>979.8</v>
      </c>
      <c r="F1506" s="204">
        <v>1116</v>
      </c>
      <c r="G1506" s="204">
        <v>1171</v>
      </c>
      <c r="H1506" s="204">
        <v>1175</v>
      </c>
      <c r="I1506" s="204">
        <v>920</v>
      </c>
      <c r="J1506" s="204">
        <v>1115</v>
      </c>
      <c r="K1506" s="204">
        <v>992</v>
      </c>
      <c r="L1506" s="204">
        <v>999</v>
      </c>
      <c r="M1506" s="331">
        <v>857</v>
      </c>
      <c r="N1506" s="202">
        <v>-0.12533170034700955</v>
      </c>
    </row>
    <row r="1507" spans="1:14" ht="15.75" customHeight="1">
      <c r="A1507" s="198" t="s">
        <v>175</v>
      </c>
      <c r="B1507" s="199" t="s">
        <v>200</v>
      </c>
      <c r="C1507" s="205" t="s">
        <v>91</v>
      </c>
      <c r="D1507" s="203" t="s">
        <v>91</v>
      </c>
      <c r="E1507" s="216">
        <v>1166.8</v>
      </c>
      <c r="F1507" s="204">
        <v>1303</v>
      </c>
      <c r="G1507" s="204">
        <v>1334</v>
      </c>
      <c r="H1507" s="204">
        <v>1335</v>
      </c>
      <c r="I1507" s="204">
        <v>1035</v>
      </c>
      <c r="J1507" s="204">
        <v>1276</v>
      </c>
      <c r="K1507" s="204">
        <v>1161</v>
      </c>
      <c r="L1507" s="204">
        <v>1157</v>
      </c>
      <c r="M1507" s="331">
        <v>1011</v>
      </c>
      <c r="N1507" s="202">
        <v>-0.13352759684607471</v>
      </c>
    </row>
    <row r="1508" spans="1:14" ht="15.75" customHeight="1">
      <c r="A1508" s="198" t="s">
        <v>159</v>
      </c>
      <c r="B1508" s="199" t="s">
        <v>201</v>
      </c>
      <c r="C1508" s="199" t="s">
        <v>161</v>
      </c>
      <c r="D1508" s="200" t="s">
        <v>162</v>
      </c>
      <c r="E1508" s="213">
        <v>0.2</v>
      </c>
      <c r="F1508" s="201">
        <v>0</v>
      </c>
      <c r="G1508" s="201">
        <v>1</v>
      </c>
      <c r="H1508" s="201">
        <v>0</v>
      </c>
      <c r="I1508" s="201">
        <v>0</v>
      </c>
      <c r="J1508" s="201">
        <v>0</v>
      </c>
      <c r="K1508" s="201">
        <v>0</v>
      </c>
      <c r="L1508" s="201">
        <v>0</v>
      </c>
      <c r="M1508" s="330" t="s">
        <v>172</v>
      </c>
      <c r="N1508" s="202">
        <v>-1</v>
      </c>
    </row>
    <row r="1509" spans="1:14" ht="15.75" customHeight="1">
      <c r="A1509" s="198" t="s">
        <v>159</v>
      </c>
      <c r="B1509" s="199" t="s">
        <v>201</v>
      </c>
      <c r="C1509" s="199" t="s">
        <v>161</v>
      </c>
      <c r="D1509" s="200" t="s">
        <v>163</v>
      </c>
      <c r="E1509" s="213">
        <v>3.8</v>
      </c>
      <c r="F1509" s="201">
        <v>1</v>
      </c>
      <c r="G1509" s="201">
        <v>2</v>
      </c>
      <c r="H1509" s="201">
        <v>2</v>
      </c>
      <c r="I1509" s="201">
        <v>2</v>
      </c>
      <c r="J1509" s="201">
        <v>0</v>
      </c>
      <c r="K1509" s="201">
        <v>3</v>
      </c>
      <c r="L1509" s="201">
        <v>2</v>
      </c>
      <c r="M1509" s="330">
        <v>3</v>
      </c>
      <c r="N1509" s="202">
        <v>-0.21052631578947364</v>
      </c>
    </row>
    <row r="1510" spans="1:14" ht="15.75" customHeight="1">
      <c r="A1510" s="198" t="s">
        <v>159</v>
      </c>
      <c r="B1510" s="199" t="s">
        <v>201</v>
      </c>
      <c r="C1510" s="199" t="s">
        <v>161</v>
      </c>
      <c r="D1510" s="200" t="s">
        <v>164</v>
      </c>
      <c r="E1510" s="213">
        <v>3.6</v>
      </c>
      <c r="F1510" s="201">
        <v>1</v>
      </c>
      <c r="G1510" s="201">
        <v>1</v>
      </c>
      <c r="H1510" s="201">
        <v>2</v>
      </c>
      <c r="I1510" s="201">
        <v>2</v>
      </c>
      <c r="J1510" s="201">
        <v>0</v>
      </c>
      <c r="K1510" s="201">
        <v>3</v>
      </c>
      <c r="L1510" s="201">
        <v>2</v>
      </c>
      <c r="M1510" s="330">
        <v>3</v>
      </c>
      <c r="N1510" s="202">
        <v>-0.16666666666666669</v>
      </c>
    </row>
    <row r="1511" spans="1:14">
      <c r="A1511" s="198" t="s">
        <v>159</v>
      </c>
      <c r="B1511" s="199" t="s">
        <v>201</v>
      </c>
      <c r="C1511" s="199" t="s">
        <v>161</v>
      </c>
      <c r="D1511" s="200" t="s">
        <v>165</v>
      </c>
      <c r="E1511" s="213">
        <v>30.3</v>
      </c>
      <c r="F1511" s="201">
        <v>38</v>
      </c>
      <c r="G1511" s="201">
        <v>19</v>
      </c>
      <c r="H1511" s="201">
        <v>29</v>
      </c>
      <c r="I1511" s="201">
        <v>19</v>
      </c>
      <c r="J1511" s="201">
        <v>28</v>
      </c>
      <c r="K1511" s="201">
        <v>38</v>
      </c>
      <c r="L1511" s="201">
        <v>22</v>
      </c>
      <c r="M1511" s="330">
        <v>22</v>
      </c>
      <c r="N1511" s="202">
        <v>-0.27392739273927397</v>
      </c>
    </row>
    <row r="1512" spans="1:14" ht="15.75" customHeight="1">
      <c r="A1512" s="198" t="s">
        <v>159</v>
      </c>
      <c r="B1512" s="199" t="s">
        <v>201</v>
      </c>
      <c r="C1512" s="199" t="s">
        <v>161</v>
      </c>
      <c r="D1512" s="203" t="s">
        <v>91</v>
      </c>
      <c r="E1512" s="214">
        <v>34.1</v>
      </c>
      <c r="F1512" s="204">
        <v>39</v>
      </c>
      <c r="G1512" s="204">
        <v>21</v>
      </c>
      <c r="H1512" s="204">
        <v>31</v>
      </c>
      <c r="I1512" s="204">
        <v>21</v>
      </c>
      <c r="J1512" s="204">
        <v>28</v>
      </c>
      <c r="K1512" s="204">
        <v>41</v>
      </c>
      <c r="L1512" s="204">
        <v>24</v>
      </c>
      <c r="M1512" s="331">
        <v>25</v>
      </c>
      <c r="N1512" s="202">
        <v>-0.26686217008797658</v>
      </c>
    </row>
    <row r="1513" spans="1:14" ht="15.75" customHeight="1">
      <c r="A1513" s="198" t="s">
        <v>159</v>
      </c>
      <c r="B1513" s="199" t="s">
        <v>201</v>
      </c>
      <c r="C1513" s="199" t="s">
        <v>134</v>
      </c>
      <c r="D1513" s="200" t="s">
        <v>162</v>
      </c>
      <c r="E1513" s="213">
        <v>0.6</v>
      </c>
      <c r="F1513" s="201">
        <v>0</v>
      </c>
      <c r="G1513" s="201">
        <v>2</v>
      </c>
      <c r="H1513" s="201">
        <v>0</v>
      </c>
      <c r="I1513" s="201">
        <v>0</v>
      </c>
      <c r="J1513" s="201">
        <v>0</v>
      </c>
      <c r="K1513" s="201">
        <v>0</v>
      </c>
      <c r="L1513" s="201">
        <v>0</v>
      </c>
      <c r="M1513" s="330">
        <v>2</v>
      </c>
      <c r="N1513" s="202">
        <v>2.3333333333333335</v>
      </c>
    </row>
    <row r="1514" spans="1:14" ht="15.75" customHeight="1">
      <c r="A1514" s="198" t="s">
        <v>159</v>
      </c>
      <c r="B1514" s="199" t="s">
        <v>201</v>
      </c>
      <c r="C1514" s="199" t="s">
        <v>134</v>
      </c>
      <c r="D1514" s="200" t="s">
        <v>163</v>
      </c>
      <c r="E1514" s="213">
        <v>30.8</v>
      </c>
      <c r="F1514" s="201">
        <v>24</v>
      </c>
      <c r="G1514" s="201">
        <v>24</v>
      </c>
      <c r="H1514" s="201">
        <v>15</v>
      </c>
      <c r="I1514" s="201">
        <v>10</v>
      </c>
      <c r="J1514" s="201">
        <v>11</v>
      </c>
      <c r="K1514" s="201">
        <v>14</v>
      </c>
      <c r="L1514" s="201">
        <v>9</v>
      </c>
      <c r="M1514" s="330">
        <v>18</v>
      </c>
      <c r="N1514" s="202">
        <v>-0.41558441558441561</v>
      </c>
    </row>
    <row r="1515" spans="1:14" ht="15.75" customHeight="1">
      <c r="A1515" s="198" t="s">
        <v>159</v>
      </c>
      <c r="B1515" s="199" t="s">
        <v>201</v>
      </c>
      <c r="C1515" s="199" t="s">
        <v>134</v>
      </c>
      <c r="D1515" s="200" t="s">
        <v>164</v>
      </c>
      <c r="E1515" s="213">
        <v>30.2</v>
      </c>
      <c r="F1515" s="201">
        <v>24</v>
      </c>
      <c r="G1515" s="201">
        <v>22</v>
      </c>
      <c r="H1515" s="201">
        <v>15</v>
      </c>
      <c r="I1515" s="201">
        <v>10</v>
      </c>
      <c r="J1515" s="201">
        <v>11</v>
      </c>
      <c r="K1515" s="201">
        <v>14</v>
      </c>
      <c r="L1515" s="201">
        <v>9</v>
      </c>
      <c r="M1515" s="330">
        <v>16</v>
      </c>
      <c r="N1515" s="202">
        <v>-0.47019867549668876</v>
      </c>
    </row>
    <row r="1516" spans="1:14">
      <c r="A1516" s="198" t="s">
        <v>159</v>
      </c>
      <c r="B1516" s="199" t="s">
        <v>201</v>
      </c>
      <c r="C1516" s="199" t="s">
        <v>134</v>
      </c>
      <c r="D1516" s="200" t="s">
        <v>165</v>
      </c>
      <c r="E1516" s="213">
        <v>395.3</v>
      </c>
      <c r="F1516" s="201">
        <v>399</v>
      </c>
      <c r="G1516" s="201">
        <v>367</v>
      </c>
      <c r="H1516" s="201">
        <v>304</v>
      </c>
      <c r="I1516" s="201">
        <v>258</v>
      </c>
      <c r="J1516" s="201">
        <v>206</v>
      </c>
      <c r="K1516" s="201">
        <v>211</v>
      </c>
      <c r="L1516" s="201">
        <v>183</v>
      </c>
      <c r="M1516" s="330">
        <v>223</v>
      </c>
      <c r="N1516" s="202">
        <v>-0.43587149000758918</v>
      </c>
    </row>
    <row r="1517" spans="1:14" ht="15.75" customHeight="1">
      <c r="A1517" s="198" t="s">
        <v>159</v>
      </c>
      <c r="B1517" s="199" t="s">
        <v>201</v>
      </c>
      <c r="C1517" s="199" t="s">
        <v>134</v>
      </c>
      <c r="D1517" s="203" t="s">
        <v>91</v>
      </c>
      <c r="E1517" s="214">
        <v>426</v>
      </c>
      <c r="F1517" s="204">
        <v>423</v>
      </c>
      <c r="G1517" s="204">
        <v>391</v>
      </c>
      <c r="H1517" s="204">
        <v>319</v>
      </c>
      <c r="I1517" s="204">
        <v>268</v>
      </c>
      <c r="J1517" s="204">
        <v>217</v>
      </c>
      <c r="K1517" s="204">
        <v>225</v>
      </c>
      <c r="L1517" s="204">
        <v>192</v>
      </c>
      <c r="M1517" s="331">
        <v>241</v>
      </c>
      <c r="N1517" s="202">
        <v>-0.43427230046948356</v>
      </c>
    </row>
    <row r="1518" spans="1:14" ht="15.75" customHeight="1">
      <c r="A1518" s="198" t="s">
        <v>159</v>
      </c>
      <c r="B1518" s="199" t="s">
        <v>201</v>
      </c>
      <c r="C1518" s="199" t="s">
        <v>166</v>
      </c>
      <c r="D1518" s="200" t="s">
        <v>162</v>
      </c>
      <c r="E1518" s="213">
        <v>0</v>
      </c>
      <c r="F1518" s="201">
        <v>0</v>
      </c>
      <c r="G1518" s="201">
        <v>0</v>
      </c>
      <c r="H1518" s="201">
        <v>0</v>
      </c>
      <c r="I1518" s="201">
        <v>0</v>
      </c>
      <c r="J1518" s="201">
        <v>0</v>
      </c>
      <c r="K1518" s="201">
        <v>0</v>
      </c>
      <c r="L1518" s="201">
        <v>0</v>
      </c>
      <c r="M1518" s="330">
        <v>1</v>
      </c>
      <c r="N1518" s="202">
        <v>0</v>
      </c>
    </row>
    <row r="1519" spans="1:14" ht="15.75" customHeight="1">
      <c r="A1519" s="198" t="s">
        <v>159</v>
      </c>
      <c r="B1519" s="199" t="s">
        <v>201</v>
      </c>
      <c r="C1519" s="199" t="s">
        <v>166</v>
      </c>
      <c r="D1519" s="200" t="s">
        <v>163</v>
      </c>
      <c r="E1519" s="213">
        <v>0.8</v>
      </c>
      <c r="F1519" s="201">
        <v>0</v>
      </c>
      <c r="G1519" s="201">
        <v>4</v>
      </c>
      <c r="H1519" s="201">
        <v>0</v>
      </c>
      <c r="I1519" s="201">
        <v>1</v>
      </c>
      <c r="J1519" s="201">
        <v>0</v>
      </c>
      <c r="K1519" s="201">
        <v>0</v>
      </c>
      <c r="L1519" s="201">
        <v>0</v>
      </c>
      <c r="M1519" s="330">
        <v>2</v>
      </c>
      <c r="N1519" s="202">
        <v>1.4999999999999998</v>
      </c>
    </row>
    <row r="1520" spans="1:14" ht="15.75" customHeight="1">
      <c r="A1520" s="198" t="s">
        <v>159</v>
      </c>
      <c r="B1520" s="199" t="s">
        <v>201</v>
      </c>
      <c r="C1520" s="199" t="s">
        <v>166</v>
      </c>
      <c r="D1520" s="200" t="s">
        <v>164</v>
      </c>
      <c r="E1520" s="213">
        <v>0.8</v>
      </c>
      <c r="F1520" s="201">
        <v>0</v>
      </c>
      <c r="G1520" s="201">
        <v>4</v>
      </c>
      <c r="H1520" s="201">
        <v>0</v>
      </c>
      <c r="I1520" s="201">
        <v>1</v>
      </c>
      <c r="J1520" s="201">
        <v>0</v>
      </c>
      <c r="K1520" s="201">
        <v>0</v>
      </c>
      <c r="L1520" s="201">
        <v>0</v>
      </c>
      <c r="M1520" s="330">
        <v>1</v>
      </c>
      <c r="N1520" s="202">
        <v>0.24999999999999994</v>
      </c>
    </row>
    <row r="1521" spans="1:14">
      <c r="A1521" s="198" t="s">
        <v>159</v>
      </c>
      <c r="B1521" s="199" t="s">
        <v>201</v>
      </c>
      <c r="C1521" s="199" t="s">
        <v>166</v>
      </c>
      <c r="D1521" s="200" t="s">
        <v>165</v>
      </c>
      <c r="E1521" s="213">
        <v>11.4</v>
      </c>
      <c r="F1521" s="201">
        <v>18</v>
      </c>
      <c r="G1521" s="201">
        <v>19</v>
      </c>
      <c r="H1521" s="201">
        <v>20</v>
      </c>
      <c r="I1521" s="201">
        <v>9</v>
      </c>
      <c r="J1521" s="201">
        <v>7</v>
      </c>
      <c r="K1521" s="201">
        <v>10</v>
      </c>
      <c r="L1521" s="201">
        <v>18</v>
      </c>
      <c r="M1521" s="330">
        <v>15</v>
      </c>
      <c r="N1521" s="202">
        <v>0.31578947368421051</v>
      </c>
    </row>
    <row r="1522" spans="1:14" ht="15.75" customHeight="1">
      <c r="A1522" s="198" t="s">
        <v>159</v>
      </c>
      <c r="B1522" s="199" t="s">
        <v>201</v>
      </c>
      <c r="C1522" s="199" t="s">
        <v>166</v>
      </c>
      <c r="D1522" s="203" t="s">
        <v>91</v>
      </c>
      <c r="E1522" s="214">
        <v>12.2</v>
      </c>
      <c r="F1522" s="204">
        <v>18</v>
      </c>
      <c r="G1522" s="204">
        <v>23</v>
      </c>
      <c r="H1522" s="204">
        <v>20</v>
      </c>
      <c r="I1522" s="204">
        <v>10</v>
      </c>
      <c r="J1522" s="204">
        <v>7</v>
      </c>
      <c r="K1522" s="204">
        <v>10</v>
      </c>
      <c r="L1522" s="204">
        <v>18</v>
      </c>
      <c r="M1522" s="331">
        <v>17</v>
      </c>
      <c r="N1522" s="202">
        <v>0.39344262295081978</v>
      </c>
    </row>
    <row r="1523" spans="1:14" ht="15.75" customHeight="1">
      <c r="A1523" s="198" t="s">
        <v>159</v>
      </c>
      <c r="B1523" s="199" t="s">
        <v>201</v>
      </c>
      <c r="C1523" s="199" t="s">
        <v>133</v>
      </c>
      <c r="D1523" s="200" t="s">
        <v>162</v>
      </c>
      <c r="E1523" s="213">
        <v>0.2</v>
      </c>
      <c r="F1523" s="201">
        <v>0</v>
      </c>
      <c r="G1523" s="201">
        <v>2</v>
      </c>
      <c r="H1523" s="201">
        <v>1</v>
      </c>
      <c r="I1523" s="201">
        <v>2</v>
      </c>
      <c r="J1523" s="201">
        <v>0</v>
      </c>
      <c r="K1523" s="201">
        <v>0</v>
      </c>
      <c r="L1523" s="201">
        <v>1</v>
      </c>
      <c r="M1523" s="330">
        <v>1</v>
      </c>
      <c r="N1523" s="202">
        <v>4</v>
      </c>
    </row>
    <row r="1524" spans="1:14" ht="15.75" customHeight="1">
      <c r="A1524" s="198" t="s">
        <v>159</v>
      </c>
      <c r="B1524" s="199" t="s">
        <v>201</v>
      </c>
      <c r="C1524" s="199" t="s">
        <v>133</v>
      </c>
      <c r="D1524" s="200" t="s">
        <v>163</v>
      </c>
      <c r="E1524" s="213">
        <v>21.7</v>
      </c>
      <c r="F1524" s="201">
        <v>11</v>
      </c>
      <c r="G1524" s="201">
        <v>24</v>
      </c>
      <c r="H1524" s="201">
        <v>27</v>
      </c>
      <c r="I1524" s="201">
        <v>18</v>
      </c>
      <c r="J1524" s="201">
        <v>18</v>
      </c>
      <c r="K1524" s="201">
        <v>13</v>
      </c>
      <c r="L1524" s="201">
        <v>11</v>
      </c>
      <c r="M1524" s="330">
        <v>14</v>
      </c>
      <c r="N1524" s="202">
        <v>-0.35483870967741932</v>
      </c>
    </row>
    <row r="1525" spans="1:14" ht="15.75" customHeight="1">
      <c r="A1525" s="198" t="s">
        <v>159</v>
      </c>
      <c r="B1525" s="199" t="s">
        <v>201</v>
      </c>
      <c r="C1525" s="199" t="s">
        <v>133</v>
      </c>
      <c r="D1525" s="200" t="s">
        <v>164</v>
      </c>
      <c r="E1525" s="213">
        <v>21.5</v>
      </c>
      <c r="F1525" s="201">
        <v>11</v>
      </c>
      <c r="G1525" s="201">
        <v>22</v>
      </c>
      <c r="H1525" s="201">
        <v>26</v>
      </c>
      <c r="I1525" s="201">
        <v>16</v>
      </c>
      <c r="J1525" s="201">
        <v>18</v>
      </c>
      <c r="K1525" s="201">
        <v>13</v>
      </c>
      <c r="L1525" s="201">
        <v>10</v>
      </c>
      <c r="M1525" s="330">
        <v>13</v>
      </c>
      <c r="N1525" s="202">
        <v>-0.39534883720930231</v>
      </c>
    </row>
    <row r="1526" spans="1:14" ht="15.75" customHeight="1">
      <c r="A1526" s="198" t="s">
        <v>159</v>
      </c>
      <c r="B1526" s="199" t="s">
        <v>201</v>
      </c>
      <c r="C1526" s="199" t="s">
        <v>133</v>
      </c>
      <c r="D1526" s="200" t="s">
        <v>165</v>
      </c>
      <c r="E1526" s="213">
        <v>78</v>
      </c>
      <c r="F1526" s="201">
        <v>76</v>
      </c>
      <c r="G1526" s="201">
        <v>87</v>
      </c>
      <c r="H1526" s="201">
        <v>82</v>
      </c>
      <c r="I1526" s="201">
        <v>84</v>
      </c>
      <c r="J1526" s="201">
        <v>112</v>
      </c>
      <c r="K1526" s="201">
        <v>119</v>
      </c>
      <c r="L1526" s="201">
        <v>102</v>
      </c>
      <c r="M1526" s="330">
        <v>90</v>
      </c>
      <c r="N1526" s="202">
        <v>0.15384615384615385</v>
      </c>
    </row>
    <row r="1527" spans="1:14" ht="15.75" customHeight="1">
      <c r="A1527" s="198" t="s">
        <v>159</v>
      </c>
      <c r="B1527" s="199" t="s">
        <v>201</v>
      </c>
      <c r="C1527" s="199" t="s">
        <v>133</v>
      </c>
      <c r="D1527" s="203" t="s">
        <v>91</v>
      </c>
      <c r="E1527" s="214">
        <v>99.6</v>
      </c>
      <c r="F1527" s="204">
        <v>87</v>
      </c>
      <c r="G1527" s="204">
        <v>111</v>
      </c>
      <c r="H1527" s="204">
        <v>109</v>
      </c>
      <c r="I1527" s="204">
        <v>102</v>
      </c>
      <c r="J1527" s="204">
        <v>130</v>
      </c>
      <c r="K1527" s="204">
        <v>132</v>
      </c>
      <c r="L1527" s="204">
        <v>113</v>
      </c>
      <c r="M1527" s="331">
        <v>104</v>
      </c>
      <c r="N1527" s="202">
        <v>4.4176706827309294E-2</v>
      </c>
    </row>
    <row r="1528" spans="1:14" ht="15.75" customHeight="1">
      <c r="A1528" s="198" t="s">
        <v>159</v>
      </c>
      <c r="B1528" s="199" t="s">
        <v>201</v>
      </c>
      <c r="C1528" s="199" t="s">
        <v>167</v>
      </c>
      <c r="D1528" s="200" t="s">
        <v>162</v>
      </c>
      <c r="E1528" s="213">
        <v>0.2</v>
      </c>
      <c r="F1528" s="201">
        <v>0</v>
      </c>
      <c r="G1528" s="201">
        <v>0</v>
      </c>
      <c r="H1528" s="201">
        <v>0</v>
      </c>
      <c r="I1528" s="201">
        <v>0</v>
      </c>
      <c r="J1528" s="201">
        <v>0</v>
      </c>
      <c r="K1528" s="201">
        <v>0</v>
      </c>
      <c r="L1528" s="201">
        <v>0</v>
      </c>
      <c r="M1528" s="330" t="s">
        <v>172</v>
      </c>
      <c r="N1528" s="202">
        <v>-1</v>
      </c>
    </row>
    <row r="1529" spans="1:14" ht="15.75" customHeight="1">
      <c r="A1529" s="198" t="s">
        <v>159</v>
      </c>
      <c r="B1529" s="199" t="s">
        <v>201</v>
      </c>
      <c r="C1529" s="199" t="s">
        <v>167</v>
      </c>
      <c r="D1529" s="200" t="s">
        <v>163</v>
      </c>
      <c r="E1529" s="213">
        <v>0.5</v>
      </c>
      <c r="F1529" s="201">
        <v>1</v>
      </c>
      <c r="G1529" s="201">
        <v>0</v>
      </c>
      <c r="H1529" s="201">
        <v>1</v>
      </c>
      <c r="I1529" s="201">
        <v>3</v>
      </c>
      <c r="J1529" s="201">
        <v>1</v>
      </c>
      <c r="K1529" s="201">
        <v>1</v>
      </c>
      <c r="L1529" s="201">
        <v>3</v>
      </c>
      <c r="M1529" s="330">
        <v>3</v>
      </c>
      <c r="N1529" s="202">
        <v>5</v>
      </c>
    </row>
    <row r="1530" spans="1:14" ht="15.75" customHeight="1">
      <c r="A1530" s="198" t="s">
        <v>159</v>
      </c>
      <c r="B1530" s="199" t="s">
        <v>201</v>
      </c>
      <c r="C1530" s="199" t="s">
        <v>167</v>
      </c>
      <c r="D1530" s="200" t="s">
        <v>164</v>
      </c>
      <c r="E1530" s="213">
        <v>0.3</v>
      </c>
      <c r="F1530" s="201">
        <v>1</v>
      </c>
      <c r="G1530" s="201">
        <v>0</v>
      </c>
      <c r="H1530" s="201">
        <v>1</v>
      </c>
      <c r="I1530" s="201">
        <v>3</v>
      </c>
      <c r="J1530" s="201">
        <v>1</v>
      </c>
      <c r="K1530" s="201">
        <v>1</v>
      </c>
      <c r="L1530" s="201">
        <v>3</v>
      </c>
      <c r="M1530" s="330">
        <v>3</v>
      </c>
      <c r="N1530" s="202">
        <v>9.0000000000000018</v>
      </c>
    </row>
    <row r="1531" spans="1:14">
      <c r="A1531" s="198" t="s">
        <v>159</v>
      </c>
      <c r="B1531" s="199" t="s">
        <v>201</v>
      </c>
      <c r="C1531" s="199" t="s">
        <v>167</v>
      </c>
      <c r="D1531" s="200" t="s">
        <v>165</v>
      </c>
      <c r="E1531" s="213">
        <v>2.6</v>
      </c>
      <c r="F1531" s="201">
        <v>2</v>
      </c>
      <c r="G1531" s="201">
        <v>5</v>
      </c>
      <c r="H1531" s="201">
        <v>1</v>
      </c>
      <c r="I1531" s="201">
        <v>6</v>
      </c>
      <c r="J1531" s="201">
        <v>22</v>
      </c>
      <c r="K1531" s="201">
        <v>6</v>
      </c>
      <c r="L1531" s="201">
        <v>13</v>
      </c>
      <c r="M1531" s="330">
        <v>7</v>
      </c>
      <c r="N1531" s="202">
        <v>1.6923076923076923</v>
      </c>
    </row>
    <row r="1532" spans="1:14" ht="15.75" customHeight="1">
      <c r="A1532" s="198" t="s">
        <v>159</v>
      </c>
      <c r="B1532" s="199" t="s">
        <v>201</v>
      </c>
      <c r="C1532" s="199" t="s">
        <v>167</v>
      </c>
      <c r="D1532" s="203" t="s">
        <v>91</v>
      </c>
      <c r="E1532" s="214">
        <v>3.1</v>
      </c>
      <c r="F1532" s="204">
        <v>3</v>
      </c>
      <c r="G1532" s="204">
        <v>5</v>
      </c>
      <c r="H1532" s="204">
        <v>2</v>
      </c>
      <c r="I1532" s="204">
        <v>9</v>
      </c>
      <c r="J1532" s="204">
        <v>23</v>
      </c>
      <c r="K1532" s="204">
        <v>7</v>
      </c>
      <c r="L1532" s="204">
        <v>16</v>
      </c>
      <c r="M1532" s="331">
        <v>10</v>
      </c>
      <c r="N1532" s="202">
        <v>2.2258064516129035</v>
      </c>
    </row>
    <row r="1533" spans="1:14" ht="15.75" customHeight="1">
      <c r="A1533" s="198" t="s">
        <v>159</v>
      </c>
      <c r="B1533" s="199" t="s">
        <v>201</v>
      </c>
      <c r="C1533" s="199" t="s">
        <v>168</v>
      </c>
      <c r="D1533" s="200" t="s">
        <v>162</v>
      </c>
      <c r="E1533" s="213">
        <v>0.2</v>
      </c>
      <c r="F1533" s="201">
        <v>0</v>
      </c>
      <c r="G1533" s="201">
        <v>0</v>
      </c>
      <c r="H1533" s="201">
        <v>0</v>
      </c>
      <c r="I1533" s="201">
        <v>0</v>
      </c>
      <c r="J1533" s="201">
        <v>0</v>
      </c>
      <c r="K1533" s="201">
        <v>0</v>
      </c>
      <c r="L1533" s="201">
        <v>0</v>
      </c>
      <c r="M1533" s="330" t="s">
        <v>172</v>
      </c>
      <c r="N1533" s="202">
        <v>-1</v>
      </c>
    </row>
    <row r="1534" spans="1:14" ht="15.75" customHeight="1">
      <c r="A1534" s="198" t="s">
        <v>159</v>
      </c>
      <c r="B1534" s="199" t="s">
        <v>201</v>
      </c>
      <c r="C1534" s="199" t="s">
        <v>168</v>
      </c>
      <c r="D1534" s="200" t="s">
        <v>163</v>
      </c>
      <c r="E1534" s="213">
        <v>20.5</v>
      </c>
      <c r="F1534" s="201">
        <v>12</v>
      </c>
      <c r="G1534" s="201">
        <v>18</v>
      </c>
      <c r="H1534" s="201">
        <v>14</v>
      </c>
      <c r="I1534" s="201">
        <v>27</v>
      </c>
      <c r="J1534" s="201">
        <v>25</v>
      </c>
      <c r="K1534" s="201">
        <v>17</v>
      </c>
      <c r="L1534" s="201">
        <v>13</v>
      </c>
      <c r="M1534" s="330">
        <v>14</v>
      </c>
      <c r="N1534" s="202">
        <v>-0.31707317073170732</v>
      </c>
    </row>
    <row r="1535" spans="1:14" ht="15.75" customHeight="1">
      <c r="A1535" s="198" t="s">
        <v>159</v>
      </c>
      <c r="B1535" s="199" t="s">
        <v>201</v>
      </c>
      <c r="C1535" s="199" t="s">
        <v>168</v>
      </c>
      <c r="D1535" s="200" t="s">
        <v>164</v>
      </c>
      <c r="E1535" s="213">
        <v>20.3</v>
      </c>
      <c r="F1535" s="201">
        <v>12</v>
      </c>
      <c r="G1535" s="201">
        <v>18</v>
      </c>
      <c r="H1535" s="201">
        <v>14</v>
      </c>
      <c r="I1535" s="201">
        <v>27</v>
      </c>
      <c r="J1535" s="201">
        <v>25</v>
      </c>
      <c r="K1535" s="201">
        <v>17</v>
      </c>
      <c r="L1535" s="201">
        <v>13</v>
      </c>
      <c r="M1535" s="330">
        <v>14</v>
      </c>
      <c r="N1535" s="202">
        <v>-0.31034482758620691</v>
      </c>
    </row>
    <row r="1536" spans="1:14" ht="15.75" customHeight="1">
      <c r="A1536" s="198" t="s">
        <v>159</v>
      </c>
      <c r="B1536" s="199" t="s">
        <v>201</v>
      </c>
      <c r="C1536" s="199" t="s">
        <v>168</v>
      </c>
      <c r="D1536" s="200" t="s">
        <v>165</v>
      </c>
      <c r="E1536" s="213">
        <v>94.4</v>
      </c>
      <c r="F1536" s="201">
        <v>84</v>
      </c>
      <c r="G1536" s="201">
        <v>100</v>
      </c>
      <c r="H1536" s="201">
        <v>112</v>
      </c>
      <c r="I1536" s="201">
        <v>117</v>
      </c>
      <c r="J1536" s="201">
        <v>129</v>
      </c>
      <c r="K1536" s="201">
        <v>112</v>
      </c>
      <c r="L1536" s="201">
        <v>88</v>
      </c>
      <c r="M1536" s="330">
        <v>101</v>
      </c>
      <c r="N1536" s="202">
        <v>6.9915254237288074E-2</v>
      </c>
    </row>
    <row r="1537" spans="1:14" ht="15.75" customHeight="1">
      <c r="A1537" s="198" t="s">
        <v>159</v>
      </c>
      <c r="B1537" s="199" t="s">
        <v>201</v>
      </c>
      <c r="C1537" s="199" t="s">
        <v>168</v>
      </c>
      <c r="D1537" s="203" t="s">
        <v>91</v>
      </c>
      <c r="E1537" s="214">
        <v>114.9</v>
      </c>
      <c r="F1537" s="204">
        <v>96</v>
      </c>
      <c r="G1537" s="204">
        <v>118</v>
      </c>
      <c r="H1537" s="204">
        <v>126</v>
      </c>
      <c r="I1537" s="204">
        <v>144</v>
      </c>
      <c r="J1537" s="204">
        <v>154</v>
      </c>
      <c r="K1537" s="204">
        <v>129</v>
      </c>
      <c r="L1537" s="204">
        <v>101</v>
      </c>
      <c r="M1537" s="331">
        <v>115</v>
      </c>
      <c r="N1537" s="202">
        <v>8.7032201914703496E-4</v>
      </c>
    </row>
    <row r="1538" spans="1:14" ht="15.75" customHeight="1">
      <c r="A1538" s="198" t="s">
        <v>159</v>
      </c>
      <c r="B1538" s="199" t="s">
        <v>201</v>
      </c>
      <c r="C1538" s="199" t="s">
        <v>131</v>
      </c>
      <c r="D1538" s="200" t="s">
        <v>162</v>
      </c>
      <c r="E1538" s="213">
        <v>1</v>
      </c>
      <c r="F1538" s="201">
        <v>4</v>
      </c>
      <c r="G1538" s="201">
        <v>2</v>
      </c>
      <c r="H1538" s="201">
        <v>2</v>
      </c>
      <c r="I1538" s="201">
        <v>1</v>
      </c>
      <c r="J1538" s="201">
        <v>0</v>
      </c>
      <c r="K1538" s="201">
        <v>0</v>
      </c>
      <c r="L1538" s="201">
        <v>0</v>
      </c>
      <c r="M1538" s="330">
        <v>3</v>
      </c>
      <c r="N1538" s="202">
        <v>2</v>
      </c>
    </row>
    <row r="1539" spans="1:14" ht="15.75" customHeight="1">
      <c r="A1539" s="198" t="s">
        <v>159</v>
      </c>
      <c r="B1539" s="199" t="s">
        <v>201</v>
      </c>
      <c r="C1539" s="199" t="s">
        <v>131</v>
      </c>
      <c r="D1539" s="200" t="s">
        <v>163</v>
      </c>
      <c r="E1539" s="213">
        <v>40.4</v>
      </c>
      <c r="F1539" s="201">
        <v>43</v>
      </c>
      <c r="G1539" s="201">
        <v>31</v>
      </c>
      <c r="H1539" s="201">
        <v>35</v>
      </c>
      <c r="I1539" s="201">
        <v>21</v>
      </c>
      <c r="J1539" s="201">
        <v>25</v>
      </c>
      <c r="K1539" s="201">
        <v>24</v>
      </c>
      <c r="L1539" s="201">
        <v>25</v>
      </c>
      <c r="M1539" s="330">
        <v>16</v>
      </c>
      <c r="N1539" s="202">
        <v>-0.60396039603960394</v>
      </c>
    </row>
    <row r="1540" spans="1:14" ht="15.75" customHeight="1">
      <c r="A1540" s="198" t="s">
        <v>159</v>
      </c>
      <c r="B1540" s="199" t="s">
        <v>201</v>
      </c>
      <c r="C1540" s="199" t="s">
        <v>131</v>
      </c>
      <c r="D1540" s="200" t="s">
        <v>164</v>
      </c>
      <c r="E1540" s="213">
        <v>39.4</v>
      </c>
      <c r="F1540" s="201">
        <v>39</v>
      </c>
      <c r="G1540" s="201">
        <v>29</v>
      </c>
      <c r="H1540" s="201">
        <v>33</v>
      </c>
      <c r="I1540" s="201">
        <v>20</v>
      </c>
      <c r="J1540" s="201">
        <v>25</v>
      </c>
      <c r="K1540" s="201">
        <v>24</v>
      </c>
      <c r="L1540" s="201">
        <v>25</v>
      </c>
      <c r="M1540" s="330">
        <v>13</v>
      </c>
      <c r="N1540" s="202">
        <v>-0.67005076142131981</v>
      </c>
    </row>
    <row r="1541" spans="1:14">
      <c r="A1541" s="198" t="s">
        <v>159</v>
      </c>
      <c r="B1541" s="199" t="s">
        <v>201</v>
      </c>
      <c r="C1541" s="199" t="s">
        <v>131</v>
      </c>
      <c r="D1541" s="200" t="s">
        <v>165</v>
      </c>
      <c r="E1541" s="213">
        <v>111.9</v>
      </c>
      <c r="F1541" s="201">
        <v>126</v>
      </c>
      <c r="G1541" s="201">
        <v>126</v>
      </c>
      <c r="H1541" s="201">
        <v>118</v>
      </c>
      <c r="I1541" s="201">
        <v>89</v>
      </c>
      <c r="J1541" s="201">
        <v>84</v>
      </c>
      <c r="K1541" s="201">
        <v>80</v>
      </c>
      <c r="L1541" s="201">
        <v>83</v>
      </c>
      <c r="M1541" s="330">
        <v>72</v>
      </c>
      <c r="N1541" s="202">
        <v>-0.35656836461126007</v>
      </c>
    </row>
    <row r="1542" spans="1:14" ht="15.75" customHeight="1">
      <c r="A1542" s="198" t="s">
        <v>159</v>
      </c>
      <c r="B1542" s="199" t="s">
        <v>201</v>
      </c>
      <c r="C1542" s="199" t="s">
        <v>131</v>
      </c>
      <c r="D1542" s="203" t="s">
        <v>91</v>
      </c>
      <c r="E1542" s="214">
        <v>152.30000000000001</v>
      </c>
      <c r="F1542" s="204">
        <v>169</v>
      </c>
      <c r="G1542" s="204">
        <v>157</v>
      </c>
      <c r="H1542" s="204">
        <v>153</v>
      </c>
      <c r="I1542" s="204">
        <v>110</v>
      </c>
      <c r="J1542" s="204">
        <v>109</v>
      </c>
      <c r="K1542" s="204">
        <v>104</v>
      </c>
      <c r="L1542" s="204">
        <v>108</v>
      </c>
      <c r="M1542" s="331">
        <v>88</v>
      </c>
      <c r="N1542" s="202">
        <v>-0.42219304005252795</v>
      </c>
    </row>
    <row r="1543" spans="1:14" ht="15.75" customHeight="1">
      <c r="A1543" s="198" t="s">
        <v>159</v>
      </c>
      <c r="B1543" s="199" t="s">
        <v>201</v>
      </c>
      <c r="C1543" s="199" t="s">
        <v>169</v>
      </c>
      <c r="D1543" s="200" t="s">
        <v>162</v>
      </c>
      <c r="E1543" s="213">
        <v>0</v>
      </c>
      <c r="F1543" s="201">
        <v>0</v>
      </c>
      <c r="G1543" s="201">
        <v>0</v>
      </c>
      <c r="H1543" s="201">
        <v>0</v>
      </c>
      <c r="I1543" s="201">
        <v>0</v>
      </c>
      <c r="J1543" s="201">
        <v>0</v>
      </c>
      <c r="K1543" s="201">
        <v>0</v>
      </c>
      <c r="L1543" s="201">
        <v>0</v>
      </c>
      <c r="M1543" s="330" t="s">
        <v>172</v>
      </c>
      <c r="N1543" s="202">
        <v>0</v>
      </c>
    </row>
    <row r="1544" spans="1:14" ht="15.75" customHeight="1">
      <c r="A1544" s="198" t="s">
        <v>159</v>
      </c>
      <c r="B1544" s="199" t="s">
        <v>201</v>
      </c>
      <c r="C1544" s="199" t="s">
        <v>169</v>
      </c>
      <c r="D1544" s="200" t="s">
        <v>163</v>
      </c>
      <c r="E1544" s="213">
        <v>0</v>
      </c>
      <c r="F1544" s="201">
        <v>0</v>
      </c>
      <c r="G1544" s="201">
        <v>0</v>
      </c>
      <c r="H1544" s="201">
        <v>0</v>
      </c>
      <c r="I1544" s="201">
        <v>0</v>
      </c>
      <c r="J1544" s="201">
        <v>0</v>
      </c>
      <c r="K1544" s="201">
        <v>0</v>
      </c>
      <c r="L1544" s="201">
        <v>0</v>
      </c>
      <c r="M1544" s="330">
        <v>1</v>
      </c>
      <c r="N1544" s="202">
        <v>0</v>
      </c>
    </row>
    <row r="1545" spans="1:14" ht="15.75" customHeight="1">
      <c r="A1545" s="198" t="s">
        <v>159</v>
      </c>
      <c r="B1545" s="199" t="s">
        <v>201</v>
      </c>
      <c r="C1545" s="199" t="s">
        <v>169</v>
      </c>
      <c r="D1545" s="200" t="s">
        <v>164</v>
      </c>
      <c r="E1545" s="213">
        <v>0</v>
      </c>
      <c r="F1545" s="201">
        <v>0</v>
      </c>
      <c r="G1545" s="201">
        <v>0</v>
      </c>
      <c r="H1545" s="201">
        <v>0</v>
      </c>
      <c r="I1545" s="201">
        <v>0</v>
      </c>
      <c r="J1545" s="201">
        <v>0</v>
      </c>
      <c r="K1545" s="201">
        <v>0</v>
      </c>
      <c r="L1545" s="201">
        <v>0</v>
      </c>
      <c r="M1545" s="330">
        <v>1</v>
      </c>
      <c r="N1545" s="202">
        <v>0</v>
      </c>
    </row>
    <row r="1546" spans="1:14" ht="15.75" customHeight="1">
      <c r="A1546" s="198" t="s">
        <v>159</v>
      </c>
      <c r="B1546" s="199" t="s">
        <v>201</v>
      </c>
      <c r="C1546" s="199" t="s">
        <v>169</v>
      </c>
      <c r="D1546" s="200" t="s">
        <v>165</v>
      </c>
      <c r="E1546" s="213">
        <v>0</v>
      </c>
      <c r="F1546" s="201">
        <v>6</v>
      </c>
      <c r="G1546" s="201">
        <v>10</v>
      </c>
      <c r="H1546" s="201">
        <v>9</v>
      </c>
      <c r="I1546" s="201">
        <v>3</v>
      </c>
      <c r="J1546" s="201">
        <v>3</v>
      </c>
      <c r="K1546" s="201">
        <v>5</v>
      </c>
      <c r="L1546" s="201">
        <v>3</v>
      </c>
      <c r="M1546" s="330">
        <v>8</v>
      </c>
      <c r="N1546" s="202">
        <v>0</v>
      </c>
    </row>
    <row r="1547" spans="1:14" ht="15.75" customHeight="1">
      <c r="A1547" s="198" t="s">
        <v>159</v>
      </c>
      <c r="B1547" s="199" t="s">
        <v>201</v>
      </c>
      <c r="C1547" s="199" t="s">
        <v>169</v>
      </c>
      <c r="D1547" s="203" t="s">
        <v>91</v>
      </c>
      <c r="E1547" s="214">
        <v>0</v>
      </c>
      <c r="F1547" s="204">
        <v>6</v>
      </c>
      <c r="G1547" s="204">
        <v>10</v>
      </c>
      <c r="H1547" s="204">
        <v>9</v>
      </c>
      <c r="I1547" s="204">
        <v>3</v>
      </c>
      <c r="J1547" s="204">
        <v>3</v>
      </c>
      <c r="K1547" s="204">
        <v>5</v>
      </c>
      <c r="L1547" s="204">
        <v>3</v>
      </c>
      <c r="M1547" s="331">
        <v>9</v>
      </c>
      <c r="N1547" s="202">
        <v>0</v>
      </c>
    </row>
    <row r="1548" spans="1:14" ht="15.75" customHeight="1">
      <c r="A1548" s="198" t="s">
        <v>159</v>
      </c>
      <c r="B1548" s="199" t="s">
        <v>201</v>
      </c>
      <c r="C1548" s="199" t="s">
        <v>139</v>
      </c>
      <c r="D1548" s="200" t="s">
        <v>162</v>
      </c>
      <c r="E1548" s="213">
        <v>0</v>
      </c>
      <c r="F1548" s="201">
        <v>0</v>
      </c>
      <c r="G1548" s="201">
        <v>0</v>
      </c>
      <c r="H1548" s="201">
        <v>0</v>
      </c>
      <c r="I1548" s="201">
        <v>0</v>
      </c>
      <c r="J1548" s="201">
        <v>0</v>
      </c>
      <c r="K1548" s="201">
        <v>0</v>
      </c>
      <c r="L1548" s="201">
        <v>0</v>
      </c>
      <c r="M1548" s="330" t="s">
        <v>172</v>
      </c>
      <c r="N1548" s="202">
        <v>0</v>
      </c>
    </row>
    <row r="1549" spans="1:14" ht="15.75" customHeight="1">
      <c r="A1549" s="198" t="s">
        <v>159</v>
      </c>
      <c r="B1549" s="199" t="s">
        <v>201</v>
      </c>
      <c r="C1549" s="199" t="s">
        <v>139</v>
      </c>
      <c r="D1549" s="200" t="s">
        <v>163</v>
      </c>
      <c r="E1549" s="213">
        <v>0.5</v>
      </c>
      <c r="F1549" s="201">
        <v>0</v>
      </c>
      <c r="G1549" s="201">
        <v>0</v>
      </c>
      <c r="H1549" s="201">
        <v>0</v>
      </c>
      <c r="I1549" s="201">
        <v>0</v>
      </c>
      <c r="J1549" s="201">
        <v>0</v>
      </c>
      <c r="K1549" s="201">
        <v>0</v>
      </c>
      <c r="L1549" s="201">
        <v>0</v>
      </c>
      <c r="M1549" s="330">
        <v>1</v>
      </c>
      <c r="N1549" s="202">
        <v>1</v>
      </c>
    </row>
    <row r="1550" spans="1:14" ht="15.75" customHeight="1">
      <c r="A1550" s="198" t="s">
        <v>159</v>
      </c>
      <c r="B1550" s="199" t="s">
        <v>201</v>
      </c>
      <c r="C1550" s="199" t="s">
        <v>139</v>
      </c>
      <c r="D1550" s="200" t="s">
        <v>164</v>
      </c>
      <c r="E1550" s="213">
        <v>0.5</v>
      </c>
      <c r="F1550" s="201">
        <v>0</v>
      </c>
      <c r="G1550" s="201">
        <v>0</v>
      </c>
      <c r="H1550" s="201">
        <v>0</v>
      </c>
      <c r="I1550" s="201">
        <v>0</v>
      </c>
      <c r="J1550" s="201">
        <v>0</v>
      </c>
      <c r="K1550" s="201">
        <v>0</v>
      </c>
      <c r="L1550" s="201">
        <v>0</v>
      </c>
      <c r="M1550" s="330">
        <v>1</v>
      </c>
      <c r="N1550" s="202">
        <v>1</v>
      </c>
    </row>
    <row r="1551" spans="1:14" ht="15.75" customHeight="1">
      <c r="A1551" s="198" t="s">
        <v>159</v>
      </c>
      <c r="B1551" s="199" t="s">
        <v>201</v>
      </c>
      <c r="C1551" s="199" t="s">
        <v>139</v>
      </c>
      <c r="D1551" s="200" t="s">
        <v>165</v>
      </c>
      <c r="E1551" s="213">
        <v>12.6</v>
      </c>
      <c r="F1551" s="201">
        <v>3</v>
      </c>
      <c r="G1551" s="201">
        <v>7</v>
      </c>
      <c r="H1551" s="201">
        <v>19</v>
      </c>
      <c r="I1551" s="201">
        <v>11</v>
      </c>
      <c r="J1551" s="201">
        <v>8</v>
      </c>
      <c r="K1551" s="201">
        <v>9</v>
      </c>
      <c r="L1551" s="201">
        <v>6</v>
      </c>
      <c r="M1551" s="330">
        <v>6</v>
      </c>
      <c r="N1551" s="202">
        <v>-0.52380952380952384</v>
      </c>
    </row>
    <row r="1552" spans="1:14" ht="15.75" customHeight="1">
      <c r="A1552" s="198" t="s">
        <v>159</v>
      </c>
      <c r="B1552" s="199" t="s">
        <v>201</v>
      </c>
      <c r="C1552" s="199" t="s">
        <v>139</v>
      </c>
      <c r="D1552" s="203" t="s">
        <v>91</v>
      </c>
      <c r="E1552" s="214">
        <v>13.1</v>
      </c>
      <c r="F1552" s="204">
        <v>3</v>
      </c>
      <c r="G1552" s="204">
        <v>7</v>
      </c>
      <c r="H1552" s="204">
        <v>19</v>
      </c>
      <c r="I1552" s="204">
        <v>11</v>
      </c>
      <c r="J1552" s="204">
        <v>8</v>
      </c>
      <c r="K1552" s="204">
        <v>9</v>
      </c>
      <c r="L1552" s="204">
        <v>6</v>
      </c>
      <c r="M1552" s="331">
        <v>7</v>
      </c>
      <c r="N1552" s="202">
        <v>-0.46564885496183206</v>
      </c>
    </row>
    <row r="1553" spans="1:14" ht="15.75" customHeight="1">
      <c r="A1553" s="198" t="s">
        <v>159</v>
      </c>
      <c r="B1553" s="199" t="s">
        <v>201</v>
      </c>
      <c r="C1553" s="205" t="s">
        <v>91</v>
      </c>
      <c r="D1553" s="203" t="s">
        <v>162</v>
      </c>
      <c r="E1553" s="214">
        <v>2.4</v>
      </c>
      <c r="F1553" s="204">
        <v>4</v>
      </c>
      <c r="G1553" s="204">
        <v>7</v>
      </c>
      <c r="H1553" s="204">
        <v>3</v>
      </c>
      <c r="I1553" s="204">
        <v>3</v>
      </c>
      <c r="J1553" s="204">
        <v>0</v>
      </c>
      <c r="K1553" s="204">
        <v>0</v>
      </c>
      <c r="L1553" s="204">
        <v>1</v>
      </c>
      <c r="M1553" s="331">
        <v>7</v>
      </c>
      <c r="N1553" s="202">
        <v>1.9166666666666665</v>
      </c>
    </row>
    <row r="1554" spans="1:14" ht="15.75" customHeight="1">
      <c r="A1554" s="198" t="s">
        <v>175</v>
      </c>
      <c r="B1554" s="199" t="s">
        <v>177</v>
      </c>
      <c r="C1554" s="205" t="s">
        <v>91</v>
      </c>
      <c r="D1554" s="203" t="s">
        <v>163</v>
      </c>
      <c r="E1554" s="216">
        <v>53.5</v>
      </c>
      <c r="F1554" s="204">
        <v>54</v>
      </c>
      <c r="G1554" s="204">
        <v>82</v>
      </c>
      <c r="H1554" s="204">
        <v>76</v>
      </c>
      <c r="I1554" s="204">
        <v>41</v>
      </c>
      <c r="J1554" s="204">
        <v>40</v>
      </c>
      <c r="K1554" s="204">
        <v>59</v>
      </c>
      <c r="L1554" s="204">
        <v>42</v>
      </c>
      <c r="M1554" s="331">
        <v>58</v>
      </c>
      <c r="N1554" s="202">
        <v>8.4112149532710276E-2</v>
      </c>
    </row>
    <row r="1555" spans="1:14" ht="15.75" customHeight="1">
      <c r="A1555" s="198" t="s">
        <v>159</v>
      </c>
      <c r="B1555" s="199" t="s">
        <v>201</v>
      </c>
      <c r="C1555" s="205" t="s">
        <v>91</v>
      </c>
      <c r="D1555" s="203" t="s">
        <v>164</v>
      </c>
      <c r="E1555" s="214">
        <v>116.5</v>
      </c>
      <c r="F1555" s="204">
        <v>88</v>
      </c>
      <c r="G1555" s="204">
        <v>96</v>
      </c>
      <c r="H1555" s="204">
        <v>91</v>
      </c>
      <c r="I1555" s="204">
        <v>79</v>
      </c>
      <c r="J1555" s="204">
        <v>80</v>
      </c>
      <c r="K1555" s="204">
        <v>72</v>
      </c>
      <c r="L1555" s="204">
        <v>62</v>
      </c>
      <c r="M1555" s="331">
        <v>65</v>
      </c>
      <c r="N1555" s="202">
        <v>-0.44206008583690987</v>
      </c>
    </row>
    <row r="1556" spans="1:14">
      <c r="A1556" s="198" t="s">
        <v>159</v>
      </c>
      <c r="B1556" s="199" t="s">
        <v>201</v>
      </c>
      <c r="C1556" s="205" t="s">
        <v>91</v>
      </c>
      <c r="D1556" s="203" t="s">
        <v>165</v>
      </c>
      <c r="E1556" s="214">
        <v>736.4</v>
      </c>
      <c r="F1556" s="204">
        <v>752</v>
      </c>
      <c r="G1556" s="204">
        <v>740</v>
      </c>
      <c r="H1556" s="204">
        <v>694</v>
      </c>
      <c r="I1556" s="204">
        <v>596</v>
      </c>
      <c r="J1556" s="204">
        <v>599</v>
      </c>
      <c r="K1556" s="204">
        <v>590</v>
      </c>
      <c r="L1556" s="204">
        <v>518</v>
      </c>
      <c r="M1556" s="331">
        <v>544</v>
      </c>
      <c r="N1556" s="202">
        <v>-0.26127104834329168</v>
      </c>
    </row>
    <row r="1557" spans="1:14" ht="15.75" customHeight="1">
      <c r="A1557" s="198" t="s">
        <v>159</v>
      </c>
      <c r="B1557" s="199" t="s">
        <v>201</v>
      </c>
      <c r="C1557" s="205" t="s">
        <v>91</v>
      </c>
      <c r="D1557" s="203" t="s">
        <v>91</v>
      </c>
      <c r="E1557" s="214">
        <v>855.3</v>
      </c>
      <c r="F1557" s="204">
        <v>844</v>
      </c>
      <c r="G1557" s="204">
        <v>843</v>
      </c>
      <c r="H1557" s="204">
        <v>788</v>
      </c>
      <c r="I1557" s="204">
        <v>678</v>
      </c>
      <c r="J1557" s="204">
        <v>679</v>
      </c>
      <c r="K1557" s="204">
        <v>662</v>
      </c>
      <c r="L1557" s="204">
        <v>581</v>
      </c>
      <c r="M1557" s="331">
        <v>616</v>
      </c>
      <c r="N1557" s="202">
        <v>-0.27978487080556524</v>
      </c>
    </row>
    <row r="1558" spans="1:14" ht="15.75" customHeight="1">
      <c r="A1558" s="198" t="s">
        <v>175</v>
      </c>
      <c r="B1558" s="199" t="s">
        <v>202</v>
      </c>
      <c r="C1558" s="199" t="s">
        <v>161</v>
      </c>
      <c r="D1558" s="200" t="s">
        <v>162</v>
      </c>
      <c r="E1558" s="215">
        <v>0.2</v>
      </c>
      <c r="F1558" s="201">
        <v>0</v>
      </c>
      <c r="G1558" s="201">
        <v>0</v>
      </c>
      <c r="H1558" s="201">
        <v>0</v>
      </c>
      <c r="I1558" s="201">
        <v>0</v>
      </c>
      <c r="J1558" s="201">
        <v>0</v>
      </c>
      <c r="K1558" s="201">
        <v>0</v>
      </c>
      <c r="L1558" s="201">
        <v>0</v>
      </c>
      <c r="M1558" s="330" t="s">
        <v>172</v>
      </c>
      <c r="N1558" s="202">
        <v>-1</v>
      </c>
    </row>
    <row r="1559" spans="1:14" ht="15.75" customHeight="1">
      <c r="A1559" s="198" t="s">
        <v>175</v>
      </c>
      <c r="B1559" s="199" t="s">
        <v>202</v>
      </c>
      <c r="C1559" s="199" t="s">
        <v>161</v>
      </c>
      <c r="D1559" s="200" t="s">
        <v>163</v>
      </c>
      <c r="E1559" s="215">
        <v>6</v>
      </c>
      <c r="F1559" s="201">
        <v>4</v>
      </c>
      <c r="G1559" s="201">
        <v>2</v>
      </c>
      <c r="H1559" s="201">
        <v>5</v>
      </c>
      <c r="I1559" s="201">
        <v>1</v>
      </c>
      <c r="J1559" s="201">
        <v>6</v>
      </c>
      <c r="K1559" s="201">
        <v>14</v>
      </c>
      <c r="L1559" s="201">
        <v>4</v>
      </c>
      <c r="M1559" s="330">
        <v>8</v>
      </c>
      <c r="N1559" s="202">
        <v>0.33333333333333331</v>
      </c>
    </row>
    <row r="1560" spans="1:14" ht="15.75" customHeight="1">
      <c r="A1560" s="198" t="s">
        <v>175</v>
      </c>
      <c r="B1560" s="199" t="s">
        <v>202</v>
      </c>
      <c r="C1560" s="199" t="s">
        <v>161</v>
      </c>
      <c r="D1560" s="200" t="s">
        <v>164</v>
      </c>
      <c r="E1560" s="215">
        <v>5.8</v>
      </c>
      <c r="F1560" s="201">
        <v>4</v>
      </c>
      <c r="G1560" s="201">
        <v>2</v>
      </c>
      <c r="H1560" s="201">
        <v>5</v>
      </c>
      <c r="I1560" s="201">
        <v>1</v>
      </c>
      <c r="J1560" s="201">
        <v>6</v>
      </c>
      <c r="K1560" s="201">
        <v>14</v>
      </c>
      <c r="L1560" s="201">
        <v>4</v>
      </c>
      <c r="M1560" s="330">
        <v>8</v>
      </c>
      <c r="N1560" s="202">
        <v>0.37931034482758624</v>
      </c>
    </row>
    <row r="1561" spans="1:14">
      <c r="A1561" s="198" t="s">
        <v>175</v>
      </c>
      <c r="B1561" s="199" t="s">
        <v>202</v>
      </c>
      <c r="C1561" s="199" t="s">
        <v>161</v>
      </c>
      <c r="D1561" s="200" t="s">
        <v>165</v>
      </c>
      <c r="E1561" s="215">
        <v>39.200000000000003</v>
      </c>
      <c r="F1561" s="201">
        <v>48</v>
      </c>
      <c r="G1561" s="201">
        <v>36</v>
      </c>
      <c r="H1561" s="201">
        <v>43</v>
      </c>
      <c r="I1561" s="201">
        <v>16</v>
      </c>
      <c r="J1561" s="201">
        <v>24</v>
      </c>
      <c r="K1561" s="201">
        <v>22</v>
      </c>
      <c r="L1561" s="201">
        <v>26</v>
      </c>
      <c r="M1561" s="330">
        <v>19</v>
      </c>
      <c r="N1561" s="202">
        <v>-0.51530612244897966</v>
      </c>
    </row>
    <row r="1562" spans="1:14" ht="15.75" customHeight="1">
      <c r="A1562" s="198" t="s">
        <v>175</v>
      </c>
      <c r="B1562" s="199" t="s">
        <v>202</v>
      </c>
      <c r="C1562" s="199" t="s">
        <v>161</v>
      </c>
      <c r="D1562" s="203" t="s">
        <v>91</v>
      </c>
      <c r="E1562" s="216">
        <v>45.2</v>
      </c>
      <c r="F1562" s="204">
        <v>52</v>
      </c>
      <c r="G1562" s="204">
        <v>38</v>
      </c>
      <c r="H1562" s="204">
        <v>48</v>
      </c>
      <c r="I1562" s="204">
        <v>17</v>
      </c>
      <c r="J1562" s="204">
        <v>30</v>
      </c>
      <c r="K1562" s="204">
        <v>36</v>
      </c>
      <c r="L1562" s="204">
        <v>30</v>
      </c>
      <c r="M1562" s="331">
        <v>27</v>
      </c>
      <c r="N1562" s="202">
        <v>-0.40265486725663718</v>
      </c>
    </row>
    <row r="1563" spans="1:14" ht="15.75" customHeight="1">
      <c r="A1563" s="198" t="s">
        <v>175</v>
      </c>
      <c r="B1563" s="199" t="s">
        <v>202</v>
      </c>
      <c r="C1563" s="199" t="s">
        <v>134</v>
      </c>
      <c r="D1563" s="200" t="s">
        <v>162</v>
      </c>
      <c r="E1563" s="215">
        <v>0.4</v>
      </c>
      <c r="F1563" s="201">
        <v>0</v>
      </c>
      <c r="G1563" s="201">
        <v>0</v>
      </c>
      <c r="H1563" s="201">
        <v>1</v>
      </c>
      <c r="I1563" s="201">
        <v>0</v>
      </c>
      <c r="J1563" s="201">
        <v>0</v>
      </c>
      <c r="K1563" s="201">
        <v>2</v>
      </c>
      <c r="L1563" s="201">
        <v>1</v>
      </c>
      <c r="M1563" s="330" t="s">
        <v>172</v>
      </c>
      <c r="N1563" s="202">
        <v>-1</v>
      </c>
    </row>
    <row r="1564" spans="1:14" ht="15.75" customHeight="1">
      <c r="A1564" s="198" t="s">
        <v>175</v>
      </c>
      <c r="B1564" s="199" t="s">
        <v>202</v>
      </c>
      <c r="C1564" s="199" t="s">
        <v>134</v>
      </c>
      <c r="D1564" s="200" t="s">
        <v>163</v>
      </c>
      <c r="E1564" s="215">
        <v>17</v>
      </c>
      <c r="F1564" s="201">
        <v>11</v>
      </c>
      <c r="G1564" s="201">
        <v>10</v>
      </c>
      <c r="H1564" s="201">
        <v>18</v>
      </c>
      <c r="I1564" s="201">
        <v>9</v>
      </c>
      <c r="J1564" s="201">
        <v>5</v>
      </c>
      <c r="K1564" s="201">
        <v>16</v>
      </c>
      <c r="L1564" s="201">
        <v>7</v>
      </c>
      <c r="M1564" s="330">
        <v>8</v>
      </c>
      <c r="N1564" s="202">
        <v>-0.52941176470588236</v>
      </c>
    </row>
    <row r="1565" spans="1:14" ht="15.75" customHeight="1">
      <c r="A1565" s="198" t="s">
        <v>175</v>
      </c>
      <c r="B1565" s="199" t="s">
        <v>202</v>
      </c>
      <c r="C1565" s="199" t="s">
        <v>134</v>
      </c>
      <c r="D1565" s="200" t="s">
        <v>164</v>
      </c>
      <c r="E1565" s="215">
        <v>16.600000000000001</v>
      </c>
      <c r="F1565" s="201">
        <v>11</v>
      </c>
      <c r="G1565" s="201">
        <v>10</v>
      </c>
      <c r="H1565" s="201">
        <v>17</v>
      </c>
      <c r="I1565" s="201">
        <v>9</v>
      </c>
      <c r="J1565" s="201">
        <v>5</v>
      </c>
      <c r="K1565" s="201">
        <v>14</v>
      </c>
      <c r="L1565" s="201">
        <v>6</v>
      </c>
      <c r="M1565" s="330">
        <v>8</v>
      </c>
      <c r="N1565" s="202">
        <v>-0.51807228915662651</v>
      </c>
    </row>
    <row r="1566" spans="1:14">
      <c r="A1566" s="198" t="s">
        <v>175</v>
      </c>
      <c r="B1566" s="199" t="s">
        <v>202</v>
      </c>
      <c r="C1566" s="199" t="s">
        <v>134</v>
      </c>
      <c r="D1566" s="200" t="s">
        <v>165</v>
      </c>
      <c r="E1566" s="215">
        <v>260.60000000000002</v>
      </c>
      <c r="F1566" s="201">
        <v>234</v>
      </c>
      <c r="G1566" s="201">
        <v>258</v>
      </c>
      <c r="H1566" s="201">
        <v>204</v>
      </c>
      <c r="I1566" s="201">
        <v>173</v>
      </c>
      <c r="J1566" s="201">
        <v>155</v>
      </c>
      <c r="K1566" s="201">
        <v>172</v>
      </c>
      <c r="L1566" s="201">
        <v>133</v>
      </c>
      <c r="M1566" s="330">
        <v>135</v>
      </c>
      <c r="N1566" s="202">
        <v>-0.48196469685341525</v>
      </c>
    </row>
    <row r="1567" spans="1:14" ht="15.75" customHeight="1">
      <c r="A1567" s="198" t="s">
        <v>175</v>
      </c>
      <c r="B1567" s="199" t="s">
        <v>202</v>
      </c>
      <c r="C1567" s="199" t="s">
        <v>134</v>
      </c>
      <c r="D1567" s="203" t="s">
        <v>91</v>
      </c>
      <c r="E1567" s="216">
        <v>277.60000000000002</v>
      </c>
      <c r="F1567" s="204">
        <v>245</v>
      </c>
      <c r="G1567" s="204">
        <v>268</v>
      </c>
      <c r="H1567" s="204">
        <v>222</v>
      </c>
      <c r="I1567" s="204">
        <v>182</v>
      </c>
      <c r="J1567" s="204">
        <v>160</v>
      </c>
      <c r="K1567" s="204">
        <v>188</v>
      </c>
      <c r="L1567" s="204">
        <v>140</v>
      </c>
      <c r="M1567" s="331">
        <v>143</v>
      </c>
      <c r="N1567" s="202">
        <v>-0.48487031700288191</v>
      </c>
    </row>
    <row r="1568" spans="1:14" ht="15.75" customHeight="1">
      <c r="A1568" s="198" t="s">
        <v>175</v>
      </c>
      <c r="B1568" s="199" t="s">
        <v>202</v>
      </c>
      <c r="C1568" s="199" t="s">
        <v>166</v>
      </c>
      <c r="D1568" s="200" t="s">
        <v>162</v>
      </c>
      <c r="E1568" s="215">
        <v>0</v>
      </c>
      <c r="F1568" s="201">
        <v>0</v>
      </c>
      <c r="G1568" s="201">
        <v>0</v>
      </c>
      <c r="H1568" s="201">
        <v>0</v>
      </c>
      <c r="I1568" s="201">
        <v>0</v>
      </c>
      <c r="J1568" s="201">
        <v>0</v>
      </c>
      <c r="K1568" s="201">
        <v>0</v>
      </c>
      <c r="L1568" s="201">
        <v>0</v>
      </c>
      <c r="M1568" s="330" t="s">
        <v>172</v>
      </c>
      <c r="N1568" s="202">
        <v>0</v>
      </c>
    </row>
    <row r="1569" spans="1:14" ht="15.75" customHeight="1">
      <c r="A1569" s="198" t="s">
        <v>175</v>
      </c>
      <c r="B1569" s="199" t="s">
        <v>202</v>
      </c>
      <c r="C1569" s="199" t="s">
        <v>166</v>
      </c>
      <c r="D1569" s="200" t="s">
        <v>163</v>
      </c>
      <c r="E1569" s="215">
        <v>1</v>
      </c>
      <c r="F1569" s="201">
        <v>1</v>
      </c>
      <c r="G1569" s="201">
        <v>1</v>
      </c>
      <c r="H1569" s="201">
        <v>2</v>
      </c>
      <c r="I1569" s="201">
        <v>0</v>
      </c>
      <c r="J1569" s="201">
        <v>0</v>
      </c>
      <c r="K1569" s="201">
        <v>3</v>
      </c>
      <c r="L1569" s="201">
        <v>1</v>
      </c>
      <c r="M1569" s="330">
        <v>0</v>
      </c>
      <c r="N1569" s="202">
        <v>-1</v>
      </c>
    </row>
    <row r="1570" spans="1:14" ht="15.75" customHeight="1">
      <c r="A1570" s="198" t="s">
        <v>175</v>
      </c>
      <c r="B1570" s="199" t="s">
        <v>202</v>
      </c>
      <c r="C1570" s="199" t="s">
        <v>166</v>
      </c>
      <c r="D1570" s="200" t="s">
        <v>164</v>
      </c>
      <c r="E1570" s="215">
        <v>1</v>
      </c>
      <c r="F1570" s="201">
        <v>1</v>
      </c>
      <c r="G1570" s="201">
        <v>1</v>
      </c>
      <c r="H1570" s="201">
        <v>2</v>
      </c>
      <c r="I1570" s="201">
        <v>0</v>
      </c>
      <c r="J1570" s="201">
        <v>0</v>
      </c>
      <c r="K1570" s="201">
        <v>3</v>
      </c>
      <c r="L1570" s="201">
        <v>1</v>
      </c>
      <c r="M1570" s="330" t="s">
        <v>172</v>
      </c>
      <c r="N1570" s="202">
        <v>-1</v>
      </c>
    </row>
    <row r="1571" spans="1:14">
      <c r="A1571" s="198" t="s">
        <v>175</v>
      </c>
      <c r="B1571" s="199" t="s">
        <v>202</v>
      </c>
      <c r="C1571" s="199" t="s">
        <v>166</v>
      </c>
      <c r="D1571" s="200" t="s">
        <v>165</v>
      </c>
      <c r="E1571" s="215">
        <v>18.600000000000001</v>
      </c>
      <c r="F1571" s="201">
        <v>7</v>
      </c>
      <c r="G1571" s="201">
        <v>17</v>
      </c>
      <c r="H1571" s="201">
        <v>15</v>
      </c>
      <c r="I1571" s="201">
        <v>15</v>
      </c>
      <c r="J1571" s="201">
        <v>19</v>
      </c>
      <c r="K1571" s="201">
        <v>7</v>
      </c>
      <c r="L1571" s="201">
        <v>7</v>
      </c>
      <c r="M1571" s="330">
        <v>14</v>
      </c>
      <c r="N1571" s="202">
        <v>-0.24731182795698931</v>
      </c>
    </row>
    <row r="1572" spans="1:14" ht="15.75" customHeight="1">
      <c r="A1572" s="198" t="s">
        <v>175</v>
      </c>
      <c r="B1572" s="199" t="s">
        <v>202</v>
      </c>
      <c r="C1572" s="199" t="s">
        <v>166</v>
      </c>
      <c r="D1572" s="203" t="s">
        <v>91</v>
      </c>
      <c r="E1572" s="216">
        <v>19.600000000000001</v>
      </c>
      <c r="F1572" s="204">
        <v>8</v>
      </c>
      <c r="G1572" s="204">
        <v>18</v>
      </c>
      <c r="H1572" s="204">
        <v>17</v>
      </c>
      <c r="I1572" s="204">
        <v>15</v>
      </c>
      <c r="J1572" s="204">
        <v>19</v>
      </c>
      <c r="K1572" s="204">
        <v>10</v>
      </c>
      <c r="L1572" s="204">
        <v>8</v>
      </c>
      <c r="M1572" s="331">
        <v>14</v>
      </c>
      <c r="N1572" s="202">
        <v>-0.28571428571428575</v>
      </c>
    </row>
    <row r="1573" spans="1:14" ht="15.75" customHeight="1">
      <c r="A1573" s="198" t="s">
        <v>175</v>
      </c>
      <c r="B1573" s="199" t="s">
        <v>202</v>
      </c>
      <c r="C1573" s="199" t="s">
        <v>133</v>
      </c>
      <c r="D1573" s="200" t="s">
        <v>162</v>
      </c>
      <c r="E1573" s="215">
        <v>1.2</v>
      </c>
      <c r="F1573" s="201">
        <v>1</v>
      </c>
      <c r="G1573" s="201">
        <v>1</v>
      </c>
      <c r="H1573" s="201">
        <v>1</v>
      </c>
      <c r="I1573" s="201">
        <v>0</v>
      </c>
      <c r="J1573" s="201">
        <v>0</v>
      </c>
      <c r="K1573" s="201">
        <v>1</v>
      </c>
      <c r="L1573" s="201">
        <v>0</v>
      </c>
      <c r="M1573" s="330">
        <v>3</v>
      </c>
      <c r="N1573" s="202">
        <v>1.5</v>
      </c>
    </row>
    <row r="1574" spans="1:14" ht="15.75" customHeight="1">
      <c r="A1574" s="198" t="s">
        <v>175</v>
      </c>
      <c r="B1574" s="199" t="s">
        <v>202</v>
      </c>
      <c r="C1574" s="199" t="s">
        <v>133</v>
      </c>
      <c r="D1574" s="200" t="s">
        <v>163</v>
      </c>
      <c r="E1574" s="215">
        <v>63</v>
      </c>
      <c r="F1574" s="201">
        <v>50</v>
      </c>
      <c r="G1574" s="201">
        <v>49</v>
      </c>
      <c r="H1574" s="201">
        <v>53</v>
      </c>
      <c r="I1574" s="201">
        <v>48</v>
      </c>
      <c r="J1574" s="201">
        <v>57</v>
      </c>
      <c r="K1574" s="201">
        <v>37</v>
      </c>
      <c r="L1574" s="201">
        <v>32</v>
      </c>
      <c r="M1574" s="330">
        <v>35</v>
      </c>
      <c r="N1574" s="202">
        <v>-0.44444444444444442</v>
      </c>
    </row>
    <row r="1575" spans="1:14" ht="15.75" customHeight="1">
      <c r="A1575" s="198" t="s">
        <v>175</v>
      </c>
      <c r="B1575" s="199" t="s">
        <v>202</v>
      </c>
      <c r="C1575" s="199" t="s">
        <v>133</v>
      </c>
      <c r="D1575" s="200" t="s">
        <v>164</v>
      </c>
      <c r="E1575" s="215">
        <v>61.8</v>
      </c>
      <c r="F1575" s="201">
        <v>49</v>
      </c>
      <c r="G1575" s="201">
        <v>48</v>
      </c>
      <c r="H1575" s="201">
        <v>52</v>
      </c>
      <c r="I1575" s="201">
        <v>48</v>
      </c>
      <c r="J1575" s="201">
        <v>57</v>
      </c>
      <c r="K1575" s="201">
        <v>36</v>
      </c>
      <c r="L1575" s="201">
        <v>32</v>
      </c>
      <c r="M1575" s="330">
        <v>32</v>
      </c>
      <c r="N1575" s="202">
        <v>-0.48220064724919093</v>
      </c>
    </row>
    <row r="1576" spans="1:14" ht="15.75" customHeight="1">
      <c r="A1576" s="198" t="s">
        <v>175</v>
      </c>
      <c r="B1576" s="199" t="s">
        <v>202</v>
      </c>
      <c r="C1576" s="199" t="s">
        <v>133</v>
      </c>
      <c r="D1576" s="200" t="s">
        <v>165</v>
      </c>
      <c r="E1576" s="215">
        <v>225.5</v>
      </c>
      <c r="F1576" s="201">
        <v>231</v>
      </c>
      <c r="G1576" s="201">
        <v>217</v>
      </c>
      <c r="H1576" s="201">
        <v>253</v>
      </c>
      <c r="I1576" s="201">
        <v>267</v>
      </c>
      <c r="J1576" s="201">
        <v>316</v>
      </c>
      <c r="K1576" s="201">
        <v>268</v>
      </c>
      <c r="L1576" s="201">
        <v>429</v>
      </c>
      <c r="M1576" s="330">
        <v>220</v>
      </c>
      <c r="N1576" s="202">
        <v>-2.4390243902439025E-2</v>
      </c>
    </row>
    <row r="1577" spans="1:14" ht="15.75" customHeight="1">
      <c r="A1577" s="198" t="s">
        <v>175</v>
      </c>
      <c r="B1577" s="199" t="s">
        <v>202</v>
      </c>
      <c r="C1577" s="199" t="s">
        <v>133</v>
      </c>
      <c r="D1577" s="203" t="s">
        <v>91</v>
      </c>
      <c r="E1577" s="216">
        <v>288.5</v>
      </c>
      <c r="F1577" s="204">
        <v>281</v>
      </c>
      <c r="G1577" s="204">
        <v>266</v>
      </c>
      <c r="H1577" s="204">
        <v>306</v>
      </c>
      <c r="I1577" s="204">
        <v>315</v>
      </c>
      <c r="J1577" s="204">
        <v>373</v>
      </c>
      <c r="K1577" s="204">
        <v>305</v>
      </c>
      <c r="L1577" s="204">
        <v>461</v>
      </c>
      <c r="M1577" s="331">
        <v>255</v>
      </c>
      <c r="N1577" s="202">
        <v>-0.11611785095320624</v>
      </c>
    </row>
    <row r="1578" spans="1:14" ht="15.75" customHeight="1">
      <c r="A1578" s="198" t="s">
        <v>175</v>
      </c>
      <c r="B1578" s="199" t="s">
        <v>202</v>
      </c>
      <c r="C1578" s="199" t="s">
        <v>167</v>
      </c>
      <c r="D1578" s="200" t="s">
        <v>162</v>
      </c>
      <c r="E1578" s="215">
        <v>0</v>
      </c>
      <c r="F1578" s="201">
        <v>0</v>
      </c>
      <c r="G1578" s="201">
        <v>0</v>
      </c>
      <c r="H1578" s="201">
        <v>2</v>
      </c>
      <c r="I1578" s="201">
        <v>0</v>
      </c>
      <c r="J1578" s="201">
        <v>0</v>
      </c>
      <c r="K1578" s="201">
        <v>0</v>
      </c>
      <c r="L1578" s="201">
        <v>0</v>
      </c>
      <c r="M1578" s="330" t="s">
        <v>172</v>
      </c>
      <c r="N1578" s="202">
        <v>0</v>
      </c>
    </row>
    <row r="1579" spans="1:14" ht="15.75" customHeight="1">
      <c r="A1579" s="198" t="s">
        <v>175</v>
      </c>
      <c r="B1579" s="199" t="s">
        <v>202</v>
      </c>
      <c r="C1579" s="199" t="s">
        <v>167</v>
      </c>
      <c r="D1579" s="200" t="s">
        <v>163</v>
      </c>
      <c r="E1579" s="215">
        <v>0.4</v>
      </c>
      <c r="F1579" s="201">
        <v>2</v>
      </c>
      <c r="G1579" s="201">
        <v>0</v>
      </c>
      <c r="H1579" s="201">
        <v>2</v>
      </c>
      <c r="I1579" s="201">
        <v>5</v>
      </c>
      <c r="J1579" s="201">
        <v>5</v>
      </c>
      <c r="K1579" s="201">
        <v>4</v>
      </c>
      <c r="L1579" s="201">
        <v>2</v>
      </c>
      <c r="M1579" s="330">
        <v>0</v>
      </c>
      <c r="N1579" s="202">
        <v>-1</v>
      </c>
    </row>
    <row r="1580" spans="1:14" ht="15.75" customHeight="1">
      <c r="A1580" s="198" t="s">
        <v>175</v>
      </c>
      <c r="B1580" s="199" t="s">
        <v>202</v>
      </c>
      <c r="C1580" s="199" t="s">
        <v>167</v>
      </c>
      <c r="D1580" s="200" t="s">
        <v>164</v>
      </c>
      <c r="E1580" s="215">
        <v>0.4</v>
      </c>
      <c r="F1580" s="201">
        <v>2</v>
      </c>
      <c r="G1580" s="201">
        <v>0</v>
      </c>
      <c r="H1580" s="201">
        <v>0</v>
      </c>
      <c r="I1580" s="201">
        <v>5</v>
      </c>
      <c r="J1580" s="201">
        <v>5</v>
      </c>
      <c r="K1580" s="201">
        <v>4</v>
      </c>
      <c r="L1580" s="201">
        <v>2</v>
      </c>
      <c r="M1580" s="330" t="s">
        <v>172</v>
      </c>
      <c r="N1580" s="202">
        <v>-1</v>
      </c>
    </row>
    <row r="1581" spans="1:14" ht="15.75" customHeight="1">
      <c r="A1581" s="198" t="s">
        <v>175</v>
      </c>
      <c r="B1581" s="199" t="s">
        <v>202</v>
      </c>
      <c r="C1581" s="199" t="s">
        <v>167</v>
      </c>
      <c r="D1581" s="200" t="s">
        <v>165</v>
      </c>
      <c r="E1581" s="215">
        <v>3.1</v>
      </c>
      <c r="F1581" s="201">
        <v>4</v>
      </c>
      <c r="G1581" s="201">
        <v>2</v>
      </c>
      <c r="H1581" s="201">
        <v>5</v>
      </c>
      <c r="I1581" s="201">
        <v>8</v>
      </c>
      <c r="J1581" s="201">
        <v>14</v>
      </c>
      <c r="K1581" s="201">
        <v>13</v>
      </c>
      <c r="L1581" s="201">
        <v>7</v>
      </c>
      <c r="M1581" s="330">
        <v>4</v>
      </c>
      <c r="N1581" s="202">
        <v>0.29032258064516125</v>
      </c>
    </row>
    <row r="1582" spans="1:14" ht="15.75" customHeight="1">
      <c r="A1582" s="198" t="s">
        <v>175</v>
      </c>
      <c r="B1582" s="199" t="s">
        <v>202</v>
      </c>
      <c r="C1582" s="199" t="s">
        <v>167</v>
      </c>
      <c r="D1582" s="203" t="s">
        <v>91</v>
      </c>
      <c r="E1582" s="216">
        <v>3.5</v>
      </c>
      <c r="F1582" s="204">
        <v>6</v>
      </c>
      <c r="G1582" s="204">
        <v>2</v>
      </c>
      <c r="H1582" s="204">
        <v>7</v>
      </c>
      <c r="I1582" s="204">
        <v>13</v>
      </c>
      <c r="J1582" s="204">
        <v>19</v>
      </c>
      <c r="K1582" s="204">
        <v>17</v>
      </c>
      <c r="L1582" s="204">
        <v>9</v>
      </c>
      <c r="M1582" s="331">
        <v>4</v>
      </c>
      <c r="N1582" s="202">
        <v>0.14285714285714285</v>
      </c>
    </row>
    <row r="1583" spans="1:14" ht="15.75" customHeight="1">
      <c r="A1583" s="198" t="s">
        <v>175</v>
      </c>
      <c r="B1583" s="199" t="s">
        <v>202</v>
      </c>
      <c r="C1583" s="199" t="s">
        <v>168</v>
      </c>
      <c r="D1583" s="200" t="s">
        <v>162</v>
      </c>
      <c r="E1583" s="215">
        <v>0</v>
      </c>
      <c r="F1583" s="201">
        <v>0</v>
      </c>
      <c r="G1583" s="201">
        <v>1</v>
      </c>
      <c r="H1583" s="201">
        <v>0</v>
      </c>
      <c r="I1583" s="201">
        <v>0</v>
      </c>
      <c r="J1583" s="201">
        <v>1</v>
      </c>
      <c r="K1583" s="201">
        <v>0</v>
      </c>
      <c r="L1583" s="201">
        <v>0</v>
      </c>
      <c r="M1583" s="330">
        <v>2</v>
      </c>
      <c r="N1583" s="202">
        <v>0</v>
      </c>
    </row>
    <row r="1584" spans="1:14" ht="15.75" customHeight="1">
      <c r="A1584" s="198" t="s">
        <v>175</v>
      </c>
      <c r="B1584" s="199" t="s">
        <v>202</v>
      </c>
      <c r="C1584" s="199" t="s">
        <v>168</v>
      </c>
      <c r="D1584" s="200" t="s">
        <v>163</v>
      </c>
      <c r="E1584" s="215">
        <v>54.7</v>
      </c>
      <c r="F1584" s="201">
        <v>37</v>
      </c>
      <c r="G1584" s="201">
        <v>54</v>
      </c>
      <c r="H1584" s="201">
        <v>37</v>
      </c>
      <c r="I1584" s="201">
        <v>55</v>
      </c>
      <c r="J1584" s="201">
        <v>72</v>
      </c>
      <c r="K1584" s="201">
        <v>77</v>
      </c>
      <c r="L1584" s="201">
        <v>58</v>
      </c>
      <c r="M1584" s="330">
        <v>65</v>
      </c>
      <c r="N1584" s="202">
        <v>0.18829981718464345</v>
      </c>
    </row>
    <row r="1585" spans="1:14" ht="15.75" customHeight="1">
      <c r="A1585" s="198" t="s">
        <v>175</v>
      </c>
      <c r="B1585" s="199" t="s">
        <v>202</v>
      </c>
      <c r="C1585" s="199" t="s">
        <v>168</v>
      </c>
      <c r="D1585" s="200" t="s">
        <v>164</v>
      </c>
      <c r="E1585" s="215">
        <v>54.7</v>
      </c>
      <c r="F1585" s="201">
        <v>37</v>
      </c>
      <c r="G1585" s="201">
        <v>53</v>
      </c>
      <c r="H1585" s="201">
        <v>37</v>
      </c>
      <c r="I1585" s="201">
        <v>55</v>
      </c>
      <c r="J1585" s="201">
        <v>71</v>
      </c>
      <c r="K1585" s="201">
        <v>77</v>
      </c>
      <c r="L1585" s="201">
        <v>58</v>
      </c>
      <c r="M1585" s="330">
        <v>63</v>
      </c>
      <c r="N1585" s="202">
        <v>0.15173674588665442</v>
      </c>
    </row>
    <row r="1586" spans="1:14" ht="15.75" customHeight="1">
      <c r="A1586" s="198" t="s">
        <v>175</v>
      </c>
      <c r="B1586" s="199" t="s">
        <v>202</v>
      </c>
      <c r="C1586" s="199" t="s">
        <v>168</v>
      </c>
      <c r="D1586" s="200" t="s">
        <v>165</v>
      </c>
      <c r="E1586" s="215">
        <v>252.2</v>
      </c>
      <c r="F1586" s="201">
        <v>240</v>
      </c>
      <c r="G1586" s="201">
        <v>238</v>
      </c>
      <c r="H1586" s="201">
        <v>219</v>
      </c>
      <c r="I1586" s="201">
        <v>271</v>
      </c>
      <c r="J1586" s="201">
        <v>285</v>
      </c>
      <c r="K1586" s="201">
        <v>238</v>
      </c>
      <c r="L1586" s="201">
        <v>234</v>
      </c>
      <c r="M1586" s="330">
        <v>236</v>
      </c>
      <c r="N1586" s="202">
        <v>-6.4234734337827074E-2</v>
      </c>
    </row>
    <row r="1587" spans="1:14" ht="15.75" customHeight="1">
      <c r="A1587" s="198" t="s">
        <v>175</v>
      </c>
      <c r="B1587" s="199" t="s">
        <v>202</v>
      </c>
      <c r="C1587" s="199" t="s">
        <v>168</v>
      </c>
      <c r="D1587" s="203" t="s">
        <v>91</v>
      </c>
      <c r="E1587" s="216">
        <v>306.89999999999998</v>
      </c>
      <c r="F1587" s="204">
        <v>277</v>
      </c>
      <c r="G1587" s="204">
        <v>292</v>
      </c>
      <c r="H1587" s="204">
        <v>256</v>
      </c>
      <c r="I1587" s="204">
        <v>326</v>
      </c>
      <c r="J1587" s="204">
        <v>357</v>
      </c>
      <c r="K1587" s="204">
        <v>315</v>
      </c>
      <c r="L1587" s="204">
        <v>292</v>
      </c>
      <c r="M1587" s="331">
        <v>301</v>
      </c>
      <c r="N1587" s="202">
        <v>-1.9224503095470764E-2</v>
      </c>
    </row>
    <row r="1588" spans="1:14" ht="15.75" customHeight="1">
      <c r="A1588" s="198" t="s">
        <v>175</v>
      </c>
      <c r="B1588" s="199" t="s">
        <v>202</v>
      </c>
      <c r="C1588" s="199" t="s">
        <v>131</v>
      </c>
      <c r="D1588" s="200" t="s">
        <v>162</v>
      </c>
      <c r="E1588" s="215">
        <v>1.6</v>
      </c>
      <c r="F1588" s="201">
        <v>3</v>
      </c>
      <c r="G1588" s="201">
        <v>4</v>
      </c>
      <c r="H1588" s="201">
        <v>4</v>
      </c>
      <c r="I1588" s="201">
        <v>1</v>
      </c>
      <c r="J1588" s="201">
        <v>0</v>
      </c>
      <c r="K1588" s="201">
        <v>1</v>
      </c>
      <c r="L1588" s="201">
        <v>2</v>
      </c>
      <c r="M1588" s="330" t="s">
        <v>172</v>
      </c>
      <c r="N1588" s="202">
        <v>-1</v>
      </c>
    </row>
    <row r="1589" spans="1:14" ht="15.75" customHeight="1">
      <c r="A1589" s="198" t="s">
        <v>175</v>
      </c>
      <c r="B1589" s="199" t="s">
        <v>202</v>
      </c>
      <c r="C1589" s="199" t="s">
        <v>131</v>
      </c>
      <c r="D1589" s="200" t="s">
        <v>163</v>
      </c>
      <c r="E1589" s="215">
        <v>54.7</v>
      </c>
      <c r="F1589" s="201">
        <v>41</v>
      </c>
      <c r="G1589" s="201">
        <v>51</v>
      </c>
      <c r="H1589" s="201">
        <v>50</v>
      </c>
      <c r="I1589" s="201">
        <v>32</v>
      </c>
      <c r="J1589" s="201">
        <v>31</v>
      </c>
      <c r="K1589" s="201">
        <v>42</v>
      </c>
      <c r="L1589" s="201">
        <v>38</v>
      </c>
      <c r="M1589" s="330">
        <v>45</v>
      </c>
      <c r="N1589" s="202">
        <v>-0.17733089579524686</v>
      </c>
    </row>
    <row r="1590" spans="1:14" ht="15.75" customHeight="1">
      <c r="A1590" s="198" t="s">
        <v>175</v>
      </c>
      <c r="B1590" s="199" t="s">
        <v>202</v>
      </c>
      <c r="C1590" s="199" t="s">
        <v>131</v>
      </c>
      <c r="D1590" s="200" t="s">
        <v>164</v>
      </c>
      <c r="E1590" s="215">
        <v>53.1</v>
      </c>
      <c r="F1590" s="201">
        <v>38</v>
      </c>
      <c r="G1590" s="201">
        <v>47</v>
      </c>
      <c r="H1590" s="201">
        <v>46</v>
      </c>
      <c r="I1590" s="201">
        <v>31</v>
      </c>
      <c r="J1590" s="201">
        <v>31</v>
      </c>
      <c r="K1590" s="201">
        <v>41</v>
      </c>
      <c r="L1590" s="201">
        <v>36</v>
      </c>
      <c r="M1590" s="330">
        <v>45</v>
      </c>
      <c r="N1590" s="202">
        <v>-0.15254237288135594</v>
      </c>
    </row>
    <row r="1591" spans="1:14" ht="15.75" customHeight="1">
      <c r="A1591" s="198" t="s">
        <v>175</v>
      </c>
      <c r="B1591" s="199" t="s">
        <v>202</v>
      </c>
      <c r="C1591" s="199" t="s">
        <v>131</v>
      </c>
      <c r="D1591" s="200" t="s">
        <v>165</v>
      </c>
      <c r="E1591" s="215">
        <v>149.6</v>
      </c>
      <c r="F1591" s="201">
        <v>196</v>
      </c>
      <c r="G1591" s="201">
        <v>148</v>
      </c>
      <c r="H1591" s="201">
        <v>141</v>
      </c>
      <c r="I1591" s="201">
        <v>111</v>
      </c>
      <c r="J1591" s="201">
        <v>121</v>
      </c>
      <c r="K1591" s="201">
        <v>103</v>
      </c>
      <c r="L1591" s="201">
        <v>108</v>
      </c>
      <c r="M1591" s="330">
        <v>91</v>
      </c>
      <c r="N1591" s="202">
        <v>-0.39171122994652402</v>
      </c>
    </row>
    <row r="1592" spans="1:14" ht="15.75" customHeight="1">
      <c r="A1592" s="198" t="s">
        <v>175</v>
      </c>
      <c r="B1592" s="199" t="s">
        <v>202</v>
      </c>
      <c r="C1592" s="199" t="s">
        <v>131</v>
      </c>
      <c r="D1592" s="203" t="s">
        <v>91</v>
      </c>
      <c r="E1592" s="216">
        <v>204.3</v>
      </c>
      <c r="F1592" s="204">
        <v>237</v>
      </c>
      <c r="G1592" s="204">
        <v>199</v>
      </c>
      <c r="H1592" s="204">
        <v>191</v>
      </c>
      <c r="I1592" s="204">
        <v>143</v>
      </c>
      <c r="J1592" s="204">
        <v>152</v>
      </c>
      <c r="K1592" s="204">
        <v>145</v>
      </c>
      <c r="L1592" s="204">
        <v>146</v>
      </c>
      <c r="M1592" s="331">
        <v>136</v>
      </c>
      <c r="N1592" s="202">
        <v>-0.33431228585413614</v>
      </c>
    </row>
    <row r="1593" spans="1:14" ht="15.75" customHeight="1">
      <c r="A1593" s="198" t="s">
        <v>175</v>
      </c>
      <c r="B1593" s="199" t="s">
        <v>202</v>
      </c>
      <c r="C1593" s="199" t="s">
        <v>169</v>
      </c>
      <c r="D1593" s="200" t="s">
        <v>162</v>
      </c>
      <c r="E1593" s="215">
        <v>0</v>
      </c>
      <c r="F1593" s="201">
        <v>0</v>
      </c>
      <c r="G1593" s="201">
        <v>0</v>
      </c>
      <c r="H1593" s="201">
        <v>0</v>
      </c>
      <c r="I1593" s="201">
        <v>0</v>
      </c>
      <c r="J1593" s="201">
        <v>0</v>
      </c>
      <c r="K1593" s="201">
        <v>0</v>
      </c>
      <c r="L1593" s="201">
        <v>0</v>
      </c>
      <c r="M1593" s="330" t="s">
        <v>172</v>
      </c>
      <c r="N1593" s="202">
        <v>0</v>
      </c>
    </row>
    <row r="1594" spans="1:14" ht="15.75" customHeight="1">
      <c r="A1594" s="198" t="s">
        <v>175</v>
      </c>
      <c r="B1594" s="199" t="s">
        <v>202</v>
      </c>
      <c r="C1594" s="199" t="s">
        <v>169</v>
      </c>
      <c r="D1594" s="200" t="s">
        <v>163</v>
      </c>
      <c r="E1594" s="215">
        <v>0</v>
      </c>
      <c r="F1594" s="201">
        <v>0</v>
      </c>
      <c r="G1594" s="201">
        <v>1</v>
      </c>
      <c r="H1594" s="201">
        <v>0</v>
      </c>
      <c r="I1594" s="201">
        <v>0</v>
      </c>
      <c r="J1594" s="201">
        <v>1</v>
      </c>
      <c r="K1594" s="201">
        <v>2</v>
      </c>
      <c r="L1594" s="201">
        <v>3</v>
      </c>
      <c r="M1594" s="330">
        <v>0</v>
      </c>
      <c r="N1594" s="202">
        <v>0</v>
      </c>
    </row>
    <row r="1595" spans="1:14" ht="15.75" customHeight="1">
      <c r="A1595" s="198" t="s">
        <v>175</v>
      </c>
      <c r="B1595" s="199" t="s">
        <v>202</v>
      </c>
      <c r="C1595" s="199" t="s">
        <v>169</v>
      </c>
      <c r="D1595" s="200" t="s">
        <v>164</v>
      </c>
      <c r="E1595" s="215">
        <v>0</v>
      </c>
      <c r="F1595" s="201">
        <v>0</v>
      </c>
      <c r="G1595" s="201">
        <v>1</v>
      </c>
      <c r="H1595" s="201">
        <v>0</v>
      </c>
      <c r="I1595" s="201">
        <v>0</v>
      </c>
      <c r="J1595" s="201">
        <v>1</v>
      </c>
      <c r="K1595" s="201">
        <v>2</v>
      </c>
      <c r="L1595" s="201">
        <v>3</v>
      </c>
      <c r="M1595" s="330" t="s">
        <v>172</v>
      </c>
      <c r="N1595" s="202">
        <v>0</v>
      </c>
    </row>
    <row r="1596" spans="1:14" ht="15.75" customHeight="1">
      <c r="A1596" s="198" t="s">
        <v>175</v>
      </c>
      <c r="B1596" s="199" t="s">
        <v>202</v>
      </c>
      <c r="C1596" s="199" t="s">
        <v>169</v>
      </c>
      <c r="D1596" s="200" t="s">
        <v>165</v>
      </c>
      <c r="E1596" s="215">
        <v>0</v>
      </c>
      <c r="F1596" s="201">
        <v>27</v>
      </c>
      <c r="G1596" s="201">
        <v>14</v>
      </c>
      <c r="H1596" s="201">
        <v>14</v>
      </c>
      <c r="I1596" s="201">
        <v>3</v>
      </c>
      <c r="J1596" s="201">
        <v>8</v>
      </c>
      <c r="K1596" s="201">
        <v>17</v>
      </c>
      <c r="L1596" s="201">
        <v>3</v>
      </c>
      <c r="M1596" s="330">
        <v>5</v>
      </c>
      <c r="N1596" s="202">
        <v>0</v>
      </c>
    </row>
    <row r="1597" spans="1:14" ht="15.75" customHeight="1">
      <c r="A1597" s="198" t="s">
        <v>175</v>
      </c>
      <c r="B1597" s="199" t="s">
        <v>202</v>
      </c>
      <c r="C1597" s="199" t="s">
        <v>169</v>
      </c>
      <c r="D1597" s="203" t="s">
        <v>91</v>
      </c>
      <c r="E1597" s="216">
        <v>0</v>
      </c>
      <c r="F1597" s="204">
        <v>27</v>
      </c>
      <c r="G1597" s="204">
        <v>15</v>
      </c>
      <c r="H1597" s="204">
        <v>14</v>
      </c>
      <c r="I1597" s="204">
        <v>3</v>
      </c>
      <c r="J1597" s="204">
        <v>9</v>
      </c>
      <c r="K1597" s="204">
        <v>19</v>
      </c>
      <c r="L1597" s="204">
        <v>6</v>
      </c>
      <c r="M1597" s="331">
        <v>5</v>
      </c>
      <c r="N1597" s="202">
        <v>0</v>
      </c>
    </row>
    <row r="1598" spans="1:14" ht="15.75" customHeight="1">
      <c r="A1598" s="198" t="s">
        <v>175</v>
      </c>
      <c r="B1598" s="199" t="s">
        <v>202</v>
      </c>
      <c r="C1598" s="199" t="s">
        <v>139</v>
      </c>
      <c r="D1598" s="200" t="s">
        <v>162</v>
      </c>
      <c r="E1598" s="215">
        <v>0</v>
      </c>
      <c r="F1598" s="201">
        <v>0</v>
      </c>
      <c r="G1598" s="201">
        <v>0</v>
      </c>
      <c r="H1598" s="201">
        <v>0</v>
      </c>
      <c r="I1598" s="201">
        <v>0</v>
      </c>
      <c r="J1598" s="201">
        <v>0</v>
      </c>
      <c r="K1598" s="201">
        <v>0</v>
      </c>
      <c r="L1598" s="201">
        <v>0</v>
      </c>
      <c r="M1598" s="330" t="s">
        <v>172</v>
      </c>
      <c r="N1598" s="202">
        <v>0</v>
      </c>
    </row>
    <row r="1599" spans="1:14" ht="15.75" customHeight="1">
      <c r="A1599" s="198" t="s">
        <v>175</v>
      </c>
      <c r="B1599" s="199" t="s">
        <v>202</v>
      </c>
      <c r="C1599" s="199" t="s">
        <v>139</v>
      </c>
      <c r="D1599" s="200" t="s">
        <v>163</v>
      </c>
      <c r="E1599" s="215">
        <v>0.9</v>
      </c>
      <c r="F1599" s="201">
        <v>1</v>
      </c>
      <c r="G1599" s="201">
        <v>1</v>
      </c>
      <c r="H1599" s="201">
        <v>1</v>
      </c>
      <c r="I1599" s="201">
        <v>1</v>
      </c>
      <c r="J1599" s="201">
        <v>0</v>
      </c>
      <c r="K1599" s="201">
        <v>0</v>
      </c>
      <c r="L1599" s="201">
        <v>0</v>
      </c>
      <c r="M1599" s="330">
        <v>0</v>
      </c>
      <c r="N1599" s="202">
        <v>-1</v>
      </c>
    </row>
    <row r="1600" spans="1:14" ht="15.75" customHeight="1">
      <c r="A1600" s="198" t="s">
        <v>175</v>
      </c>
      <c r="B1600" s="199" t="s">
        <v>202</v>
      </c>
      <c r="C1600" s="199" t="s">
        <v>139</v>
      </c>
      <c r="D1600" s="200" t="s">
        <v>164</v>
      </c>
      <c r="E1600" s="215">
        <v>0.9</v>
      </c>
      <c r="F1600" s="201">
        <v>1</v>
      </c>
      <c r="G1600" s="201">
        <v>1</v>
      </c>
      <c r="H1600" s="201">
        <v>1</v>
      </c>
      <c r="I1600" s="201">
        <v>1</v>
      </c>
      <c r="J1600" s="201">
        <v>0</v>
      </c>
      <c r="K1600" s="201">
        <v>0</v>
      </c>
      <c r="L1600" s="201">
        <v>0</v>
      </c>
      <c r="M1600" s="330" t="s">
        <v>172</v>
      </c>
      <c r="N1600" s="202">
        <v>-1</v>
      </c>
    </row>
    <row r="1601" spans="1:14" ht="15.75" customHeight="1">
      <c r="A1601" s="198" t="s">
        <v>175</v>
      </c>
      <c r="B1601" s="199" t="s">
        <v>202</v>
      </c>
      <c r="C1601" s="199" t="s">
        <v>139</v>
      </c>
      <c r="D1601" s="200" t="s">
        <v>165</v>
      </c>
      <c r="E1601" s="215">
        <v>17</v>
      </c>
      <c r="F1601" s="201">
        <v>1</v>
      </c>
      <c r="G1601" s="201">
        <v>9</v>
      </c>
      <c r="H1601" s="201">
        <v>8</v>
      </c>
      <c r="I1601" s="201">
        <v>15</v>
      </c>
      <c r="J1601" s="201">
        <v>16</v>
      </c>
      <c r="K1601" s="201">
        <v>8</v>
      </c>
      <c r="L1601" s="201">
        <v>4</v>
      </c>
      <c r="M1601" s="330">
        <v>3</v>
      </c>
      <c r="N1601" s="202">
        <v>-0.82352941176470584</v>
      </c>
    </row>
    <row r="1602" spans="1:14" ht="15.75" customHeight="1">
      <c r="A1602" s="198" t="s">
        <v>175</v>
      </c>
      <c r="B1602" s="199" t="s">
        <v>202</v>
      </c>
      <c r="C1602" s="199" t="s">
        <v>139</v>
      </c>
      <c r="D1602" s="203" t="s">
        <v>91</v>
      </c>
      <c r="E1602" s="216">
        <v>17.899999999999999</v>
      </c>
      <c r="F1602" s="204">
        <v>2</v>
      </c>
      <c r="G1602" s="204">
        <v>10</v>
      </c>
      <c r="H1602" s="204">
        <v>9</v>
      </c>
      <c r="I1602" s="204">
        <v>16</v>
      </c>
      <c r="J1602" s="204">
        <v>16</v>
      </c>
      <c r="K1602" s="204">
        <v>8</v>
      </c>
      <c r="L1602" s="204">
        <v>4</v>
      </c>
      <c r="M1602" s="331">
        <v>3</v>
      </c>
      <c r="N1602" s="202">
        <v>-0.83240223463687146</v>
      </c>
    </row>
    <row r="1603" spans="1:14" ht="15.75" customHeight="1">
      <c r="A1603" s="198" t="s">
        <v>175</v>
      </c>
      <c r="B1603" s="199" t="s">
        <v>202</v>
      </c>
      <c r="C1603" s="205" t="s">
        <v>91</v>
      </c>
      <c r="D1603" s="203" t="s">
        <v>162</v>
      </c>
      <c r="E1603" s="216">
        <v>3.4</v>
      </c>
      <c r="F1603" s="204">
        <v>4</v>
      </c>
      <c r="G1603" s="204">
        <v>6</v>
      </c>
      <c r="H1603" s="204">
        <v>8</v>
      </c>
      <c r="I1603" s="204">
        <v>1</v>
      </c>
      <c r="J1603" s="204">
        <v>1</v>
      </c>
      <c r="K1603" s="204">
        <v>4</v>
      </c>
      <c r="L1603" s="204">
        <v>3</v>
      </c>
      <c r="M1603" s="331">
        <v>5</v>
      </c>
      <c r="N1603" s="202">
        <v>0.4705882352941177</v>
      </c>
    </row>
    <row r="1604" spans="1:14" ht="15.75" customHeight="1">
      <c r="A1604" s="198" t="s">
        <v>159</v>
      </c>
      <c r="B1604" s="199" t="s">
        <v>185</v>
      </c>
      <c r="C1604" s="205" t="s">
        <v>91</v>
      </c>
      <c r="D1604" s="203" t="s">
        <v>163</v>
      </c>
      <c r="E1604" s="214">
        <v>78.599999999999994</v>
      </c>
      <c r="F1604" s="204">
        <v>69</v>
      </c>
      <c r="G1604" s="204">
        <v>71</v>
      </c>
      <c r="H1604" s="204">
        <v>56</v>
      </c>
      <c r="I1604" s="204">
        <v>47</v>
      </c>
      <c r="J1604" s="204">
        <v>42</v>
      </c>
      <c r="K1604" s="204">
        <v>62</v>
      </c>
      <c r="L1604" s="204">
        <v>51</v>
      </c>
      <c r="M1604" s="331">
        <v>55</v>
      </c>
      <c r="N1604" s="202">
        <v>-0.30025445292620861</v>
      </c>
    </row>
    <row r="1605" spans="1:14" ht="15.75" customHeight="1">
      <c r="A1605" s="198" t="s">
        <v>175</v>
      </c>
      <c r="B1605" s="199" t="s">
        <v>202</v>
      </c>
      <c r="C1605" s="205" t="s">
        <v>91</v>
      </c>
      <c r="D1605" s="203" t="s">
        <v>164</v>
      </c>
      <c r="E1605" s="216">
        <v>194.3</v>
      </c>
      <c r="F1605" s="204">
        <v>143</v>
      </c>
      <c r="G1605" s="204">
        <v>163</v>
      </c>
      <c r="H1605" s="204">
        <v>160</v>
      </c>
      <c r="I1605" s="204">
        <v>150</v>
      </c>
      <c r="J1605" s="204">
        <v>176</v>
      </c>
      <c r="K1605" s="204">
        <v>191</v>
      </c>
      <c r="L1605" s="204">
        <v>142</v>
      </c>
      <c r="M1605" s="331">
        <v>156</v>
      </c>
      <c r="N1605" s="202">
        <v>-0.19711785898095732</v>
      </c>
    </row>
    <row r="1606" spans="1:14">
      <c r="A1606" s="198" t="s">
        <v>175</v>
      </c>
      <c r="B1606" s="199" t="s">
        <v>202</v>
      </c>
      <c r="C1606" s="205" t="s">
        <v>91</v>
      </c>
      <c r="D1606" s="203" t="s">
        <v>165</v>
      </c>
      <c r="E1606" s="216">
        <v>965.8</v>
      </c>
      <c r="F1606" s="204">
        <v>988</v>
      </c>
      <c r="G1606" s="204">
        <v>939</v>
      </c>
      <c r="H1606" s="204">
        <v>902</v>
      </c>
      <c r="I1606" s="204">
        <v>879</v>
      </c>
      <c r="J1606" s="204">
        <v>958</v>
      </c>
      <c r="K1606" s="204">
        <v>848</v>
      </c>
      <c r="L1606" s="204">
        <v>951</v>
      </c>
      <c r="M1606" s="331">
        <v>727</v>
      </c>
      <c r="N1606" s="202">
        <v>-0.2472561606957962</v>
      </c>
    </row>
    <row r="1607" spans="1:14" ht="15.75" customHeight="1">
      <c r="A1607" s="198" t="s">
        <v>175</v>
      </c>
      <c r="B1607" s="199" t="s">
        <v>202</v>
      </c>
      <c r="C1607" s="205" t="s">
        <v>91</v>
      </c>
      <c r="D1607" s="203" t="s">
        <v>91</v>
      </c>
      <c r="E1607" s="216">
        <v>1163.5</v>
      </c>
      <c r="F1607" s="204">
        <v>1135</v>
      </c>
      <c r="G1607" s="204">
        <v>1108</v>
      </c>
      <c r="H1607" s="204">
        <v>1070</v>
      </c>
      <c r="I1607" s="204">
        <v>1030</v>
      </c>
      <c r="J1607" s="204">
        <v>1135</v>
      </c>
      <c r="K1607" s="204">
        <v>1043</v>
      </c>
      <c r="L1607" s="204">
        <v>1096</v>
      </c>
      <c r="M1607" s="331">
        <v>888</v>
      </c>
      <c r="N1607" s="202">
        <v>-0.23678556080790716</v>
      </c>
    </row>
    <row r="1608" spans="1:14" ht="15.75" customHeight="1">
      <c r="A1608" s="198" t="s">
        <v>175</v>
      </c>
      <c r="B1608" s="199" t="s">
        <v>203</v>
      </c>
      <c r="C1608" s="199" t="s">
        <v>161</v>
      </c>
      <c r="D1608" s="200" t="s">
        <v>162</v>
      </c>
      <c r="E1608" s="215">
        <v>0</v>
      </c>
      <c r="F1608" s="201">
        <v>0</v>
      </c>
      <c r="G1608" s="201">
        <v>0</v>
      </c>
      <c r="H1608" s="201">
        <v>0</v>
      </c>
      <c r="I1608" s="201">
        <v>0</v>
      </c>
      <c r="J1608" s="201">
        <v>0</v>
      </c>
      <c r="K1608" s="201">
        <v>1</v>
      </c>
      <c r="L1608" s="201">
        <v>0</v>
      </c>
      <c r="M1608" s="330" t="s">
        <v>172</v>
      </c>
      <c r="N1608" s="202">
        <v>0</v>
      </c>
    </row>
    <row r="1609" spans="1:14" ht="15.75" customHeight="1">
      <c r="A1609" s="198" t="s">
        <v>175</v>
      </c>
      <c r="B1609" s="199" t="s">
        <v>203</v>
      </c>
      <c r="C1609" s="199" t="s">
        <v>161</v>
      </c>
      <c r="D1609" s="200" t="s">
        <v>163</v>
      </c>
      <c r="E1609" s="215">
        <v>18</v>
      </c>
      <c r="F1609" s="201">
        <v>9</v>
      </c>
      <c r="G1609" s="201">
        <v>9</v>
      </c>
      <c r="H1609" s="201">
        <v>4</v>
      </c>
      <c r="I1609" s="201">
        <v>2</v>
      </c>
      <c r="J1609" s="201">
        <v>3</v>
      </c>
      <c r="K1609" s="201">
        <v>13</v>
      </c>
      <c r="L1609" s="201">
        <v>9</v>
      </c>
      <c r="M1609" s="330">
        <v>9</v>
      </c>
      <c r="N1609" s="202">
        <v>-0.5</v>
      </c>
    </row>
    <row r="1610" spans="1:14" ht="15.75" customHeight="1">
      <c r="A1610" s="198" t="s">
        <v>175</v>
      </c>
      <c r="B1610" s="199" t="s">
        <v>203</v>
      </c>
      <c r="C1610" s="199" t="s">
        <v>161</v>
      </c>
      <c r="D1610" s="200" t="s">
        <v>164</v>
      </c>
      <c r="E1610" s="215">
        <v>18</v>
      </c>
      <c r="F1610" s="201">
        <v>9</v>
      </c>
      <c r="G1610" s="201">
        <v>9</v>
      </c>
      <c r="H1610" s="201">
        <v>4</v>
      </c>
      <c r="I1610" s="201">
        <v>2</v>
      </c>
      <c r="J1610" s="201">
        <v>3</v>
      </c>
      <c r="K1610" s="201">
        <v>12</v>
      </c>
      <c r="L1610" s="201">
        <v>9</v>
      </c>
      <c r="M1610" s="330">
        <v>9</v>
      </c>
      <c r="N1610" s="202">
        <v>-0.5</v>
      </c>
    </row>
    <row r="1611" spans="1:14" ht="15.75" customHeight="1">
      <c r="A1611" s="198" t="s">
        <v>175</v>
      </c>
      <c r="B1611" s="199" t="s">
        <v>203</v>
      </c>
      <c r="C1611" s="199" t="s">
        <v>161</v>
      </c>
      <c r="D1611" s="200" t="s">
        <v>165</v>
      </c>
      <c r="E1611" s="215">
        <v>133</v>
      </c>
      <c r="F1611" s="201">
        <v>131</v>
      </c>
      <c r="G1611" s="201">
        <v>92</v>
      </c>
      <c r="H1611" s="201">
        <v>81</v>
      </c>
      <c r="I1611" s="201">
        <v>22</v>
      </c>
      <c r="J1611" s="201">
        <v>29</v>
      </c>
      <c r="K1611" s="201">
        <v>55</v>
      </c>
      <c r="L1611" s="201">
        <v>40</v>
      </c>
      <c r="M1611" s="330">
        <v>57</v>
      </c>
      <c r="N1611" s="202">
        <v>-0.5714285714285714</v>
      </c>
    </row>
    <row r="1612" spans="1:14" ht="15.75" customHeight="1">
      <c r="A1612" s="198" t="s">
        <v>175</v>
      </c>
      <c r="B1612" s="199" t="s">
        <v>203</v>
      </c>
      <c r="C1612" s="199" t="s">
        <v>161</v>
      </c>
      <c r="D1612" s="203" t="s">
        <v>91</v>
      </c>
      <c r="E1612" s="216">
        <v>151</v>
      </c>
      <c r="F1612" s="204">
        <v>140</v>
      </c>
      <c r="G1612" s="204">
        <v>101</v>
      </c>
      <c r="H1612" s="204">
        <v>85</v>
      </c>
      <c r="I1612" s="204">
        <v>24</v>
      </c>
      <c r="J1612" s="204">
        <v>32</v>
      </c>
      <c r="K1612" s="204">
        <v>68</v>
      </c>
      <c r="L1612" s="204">
        <v>49</v>
      </c>
      <c r="M1612" s="331">
        <v>66</v>
      </c>
      <c r="N1612" s="202">
        <v>-0.5629139072847682</v>
      </c>
    </row>
    <row r="1613" spans="1:14" ht="15.75" customHeight="1">
      <c r="A1613" s="198" t="s">
        <v>175</v>
      </c>
      <c r="B1613" s="199" t="s">
        <v>203</v>
      </c>
      <c r="C1613" s="199" t="s">
        <v>134</v>
      </c>
      <c r="D1613" s="200" t="s">
        <v>162</v>
      </c>
      <c r="E1613" s="215">
        <v>0.2</v>
      </c>
      <c r="F1613" s="201">
        <v>1</v>
      </c>
      <c r="G1613" s="201">
        <v>0</v>
      </c>
      <c r="H1613" s="201">
        <v>0</v>
      </c>
      <c r="I1613" s="201">
        <v>0</v>
      </c>
      <c r="J1613" s="201">
        <v>3</v>
      </c>
      <c r="K1613" s="201">
        <v>2</v>
      </c>
      <c r="L1613" s="201">
        <v>0</v>
      </c>
      <c r="M1613" s="330" t="s">
        <v>172</v>
      </c>
      <c r="N1613" s="202">
        <v>-1</v>
      </c>
    </row>
    <row r="1614" spans="1:14" ht="15.75" customHeight="1">
      <c r="A1614" s="198" t="s">
        <v>175</v>
      </c>
      <c r="B1614" s="199" t="s">
        <v>203</v>
      </c>
      <c r="C1614" s="199" t="s">
        <v>134</v>
      </c>
      <c r="D1614" s="200" t="s">
        <v>163</v>
      </c>
      <c r="E1614" s="215">
        <v>20.2</v>
      </c>
      <c r="F1614" s="201">
        <v>18</v>
      </c>
      <c r="G1614" s="201">
        <v>10</v>
      </c>
      <c r="H1614" s="201">
        <v>10</v>
      </c>
      <c r="I1614" s="201">
        <v>5</v>
      </c>
      <c r="J1614" s="201">
        <v>8</v>
      </c>
      <c r="K1614" s="201">
        <v>17</v>
      </c>
      <c r="L1614" s="201">
        <v>12</v>
      </c>
      <c r="M1614" s="330">
        <v>6</v>
      </c>
      <c r="N1614" s="202">
        <v>-0.70297029702970293</v>
      </c>
    </row>
    <row r="1615" spans="1:14" ht="15.75" customHeight="1">
      <c r="A1615" s="198" t="s">
        <v>175</v>
      </c>
      <c r="B1615" s="199" t="s">
        <v>203</v>
      </c>
      <c r="C1615" s="199" t="s">
        <v>134</v>
      </c>
      <c r="D1615" s="200" t="s">
        <v>164</v>
      </c>
      <c r="E1615" s="215">
        <v>20</v>
      </c>
      <c r="F1615" s="201">
        <v>17</v>
      </c>
      <c r="G1615" s="201">
        <v>10</v>
      </c>
      <c r="H1615" s="201">
        <v>10</v>
      </c>
      <c r="I1615" s="201">
        <v>5</v>
      </c>
      <c r="J1615" s="201">
        <v>5</v>
      </c>
      <c r="K1615" s="201">
        <v>15</v>
      </c>
      <c r="L1615" s="201">
        <v>12</v>
      </c>
      <c r="M1615" s="330">
        <v>6</v>
      </c>
      <c r="N1615" s="202">
        <v>-0.7</v>
      </c>
    </row>
    <row r="1616" spans="1:14">
      <c r="A1616" s="198" t="s">
        <v>175</v>
      </c>
      <c r="B1616" s="199" t="s">
        <v>203</v>
      </c>
      <c r="C1616" s="199" t="s">
        <v>134</v>
      </c>
      <c r="D1616" s="200" t="s">
        <v>165</v>
      </c>
      <c r="E1616" s="215">
        <v>276.10000000000002</v>
      </c>
      <c r="F1616" s="201">
        <v>274</v>
      </c>
      <c r="G1616" s="201">
        <v>237</v>
      </c>
      <c r="H1616" s="201">
        <v>242</v>
      </c>
      <c r="I1616" s="201">
        <v>188</v>
      </c>
      <c r="J1616" s="201">
        <v>179</v>
      </c>
      <c r="K1616" s="201">
        <v>174</v>
      </c>
      <c r="L1616" s="201">
        <v>192</v>
      </c>
      <c r="M1616" s="330">
        <v>136</v>
      </c>
      <c r="N1616" s="202">
        <v>-0.50742484607026439</v>
      </c>
    </row>
    <row r="1617" spans="1:14" ht="15.75" customHeight="1">
      <c r="A1617" s="198" t="s">
        <v>175</v>
      </c>
      <c r="B1617" s="199" t="s">
        <v>203</v>
      </c>
      <c r="C1617" s="199" t="s">
        <v>134</v>
      </c>
      <c r="D1617" s="203" t="s">
        <v>91</v>
      </c>
      <c r="E1617" s="216">
        <v>296.3</v>
      </c>
      <c r="F1617" s="204">
        <v>292</v>
      </c>
      <c r="G1617" s="204">
        <v>247</v>
      </c>
      <c r="H1617" s="204">
        <v>252</v>
      </c>
      <c r="I1617" s="204">
        <v>193</v>
      </c>
      <c r="J1617" s="204">
        <v>187</v>
      </c>
      <c r="K1617" s="204">
        <v>191</v>
      </c>
      <c r="L1617" s="204">
        <v>204</v>
      </c>
      <c r="M1617" s="331">
        <v>142</v>
      </c>
      <c r="N1617" s="202">
        <v>-0.52075599055011812</v>
      </c>
    </row>
    <row r="1618" spans="1:14" ht="15.75" customHeight="1">
      <c r="A1618" s="198" t="s">
        <v>175</v>
      </c>
      <c r="B1618" s="199" t="s">
        <v>203</v>
      </c>
      <c r="C1618" s="199" t="s">
        <v>166</v>
      </c>
      <c r="D1618" s="200" t="s">
        <v>162</v>
      </c>
      <c r="E1618" s="215">
        <v>0</v>
      </c>
      <c r="F1618" s="204">
        <v>0</v>
      </c>
      <c r="G1618" s="204">
        <v>0</v>
      </c>
      <c r="H1618" s="204">
        <v>0</v>
      </c>
      <c r="I1618" s="204">
        <v>0</v>
      </c>
      <c r="J1618" s="204">
        <v>0</v>
      </c>
      <c r="K1618" s="204">
        <v>0</v>
      </c>
      <c r="L1618" s="204">
        <v>0</v>
      </c>
      <c r="M1618" s="331" t="s">
        <v>172</v>
      </c>
      <c r="N1618" s="202">
        <v>0</v>
      </c>
    </row>
    <row r="1619" spans="1:14" ht="15.75" customHeight="1">
      <c r="A1619" s="198" t="s">
        <v>175</v>
      </c>
      <c r="B1619" s="199" t="s">
        <v>203</v>
      </c>
      <c r="C1619" s="199" t="s">
        <v>166</v>
      </c>
      <c r="D1619" s="200" t="s">
        <v>163</v>
      </c>
      <c r="E1619" s="215">
        <v>1.8</v>
      </c>
      <c r="F1619" s="201">
        <v>0</v>
      </c>
      <c r="G1619" s="201">
        <v>3</v>
      </c>
      <c r="H1619" s="201">
        <v>1</v>
      </c>
      <c r="I1619" s="201">
        <v>2</v>
      </c>
      <c r="J1619" s="201">
        <v>0</v>
      </c>
      <c r="K1619" s="201">
        <v>0</v>
      </c>
      <c r="L1619" s="201">
        <v>4</v>
      </c>
      <c r="M1619" s="330">
        <v>0</v>
      </c>
      <c r="N1619" s="202">
        <v>-1</v>
      </c>
    </row>
    <row r="1620" spans="1:14" ht="15.75" customHeight="1">
      <c r="A1620" s="198" t="s">
        <v>175</v>
      </c>
      <c r="B1620" s="199" t="s">
        <v>203</v>
      </c>
      <c r="C1620" s="199" t="s">
        <v>166</v>
      </c>
      <c r="D1620" s="200" t="s">
        <v>164</v>
      </c>
      <c r="E1620" s="215">
        <v>1.8</v>
      </c>
      <c r="F1620" s="201">
        <v>0</v>
      </c>
      <c r="G1620" s="201">
        <v>3</v>
      </c>
      <c r="H1620" s="201">
        <v>1</v>
      </c>
      <c r="I1620" s="201">
        <v>2</v>
      </c>
      <c r="J1620" s="201">
        <v>0</v>
      </c>
      <c r="K1620" s="201">
        <v>0</v>
      </c>
      <c r="L1620" s="201">
        <v>4</v>
      </c>
      <c r="M1620" s="330" t="s">
        <v>172</v>
      </c>
      <c r="N1620" s="202">
        <v>-1</v>
      </c>
    </row>
    <row r="1621" spans="1:14">
      <c r="A1621" s="198" t="s">
        <v>175</v>
      </c>
      <c r="B1621" s="199" t="s">
        <v>203</v>
      </c>
      <c r="C1621" s="199" t="s">
        <v>166</v>
      </c>
      <c r="D1621" s="200" t="s">
        <v>165</v>
      </c>
      <c r="E1621" s="215">
        <v>26.4</v>
      </c>
      <c r="F1621" s="201">
        <v>23</v>
      </c>
      <c r="G1621" s="201">
        <v>22</v>
      </c>
      <c r="H1621" s="201">
        <v>26</v>
      </c>
      <c r="I1621" s="201">
        <v>15</v>
      </c>
      <c r="J1621" s="201">
        <v>14</v>
      </c>
      <c r="K1621" s="201">
        <v>14</v>
      </c>
      <c r="L1621" s="201">
        <v>14</v>
      </c>
      <c r="M1621" s="330">
        <v>19</v>
      </c>
      <c r="N1621" s="202">
        <v>-0.28030303030303028</v>
      </c>
    </row>
    <row r="1622" spans="1:14" ht="15.75" customHeight="1">
      <c r="A1622" s="198" t="s">
        <v>175</v>
      </c>
      <c r="B1622" s="199" t="s">
        <v>203</v>
      </c>
      <c r="C1622" s="199" t="s">
        <v>166</v>
      </c>
      <c r="D1622" s="203" t="s">
        <v>91</v>
      </c>
      <c r="E1622" s="216">
        <v>28.1</v>
      </c>
      <c r="F1622" s="204">
        <v>23</v>
      </c>
      <c r="G1622" s="204">
        <v>25</v>
      </c>
      <c r="H1622" s="204">
        <v>27</v>
      </c>
      <c r="I1622" s="204">
        <v>17</v>
      </c>
      <c r="J1622" s="204">
        <v>14</v>
      </c>
      <c r="K1622" s="204">
        <v>14</v>
      </c>
      <c r="L1622" s="204">
        <v>18</v>
      </c>
      <c r="M1622" s="331">
        <v>19</v>
      </c>
      <c r="N1622" s="202">
        <v>-0.32384341637010677</v>
      </c>
    </row>
    <row r="1623" spans="1:14" ht="15.75" customHeight="1">
      <c r="A1623" s="198" t="s">
        <v>175</v>
      </c>
      <c r="B1623" s="199" t="s">
        <v>203</v>
      </c>
      <c r="C1623" s="199" t="s">
        <v>133</v>
      </c>
      <c r="D1623" s="200" t="s">
        <v>162</v>
      </c>
      <c r="E1623" s="215">
        <v>1.2</v>
      </c>
      <c r="F1623" s="201">
        <v>1</v>
      </c>
      <c r="G1623" s="201">
        <v>0</v>
      </c>
      <c r="H1623" s="201">
        <v>0</v>
      </c>
      <c r="I1623" s="201">
        <v>2</v>
      </c>
      <c r="J1623" s="201">
        <v>0</v>
      </c>
      <c r="K1623" s="201">
        <v>0</v>
      </c>
      <c r="L1623" s="201">
        <v>0</v>
      </c>
      <c r="M1623" s="330">
        <v>1</v>
      </c>
      <c r="N1623" s="202">
        <v>-0.16666666666666663</v>
      </c>
    </row>
    <row r="1624" spans="1:14" ht="15.75" customHeight="1">
      <c r="A1624" s="198" t="s">
        <v>175</v>
      </c>
      <c r="B1624" s="199" t="s">
        <v>203</v>
      </c>
      <c r="C1624" s="199" t="s">
        <v>133</v>
      </c>
      <c r="D1624" s="200" t="s">
        <v>163</v>
      </c>
      <c r="E1624" s="215">
        <v>71.099999999999994</v>
      </c>
      <c r="F1624" s="201">
        <v>68</v>
      </c>
      <c r="G1624" s="201">
        <v>53</v>
      </c>
      <c r="H1624" s="201">
        <v>52</v>
      </c>
      <c r="I1624" s="201">
        <v>36</v>
      </c>
      <c r="J1624" s="201">
        <v>49</v>
      </c>
      <c r="K1624" s="201">
        <v>51</v>
      </c>
      <c r="L1624" s="201">
        <v>28</v>
      </c>
      <c r="M1624" s="330">
        <v>45</v>
      </c>
      <c r="N1624" s="202">
        <v>-0.36708860759493667</v>
      </c>
    </row>
    <row r="1625" spans="1:14" ht="15.75" customHeight="1">
      <c r="A1625" s="198" t="s">
        <v>175</v>
      </c>
      <c r="B1625" s="199" t="s">
        <v>203</v>
      </c>
      <c r="C1625" s="199" t="s">
        <v>133</v>
      </c>
      <c r="D1625" s="200" t="s">
        <v>164</v>
      </c>
      <c r="E1625" s="215">
        <v>69.900000000000006</v>
      </c>
      <c r="F1625" s="201">
        <v>67</v>
      </c>
      <c r="G1625" s="201">
        <v>53</v>
      </c>
      <c r="H1625" s="201">
        <v>52</v>
      </c>
      <c r="I1625" s="201">
        <v>34</v>
      </c>
      <c r="J1625" s="201">
        <v>49</v>
      </c>
      <c r="K1625" s="201">
        <v>51</v>
      </c>
      <c r="L1625" s="201">
        <v>28</v>
      </c>
      <c r="M1625" s="330">
        <v>44</v>
      </c>
      <c r="N1625" s="202">
        <v>-0.37052932761087271</v>
      </c>
    </row>
    <row r="1626" spans="1:14" ht="15.75" customHeight="1">
      <c r="A1626" s="198" t="s">
        <v>175</v>
      </c>
      <c r="B1626" s="199" t="s">
        <v>203</v>
      </c>
      <c r="C1626" s="199" t="s">
        <v>133</v>
      </c>
      <c r="D1626" s="200" t="s">
        <v>165</v>
      </c>
      <c r="E1626" s="215">
        <v>286.3</v>
      </c>
      <c r="F1626" s="201">
        <v>339</v>
      </c>
      <c r="G1626" s="201">
        <v>305</v>
      </c>
      <c r="H1626" s="201">
        <v>296</v>
      </c>
      <c r="I1626" s="201">
        <v>284</v>
      </c>
      <c r="J1626" s="201">
        <v>276</v>
      </c>
      <c r="K1626" s="201">
        <v>269</v>
      </c>
      <c r="L1626" s="201">
        <v>223</v>
      </c>
      <c r="M1626" s="330">
        <v>164</v>
      </c>
      <c r="N1626" s="202">
        <v>-0.4271742926999651</v>
      </c>
    </row>
    <row r="1627" spans="1:14" ht="15.75" customHeight="1">
      <c r="A1627" s="198" t="s">
        <v>175</v>
      </c>
      <c r="B1627" s="199" t="s">
        <v>203</v>
      </c>
      <c r="C1627" s="199" t="s">
        <v>133</v>
      </c>
      <c r="D1627" s="203" t="s">
        <v>91</v>
      </c>
      <c r="E1627" s="216">
        <v>357.4</v>
      </c>
      <c r="F1627" s="204">
        <v>407</v>
      </c>
      <c r="G1627" s="204">
        <v>358</v>
      </c>
      <c r="H1627" s="204">
        <v>348</v>
      </c>
      <c r="I1627" s="204">
        <v>320</v>
      </c>
      <c r="J1627" s="204">
        <v>325</v>
      </c>
      <c r="K1627" s="204">
        <v>320</v>
      </c>
      <c r="L1627" s="204">
        <v>251</v>
      </c>
      <c r="M1627" s="331">
        <v>209</v>
      </c>
      <c r="N1627" s="202">
        <v>-0.41522104085058753</v>
      </c>
    </row>
    <row r="1628" spans="1:14" ht="15.75" customHeight="1">
      <c r="A1628" s="198" t="s">
        <v>175</v>
      </c>
      <c r="B1628" s="199" t="s">
        <v>203</v>
      </c>
      <c r="C1628" s="199" t="s">
        <v>167</v>
      </c>
      <c r="D1628" s="200" t="s">
        <v>162</v>
      </c>
      <c r="E1628" s="215">
        <v>0</v>
      </c>
      <c r="F1628" s="201">
        <v>0</v>
      </c>
      <c r="G1628" s="201">
        <v>0</v>
      </c>
      <c r="H1628" s="201">
        <v>0</v>
      </c>
      <c r="I1628" s="201">
        <v>0</v>
      </c>
      <c r="J1628" s="201">
        <v>0</v>
      </c>
      <c r="K1628" s="201">
        <v>0</v>
      </c>
      <c r="L1628" s="201">
        <v>0</v>
      </c>
      <c r="M1628" s="330" t="s">
        <v>172</v>
      </c>
      <c r="N1628" s="202">
        <v>0</v>
      </c>
    </row>
    <row r="1629" spans="1:14" ht="15.75" customHeight="1">
      <c r="A1629" s="198" t="s">
        <v>175</v>
      </c>
      <c r="B1629" s="199" t="s">
        <v>203</v>
      </c>
      <c r="C1629" s="199" t="s">
        <v>167</v>
      </c>
      <c r="D1629" s="200" t="s">
        <v>163</v>
      </c>
      <c r="E1629" s="215">
        <v>1.1000000000000001</v>
      </c>
      <c r="F1629" s="201">
        <v>0</v>
      </c>
      <c r="G1629" s="201">
        <v>2</v>
      </c>
      <c r="H1629" s="201">
        <v>1</v>
      </c>
      <c r="I1629" s="201">
        <v>4</v>
      </c>
      <c r="J1629" s="201">
        <v>9</v>
      </c>
      <c r="K1629" s="201">
        <v>4</v>
      </c>
      <c r="L1629" s="201">
        <v>6</v>
      </c>
      <c r="M1629" s="330">
        <v>7</v>
      </c>
      <c r="N1629" s="202">
        <v>5.3636363636363633</v>
      </c>
    </row>
    <row r="1630" spans="1:14" ht="15.75" customHeight="1">
      <c r="A1630" s="198" t="s">
        <v>175</v>
      </c>
      <c r="B1630" s="199" t="s">
        <v>203</v>
      </c>
      <c r="C1630" s="199" t="s">
        <v>167</v>
      </c>
      <c r="D1630" s="200" t="s">
        <v>164</v>
      </c>
      <c r="E1630" s="215">
        <v>1.1000000000000001</v>
      </c>
      <c r="F1630" s="201">
        <v>0</v>
      </c>
      <c r="G1630" s="201">
        <v>2</v>
      </c>
      <c r="H1630" s="201">
        <v>1</v>
      </c>
      <c r="I1630" s="201">
        <v>4</v>
      </c>
      <c r="J1630" s="201">
        <v>9</v>
      </c>
      <c r="K1630" s="201">
        <v>4</v>
      </c>
      <c r="L1630" s="201">
        <v>6</v>
      </c>
      <c r="M1630" s="330">
        <v>7</v>
      </c>
      <c r="N1630" s="202">
        <v>5.3636363636363633</v>
      </c>
    </row>
    <row r="1631" spans="1:14">
      <c r="A1631" s="198" t="s">
        <v>175</v>
      </c>
      <c r="B1631" s="199" t="s">
        <v>203</v>
      </c>
      <c r="C1631" s="199" t="s">
        <v>167</v>
      </c>
      <c r="D1631" s="200" t="s">
        <v>165</v>
      </c>
      <c r="E1631" s="215">
        <v>6.8</v>
      </c>
      <c r="F1631" s="201">
        <v>8</v>
      </c>
      <c r="G1631" s="201">
        <v>1</v>
      </c>
      <c r="H1631" s="201">
        <v>16</v>
      </c>
      <c r="I1631" s="201">
        <v>10</v>
      </c>
      <c r="J1631" s="201">
        <v>16</v>
      </c>
      <c r="K1631" s="201">
        <v>21</v>
      </c>
      <c r="L1631" s="201">
        <v>11</v>
      </c>
      <c r="M1631" s="330">
        <v>14</v>
      </c>
      <c r="N1631" s="202">
        <v>1.0588235294117647</v>
      </c>
    </row>
    <row r="1632" spans="1:14" ht="15.75" customHeight="1">
      <c r="A1632" s="198" t="s">
        <v>175</v>
      </c>
      <c r="B1632" s="199" t="s">
        <v>203</v>
      </c>
      <c r="C1632" s="199" t="s">
        <v>167</v>
      </c>
      <c r="D1632" s="203" t="s">
        <v>91</v>
      </c>
      <c r="E1632" s="216">
        <v>7.9</v>
      </c>
      <c r="F1632" s="204">
        <v>8</v>
      </c>
      <c r="G1632" s="204">
        <v>3</v>
      </c>
      <c r="H1632" s="204">
        <v>17</v>
      </c>
      <c r="I1632" s="204">
        <v>14</v>
      </c>
      <c r="J1632" s="204">
        <v>25</v>
      </c>
      <c r="K1632" s="204">
        <v>25</v>
      </c>
      <c r="L1632" s="204">
        <v>17</v>
      </c>
      <c r="M1632" s="331">
        <v>21</v>
      </c>
      <c r="N1632" s="202">
        <v>1.6582278481012658</v>
      </c>
    </row>
    <row r="1633" spans="1:14" ht="15.75" customHeight="1">
      <c r="A1633" s="198" t="s">
        <v>175</v>
      </c>
      <c r="B1633" s="199" t="s">
        <v>203</v>
      </c>
      <c r="C1633" s="199" t="s">
        <v>168</v>
      </c>
      <c r="D1633" s="200" t="s">
        <v>162</v>
      </c>
      <c r="E1633" s="215">
        <v>0.8</v>
      </c>
      <c r="F1633" s="201">
        <v>0</v>
      </c>
      <c r="G1633" s="201">
        <v>1</v>
      </c>
      <c r="H1633" s="201">
        <v>0</v>
      </c>
      <c r="I1633" s="201">
        <v>0</v>
      </c>
      <c r="J1633" s="201">
        <v>0</v>
      </c>
      <c r="K1633" s="201">
        <v>0</v>
      </c>
      <c r="L1633" s="201">
        <v>0</v>
      </c>
      <c r="M1633" s="330">
        <v>0</v>
      </c>
      <c r="N1633" s="202">
        <v>-1</v>
      </c>
    </row>
    <row r="1634" spans="1:14" ht="15.75" customHeight="1">
      <c r="A1634" s="198" t="s">
        <v>175</v>
      </c>
      <c r="B1634" s="199" t="s">
        <v>203</v>
      </c>
      <c r="C1634" s="199" t="s">
        <v>168</v>
      </c>
      <c r="D1634" s="200" t="s">
        <v>163</v>
      </c>
      <c r="E1634" s="215">
        <v>76.900000000000006</v>
      </c>
      <c r="F1634" s="201">
        <v>63</v>
      </c>
      <c r="G1634" s="201">
        <v>71</v>
      </c>
      <c r="H1634" s="201">
        <v>70</v>
      </c>
      <c r="I1634" s="201">
        <v>61</v>
      </c>
      <c r="J1634" s="201">
        <v>85</v>
      </c>
      <c r="K1634" s="201">
        <v>93</v>
      </c>
      <c r="L1634" s="201">
        <v>85</v>
      </c>
      <c r="M1634" s="330">
        <v>80</v>
      </c>
      <c r="N1634" s="202">
        <v>4.0312093628088352E-2</v>
      </c>
    </row>
    <row r="1635" spans="1:14" ht="15.75" customHeight="1">
      <c r="A1635" s="198" t="s">
        <v>175</v>
      </c>
      <c r="B1635" s="199" t="s">
        <v>203</v>
      </c>
      <c r="C1635" s="199" t="s">
        <v>168</v>
      </c>
      <c r="D1635" s="200" t="s">
        <v>164</v>
      </c>
      <c r="E1635" s="215">
        <v>76.099999999999994</v>
      </c>
      <c r="F1635" s="201">
        <v>63</v>
      </c>
      <c r="G1635" s="201">
        <v>70</v>
      </c>
      <c r="H1635" s="201">
        <v>70</v>
      </c>
      <c r="I1635" s="201">
        <v>61</v>
      </c>
      <c r="J1635" s="201">
        <v>85</v>
      </c>
      <c r="K1635" s="201">
        <v>93</v>
      </c>
      <c r="L1635" s="201">
        <v>85</v>
      </c>
      <c r="M1635" s="330">
        <v>80</v>
      </c>
      <c r="N1635" s="202">
        <v>5.1248357424441601E-2</v>
      </c>
    </row>
    <row r="1636" spans="1:14" ht="15.75" customHeight="1">
      <c r="A1636" s="198" t="s">
        <v>175</v>
      </c>
      <c r="B1636" s="199" t="s">
        <v>203</v>
      </c>
      <c r="C1636" s="199" t="s">
        <v>168</v>
      </c>
      <c r="D1636" s="200" t="s">
        <v>165</v>
      </c>
      <c r="E1636" s="215">
        <v>356</v>
      </c>
      <c r="F1636" s="201">
        <v>346</v>
      </c>
      <c r="G1636" s="201">
        <v>310</v>
      </c>
      <c r="H1636" s="201">
        <v>315</v>
      </c>
      <c r="I1636" s="201">
        <v>259</v>
      </c>
      <c r="J1636" s="201">
        <v>316</v>
      </c>
      <c r="K1636" s="201">
        <v>339</v>
      </c>
      <c r="L1636" s="201">
        <v>345</v>
      </c>
      <c r="M1636" s="330">
        <v>290</v>
      </c>
      <c r="N1636" s="202">
        <v>-0.1853932584269663</v>
      </c>
    </row>
    <row r="1637" spans="1:14" ht="15.75" customHeight="1">
      <c r="A1637" s="198" t="s">
        <v>175</v>
      </c>
      <c r="B1637" s="199" t="s">
        <v>203</v>
      </c>
      <c r="C1637" s="199" t="s">
        <v>168</v>
      </c>
      <c r="D1637" s="203" t="s">
        <v>91</v>
      </c>
      <c r="E1637" s="216">
        <v>432.9</v>
      </c>
      <c r="F1637" s="204">
        <v>409</v>
      </c>
      <c r="G1637" s="204">
        <v>381</v>
      </c>
      <c r="H1637" s="204">
        <v>385</v>
      </c>
      <c r="I1637" s="204">
        <v>320</v>
      </c>
      <c r="J1637" s="204">
        <v>401</v>
      </c>
      <c r="K1637" s="204">
        <v>432</v>
      </c>
      <c r="L1637" s="204">
        <v>430</v>
      </c>
      <c r="M1637" s="331">
        <v>370</v>
      </c>
      <c r="N1637" s="202">
        <v>-0.14529914529914525</v>
      </c>
    </row>
    <row r="1638" spans="1:14" ht="15.75" customHeight="1">
      <c r="A1638" s="198" t="s">
        <v>175</v>
      </c>
      <c r="B1638" s="199" t="s">
        <v>203</v>
      </c>
      <c r="C1638" s="199" t="s">
        <v>131</v>
      </c>
      <c r="D1638" s="200" t="s">
        <v>162</v>
      </c>
      <c r="E1638" s="215">
        <v>4</v>
      </c>
      <c r="F1638" s="201">
        <v>4</v>
      </c>
      <c r="G1638" s="201">
        <v>2</v>
      </c>
      <c r="H1638" s="201">
        <v>4</v>
      </c>
      <c r="I1638" s="201">
        <v>2</v>
      </c>
      <c r="J1638" s="201">
        <v>1</v>
      </c>
      <c r="K1638" s="201">
        <v>3</v>
      </c>
      <c r="L1638" s="201">
        <v>2</v>
      </c>
      <c r="M1638" s="330">
        <v>3</v>
      </c>
      <c r="N1638" s="202">
        <v>-0.25</v>
      </c>
    </row>
    <row r="1639" spans="1:14" ht="15.75" customHeight="1">
      <c r="A1639" s="198" t="s">
        <v>175</v>
      </c>
      <c r="B1639" s="199" t="s">
        <v>203</v>
      </c>
      <c r="C1639" s="199" t="s">
        <v>131</v>
      </c>
      <c r="D1639" s="200" t="s">
        <v>163</v>
      </c>
      <c r="E1639" s="215">
        <v>134.69999999999999</v>
      </c>
      <c r="F1639" s="201">
        <v>109</v>
      </c>
      <c r="G1639" s="201">
        <v>116</v>
      </c>
      <c r="H1639" s="201">
        <v>102</v>
      </c>
      <c r="I1639" s="201">
        <v>48</v>
      </c>
      <c r="J1639" s="201">
        <v>65</v>
      </c>
      <c r="K1639" s="201">
        <v>81</v>
      </c>
      <c r="L1639" s="201">
        <v>110</v>
      </c>
      <c r="M1639" s="330">
        <v>81</v>
      </c>
      <c r="N1639" s="202">
        <v>-0.39866369710467703</v>
      </c>
    </row>
    <row r="1640" spans="1:14" ht="15.75" customHeight="1">
      <c r="A1640" s="198" t="s">
        <v>175</v>
      </c>
      <c r="B1640" s="199" t="s">
        <v>203</v>
      </c>
      <c r="C1640" s="199" t="s">
        <v>131</v>
      </c>
      <c r="D1640" s="200" t="s">
        <v>164</v>
      </c>
      <c r="E1640" s="215">
        <v>130.69999999999999</v>
      </c>
      <c r="F1640" s="201">
        <v>105</v>
      </c>
      <c r="G1640" s="201">
        <v>114</v>
      </c>
      <c r="H1640" s="201">
        <v>98</v>
      </c>
      <c r="I1640" s="201">
        <v>46</v>
      </c>
      <c r="J1640" s="201">
        <v>64</v>
      </c>
      <c r="K1640" s="201">
        <v>78</v>
      </c>
      <c r="L1640" s="201">
        <v>108</v>
      </c>
      <c r="M1640" s="330">
        <v>78</v>
      </c>
      <c r="N1640" s="202">
        <v>-0.40321346595256308</v>
      </c>
    </row>
    <row r="1641" spans="1:14" ht="15.75" customHeight="1">
      <c r="A1641" s="198" t="s">
        <v>175</v>
      </c>
      <c r="B1641" s="199" t="s">
        <v>203</v>
      </c>
      <c r="C1641" s="199" t="s">
        <v>131</v>
      </c>
      <c r="D1641" s="200" t="s">
        <v>165</v>
      </c>
      <c r="E1641" s="215">
        <v>365.8</v>
      </c>
      <c r="F1641" s="201">
        <v>412</v>
      </c>
      <c r="G1641" s="201">
        <v>349</v>
      </c>
      <c r="H1641" s="201">
        <v>375</v>
      </c>
      <c r="I1641" s="201">
        <v>147</v>
      </c>
      <c r="J1641" s="201">
        <v>166</v>
      </c>
      <c r="K1641" s="201">
        <v>212</v>
      </c>
      <c r="L1641" s="201">
        <v>236</v>
      </c>
      <c r="M1641" s="330">
        <v>233</v>
      </c>
      <c r="N1641" s="202">
        <v>-0.36303991252050305</v>
      </c>
    </row>
    <row r="1642" spans="1:14" ht="15.75" customHeight="1">
      <c r="A1642" s="198" t="s">
        <v>175</v>
      </c>
      <c r="B1642" s="199" t="s">
        <v>203</v>
      </c>
      <c r="C1642" s="199" t="s">
        <v>131</v>
      </c>
      <c r="D1642" s="203" t="s">
        <v>91</v>
      </c>
      <c r="E1642" s="216">
        <v>500.5</v>
      </c>
      <c r="F1642" s="204">
        <v>521</v>
      </c>
      <c r="G1642" s="204">
        <v>465</v>
      </c>
      <c r="H1642" s="204">
        <v>477</v>
      </c>
      <c r="I1642" s="204">
        <v>195</v>
      </c>
      <c r="J1642" s="204">
        <v>231</v>
      </c>
      <c r="K1642" s="204">
        <v>293</v>
      </c>
      <c r="L1642" s="204">
        <v>346</v>
      </c>
      <c r="M1642" s="331">
        <v>314</v>
      </c>
      <c r="N1642" s="202">
        <v>-0.37262737262737261</v>
      </c>
    </row>
    <row r="1643" spans="1:14" ht="15.75" customHeight="1">
      <c r="A1643" s="198" t="s">
        <v>175</v>
      </c>
      <c r="B1643" s="199" t="s">
        <v>203</v>
      </c>
      <c r="C1643" s="199" t="s">
        <v>169</v>
      </c>
      <c r="D1643" s="200" t="s">
        <v>162</v>
      </c>
      <c r="E1643" s="215">
        <v>0</v>
      </c>
      <c r="F1643" s="201">
        <v>0</v>
      </c>
      <c r="G1643" s="201">
        <v>0</v>
      </c>
      <c r="H1643" s="201">
        <v>0</v>
      </c>
      <c r="I1643" s="201">
        <v>0</v>
      </c>
      <c r="J1643" s="201">
        <v>0</v>
      </c>
      <c r="K1643" s="201">
        <v>0</v>
      </c>
      <c r="L1643" s="201">
        <v>0</v>
      </c>
      <c r="M1643" s="330">
        <v>0</v>
      </c>
      <c r="N1643" s="202">
        <v>0</v>
      </c>
    </row>
    <row r="1644" spans="1:14" ht="15.75" customHeight="1">
      <c r="A1644" s="198" t="s">
        <v>175</v>
      </c>
      <c r="B1644" s="199" t="s">
        <v>203</v>
      </c>
      <c r="C1644" s="199" t="s">
        <v>169</v>
      </c>
      <c r="D1644" s="200" t="s">
        <v>163</v>
      </c>
      <c r="E1644" s="215">
        <v>0</v>
      </c>
      <c r="F1644" s="201">
        <v>2</v>
      </c>
      <c r="G1644" s="201">
        <v>3</v>
      </c>
      <c r="H1644" s="201">
        <v>1</v>
      </c>
      <c r="I1644" s="201">
        <v>1</v>
      </c>
      <c r="J1644" s="201">
        <v>2</v>
      </c>
      <c r="K1644" s="201">
        <v>0</v>
      </c>
      <c r="L1644" s="201">
        <v>2</v>
      </c>
      <c r="M1644" s="330">
        <v>3</v>
      </c>
      <c r="N1644" s="202">
        <v>0</v>
      </c>
    </row>
    <row r="1645" spans="1:14" ht="15.75" customHeight="1">
      <c r="A1645" s="198" t="s">
        <v>175</v>
      </c>
      <c r="B1645" s="199" t="s">
        <v>203</v>
      </c>
      <c r="C1645" s="199" t="s">
        <v>169</v>
      </c>
      <c r="D1645" s="200" t="s">
        <v>164</v>
      </c>
      <c r="E1645" s="215">
        <v>0</v>
      </c>
      <c r="F1645" s="201">
        <v>2</v>
      </c>
      <c r="G1645" s="201">
        <v>3</v>
      </c>
      <c r="H1645" s="201">
        <v>1</v>
      </c>
      <c r="I1645" s="201">
        <v>1</v>
      </c>
      <c r="J1645" s="201">
        <v>2</v>
      </c>
      <c r="K1645" s="201">
        <v>0</v>
      </c>
      <c r="L1645" s="201">
        <v>2</v>
      </c>
      <c r="M1645" s="330">
        <v>3</v>
      </c>
      <c r="N1645" s="202">
        <v>0</v>
      </c>
    </row>
    <row r="1646" spans="1:14" ht="15.75" customHeight="1">
      <c r="A1646" s="198" t="s">
        <v>175</v>
      </c>
      <c r="B1646" s="199" t="s">
        <v>203</v>
      </c>
      <c r="C1646" s="199" t="s">
        <v>169</v>
      </c>
      <c r="D1646" s="200" t="s">
        <v>165</v>
      </c>
      <c r="E1646" s="215">
        <v>0</v>
      </c>
      <c r="F1646" s="201">
        <v>71</v>
      </c>
      <c r="G1646" s="201">
        <v>66</v>
      </c>
      <c r="H1646" s="201">
        <v>45</v>
      </c>
      <c r="I1646" s="201">
        <v>25</v>
      </c>
      <c r="J1646" s="201">
        <v>20</v>
      </c>
      <c r="K1646" s="201">
        <v>18</v>
      </c>
      <c r="L1646" s="201">
        <v>19</v>
      </c>
      <c r="M1646" s="330">
        <v>20</v>
      </c>
      <c r="N1646" s="202">
        <v>0</v>
      </c>
    </row>
    <row r="1647" spans="1:14" ht="15.75" customHeight="1">
      <c r="A1647" s="198" t="s">
        <v>175</v>
      </c>
      <c r="B1647" s="199" t="s">
        <v>203</v>
      </c>
      <c r="C1647" s="199" t="s">
        <v>169</v>
      </c>
      <c r="D1647" s="203" t="s">
        <v>91</v>
      </c>
      <c r="E1647" s="216">
        <v>0</v>
      </c>
      <c r="F1647" s="204">
        <v>73</v>
      </c>
      <c r="G1647" s="204">
        <v>69</v>
      </c>
      <c r="H1647" s="204">
        <v>46</v>
      </c>
      <c r="I1647" s="204">
        <v>26</v>
      </c>
      <c r="J1647" s="204">
        <v>22</v>
      </c>
      <c r="K1647" s="204">
        <v>18</v>
      </c>
      <c r="L1647" s="204">
        <v>21</v>
      </c>
      <c r="M1647" s="331">
        <v>23</v>
      </c>
      <c r="N1647" s="202">
        <v>0</v>
      </c>
    </row>
    <row r="1648" spans="1:14" ht="15.75" customHeight="1">
      <c r="A1648" s="198" t="s">
        <v>175</v>
      </c>
      <c r="B1648" s="199" t="s">
        <v>203</v>
      </c>
      <c r="C1648" s="199" t="s">
        <v>139</v>
      </c>
      <c r="D1648" s="200" t="s">
        <v>162</v>
      </c>
      <c r="E1648" s="215">
        <v>0</v>
      </c>
      <c r="F1648" s="201">
        <v>0</v>
      </c>
      <c r="G1648" s="201">
        <v>0</v>
      </c>
      <c r="H1648" s="201">
        <v>0</v>
      </c>
      <c r="I1648" s="201">
        <v>0</v>
      </c>
      <c r="J1648" s="201">
        <v>0</v>
      </c>
      <c r="K1648" s="201">
        <v>0</v>
      </c>
      <c r="L1648" s="201">
        <v>0</v>
      </c>
      <c r="M1648" s="330">
        <v>0</v>
      </c>
      <c r="N1648" s="202">
        <v>0</v>
      </c>
    </row>
    <row r="1649" spans="1:14" ht="15.75" customHeight="1">
      <c r="A1649" s="198" t="s">
        <v>175</v>
      </c>
      <c r="B1649" s="199" t="s">
        <v>203</v>
      </c>
      <c r="C1649" s="199" t="s">
        <v>139</v>
      </c>
      <c r="D1649" s="200" t="s">
        <v>163</v>
      </c>
      <c r="E1649" s="215">
        <v>5.8</v>
      </c>
      <c r="F1649" s="201">
        <v>1</v>
      </c>
      <c r="G1649" s="201">
        <v>5</v>
      </c>
      <c r="H1649" s="201">
        <v>6</v>
      </c>
      <c r="I1649" s="201">
        <v>1</v>
      </c>
      <c r="J1649" s="201">
        <v>1</v>
      </c>
      <c r="K1649" s="201">
        <v>5</v>
      </c>
      <c r="L1649" s="201">
        <v>3</v>
      </c>
      <c r="M1649" s="330">
        <v>3</v>
      </c>
      <c r="N1649" s="202">
        <v>-0.48275862068965514</v>
      </c>
    </row>
    <row r="1650" spans="1:14" ht="15.75" customHeight="1">
      <c r="A1650" s="198" t="s">
        <v>175</v>
      </c>
      <c r="B1650" s="199" t="s">
        <v>203</v>
      </c>
      <c r="C1650" s="199" t="s">
        <v>139</v>
      </c>
      <c r="D1650" s="200" t="s">
        <v>164</v>
      </c>
      <c r="E1650" s="215">
        <v>5.8</v>
      </c>
      <c r="F1650" s="201">
        <v>1</v>
      </c>
      <c r="G1650" s="201">
        <v>5</v>
      </c>
      <c r="H1650" s="201">
        <v>6</v>
      </c>
      <c r="I1650" s="201">
        <v>1</v>
      </c>
      <c r="J1650" s="201">
        <v>1</v>
      </c>
      <c r="K1650" s="201">
        <v>5</v>
      </c>
      <c r="L1650" s="201">
        <v>3</v>
      </c>
      <c r="M1650" s="330">
        <v>3</v>
      </c>
      <c r="N1650" s="202">
        <v>-0.48275862068965514</v>
      </c>
    </row>
    <row r="1651" spans="1:14" ht="15.75" customHeight="1">
      <c r="A1651" s="198" t="s">
        <v>175</v>
      </c>
      <c r="B1651" s="199" t="s">
        <v>203</v>
      </c>
      <c r="C1651" s="199" t="s">
        <v>139</v>
      </c>
      <c r="D1651" s="200" t="s">
        <v>165</v>
      </c>
      <c r="E1651" s="215">
        <v>86.7</v>
      </c>
      <c r="F1651" s="201">
        <v>43</v>
      </c>
      <c r="G1651" s="201">
        <v>56</v>
      </c>
      <c r="H1651" s="201">
        <v>67</v>
      </c>
      <c r="I1651" s="201">
        <v>40</v>
      </c>
      <c r="J1651" s="201">
        <v>33</v>
      </c>
      <c r="K1651" s="201">
        <v>33</v>
      </c>
      <c r="L1651" s="201">
        <v>35</v>
      </c>
      <c r="M1651" s="330">
        <v>25</v>
      </c>
      <c r="N1651" s="202">
        <v>-0.71164936562860437</v>
      </c>
    </row>
    <row r="1652" spans="1:14" ht="15.75" customHeight="1">
      <c r="A1652" s="198" t="s">
        <v>175</v>
      </c>
      <c r="B1652" s="199" t="s">
        <v>203</v>
      </c>
      <c r="C1652" s="199" t="s">
        <v>139</v>
      </c>
      <c r="D1652" s="203" t="s">
        <v>91</v>
      </c>
      <c r="E1652" s="216">
        <v>92.5</v>
      </c>
      <c r="F1652" s="204">
        <v>44</v>
      </c>
      <c r="G1652" s="204">
        <v>61</v>
      </c>
      <c r="H1652" s="204">
        <v>73</v>
      </c>
      <c r="I1652" s="204">
        <v>41</v>
      </c>
      <c r="J1652" s="204">
        <v>34</v>
      </c>
      <c r="K1652" s="204">
        <v>38</v>
      </c>
      <c r="L1652" s="204">
        <v>38</v>
      </c>
      <c r="M1652" s="331">
        <v>28</v>
      </c>
      <c r="N1652" s="202">
        <v>-0.69729729729729728</v>
      </c>
    </row>
    <row r="1653" spans="1:14" ht="15.75" customHeight="1">
      <c r="A1653" s="198" t="s">
        <v>175</v>
      </c>
      <c r="B1653" s="199" t="s">
        <v>203</v>
      </c>
      <c r="C1653" s="205" t="s">
        <v>91</v>
      </c>
      <c r="D1653" s="203" t="s">
        <v>162</v>
      </c>
      <c r="E1653" s="216">
        <v>6.2</v>
      </c>
      <c r="F1653" s="204">
        <v>6</v>
      </c>
      <c r="G1653" s="204">
        <v>3</v>
      </c>
      <c r="H1653" s="204">
        <v>4</v>
      </c>
      <c r="I1653" s="204">
        <v>4</v>
      </c>
      <c r="J1653" s="204">
        <v>4</v>
      </c>
      <c r="K1653" s="204">
        <v>6</v>
      </c>
      <c r="L1653" s="204">
        <v>2</v>
      </c>
      <c r="M1653" s="331">
        <v>4</v>
      </c>
      <c r="N1653" s="202">
        <v>-0.35483870967741937</v>
      </c>
    </row>
    <row r="1654" spans="1:14" ht="15.75" customHeight="1">
      <c r="A1654" s="198" t="s">
        <v>159</v>
      </c>
      <c r="B1654" s="199" t="s">
        <v>160</v>
      </c>
      <c r="C1654" s="205" t="s">
        <v>91</v>
      </c>
      <c r="D1654" s="203" t="s">
        <v>163</v>
      </c>
      <c r="E1654" s="214">
        <v>82.8</v>
      </c>
      <c r="F1654" s="204">
        <v>91</v>
      </c>
      <c r="G1654" s="204">
        <v>100</v>
      </c>
      <c r="H1654" s="204">
        <v>89</v>
      </c>
      <c r="I1654" s="204">
        <v>59</v>
      </c>
      <c r="J1654" s="204">
        <v>55</v>
      </c>
      <c r="K1654" s="204">
        <v>64</v>
      </c>
      <c r="L1654" s="204">
        <v>61</v>
      </c>
      <c r="M1654" s="331">
        <v>51</v>
      </c>
      <c r="N1654" s="202">
        <v>-0.38405797101449274</v>
      </c>
    </row>
    <row r="1655" spans="1:14" ht="15.75" customHeight="1">
      <c r="A1655" s="198" t="s">
        <v>175</v>
      </c>
      <c r="B1655" s="199" t="s">
        <v>203</v>
      </c>
      <c r="C1655" s="205" t="s">
        <v>91</v>
      </c>
      <c r="D1655" s="203" t="s">
        <v>164</v>
      </c>
      <c r="E1655" s="216">
        <v>323.3</v>
      </c>
      <c r="F1655" s="204">
        <v>264</v>
      </c>
      <c r="G1655" s="204">
        <v>269</v>
      </c>
      <c r="H1655" s="204">
        <v>243</v>
      </c>
      <c r="I1655" s="204">
        <v>156</v>
      </c>
      <c r="J1655" s="204">
        <v>218</v>
      </c>
      <c r="K1655" s="204">
        <v>258</v>
      </c>
      <c r="L1655" s="204">
        <v>257</v>
      </c>
      <c r="M1655" s="331">
        <v>230</v>
      </c>
      <c r="N1655" s="202">
        <v>-0.2885864522115682</v>
      </c>
    </row>
    <row r="1656" spans="1:14" ht="15.75" customHeight="1">
      <c r="A1656" s="198" t="s">
        <v>175</v>
      </c>
      <c r="B1656" s="199" t="s">
        <v>203</v>
      </c>
      <c r="C1656" s="205" t="s">
        <v>91</v>
      </c>
      <c r="D1656" s="203" t="s">
        <v>165</v>
      </c>
      <c r="E1656" s="216">
        <v>1537.2</v>
      </c>
      <c r="F1656" s="204">
        <v>1647</v>
      </c>
      <c r="G1656" s="204">
        <v>1438</v>
      </c>
      <c r="H1656" s="204">
        <v>1463</v>
      </c>
      <c r="I1656" s="204">
        <v>990</v>
      </c>
      <c r="J1656" s="204">
        <v>1049</v>
      </c>
      <c r="K1656" s="204">
        <v>1135</v>
      </c>
      <c r="L1656" s="204">
        <v>1115</v>
      </c>
      <c r="M1656" s="331">
        <v>958</v>
      </c>
      <c r="N1656" s="202">
        <v>-0.37678896695290137</v>
      </c>
    </row>
    <row r="1657" spans="1:14">
      <c r="A1657" s="207" t="s">
        <v>175</v>
      </c>
      <c r="B1657" s="208" t="s">
        <v>203</v>
      </c>
      <c r="C1657" s="209" t="s">
        <v>91</v>
      </c>
      <c r="D1657" s="210" t="s">
        <v>91</v>
      </c>
      <c r="E1657" s="217">
        <v>1866.7</v>
      </c>
      <c r="F1657" s="211">
        <v>1917</v>
      </c>
      <c r="G1657" s="211">
        <v>1710</v>
      </c>
      <c r="H1657" s="211">
        <v>1710</v>
      </c>
      <c r="I1657" s="211">
        <v>1150</v>
      </c>
      <c r="J1657" s="211">
        <v>1271</v>
      </c>
      <c r="K1657" s="211">
        <v>1399</v>
      </c>
      <c r="L1657" s="211">
        <v>1374</v>
      </c>
      <c r="M1657" s="333">
        <v>1192</v>
      </c>
      <c r="N1657" s="212">
        <v>-0.36143997428617347</v>
      </c>
    </row>
    <row r="1658" spans="1:14">
      <c r="A1658" s="193" t="s">
        <v>92</v>
      </c>
      <c r="B1658" s="194"/>
      <c r="C1658" s="195"/>
      <c r="D1658" s="196"/>
      <c r="E1658" s="196"/>
      <c r="F1658" s="197"/>
      <c r="G1658" s="197"/>
      <c r="H1658" s="197"/>
      <c r="I1658" s="197"/>
      <c r="J1658" s="218"/>
      <c r="K1658" s="219"/>
      <c r="L1658" s="219"/>
      <c r="M1658" s="220"/>
      <c r="N1658" s="221"/>
    </row>
    <row r="1659" spans="1:14" ht="17.5">
      <c r="A1659" s="92" t="s">
        <v>204</v>
      </c>
    </row>
    <row r="1660" spans="1:14" ht="17.5">
      <c r="A1660" s="92" t="s">
        <v>50</v>
      </c>
    </row>
    <row r="1661" spans="1:14" ht="17.5">
      <c r="A1661" s="2"/>
    </row>
  </sheetData>
  <phoneticPr fontId="43" type="noConversion"/>
  <hyperlinks>
    <hyperlink ref="A1659" location="'Table of contents'!A1" display="Back to Table of contents" xr:uid="{A9D7E14E-0BAA-4B78-B2FD-D3B45315B781}"/>
    <hyperlink ref="A1660" r:id="rId1" display="Back to Road Casualties in Greater London 2024 Factsheet" xr:uid="{00AC00B7-08F2-4E98-A845-A1887D60DB9C}"/>
  </hyperlinks>
  <pageMargins left="0.7" right="0.7" top="0.75" bottom="0.75" header="0.3" footer="0.3"/>
  <pageSetup paperSize="9" orientation="portrait" horizontalDpi="1200" verticalDpi="1200"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E97D1-3942-4236-A6C9-000B17517561}">
  <sheetPr codeName="Sheet17">
    <tabColor rgb="FFFFFF00"/>
  </sheetPr>
  <dimension ref="A1:L70"/>
  <sheetViews>
    <sheetView zoomScaleNormal="100" workbookViewId="0">
      <selection activeCell="O5" sqref="O5"/>
    </sheetView>
  </sheetViews>
  <sheetFormatPr defaultColWidth="9.23046875" defaultRowHeight="15.5"/>
  <cols>
    <col min="1" max="1" width="21.765625" style="38" bestFit="1" customWidth="1"/>
    <col min="2" max="2" width="9.765625" style="38" bestFit="1" customWidth="1"/>
    <col min="3" max="3" width="8.3046875" style="38" customWidth="1"/>
    <col min="4" max="10" width="8.4609375" style="38" customWidth="1"/>
    <col min="11" max="11" width="14.765625" style="38" customWidth="1"/>
    <col min="12" max="12" width="13" style="38" customWidth="1"/>
    <col min="13" max="16384" width="9.23046875" style="38"/>
  </cols>
  <sheetData>
    <row r="1" spans="1:12" ht="45" customHeight="1">
      <c r="A1" s="231" t="s">
        <v>42</v>
      </c>
    </row>
    <row r="2" spans="1:12" s="235" customFormat="1" ht="40.5" customHeight="1">
      <c r="A2" s="110" t="s">
        <v>205</v>
      </c>
      <c r="B2" s="79" t="s">
        <v>206</v>
      </c>
      <c r="C2" s="79" t="s">
        <v>69</v>
      </c>
      <c r="D2" s="79" t="s">
        <v>70</v>
      </c>
      <c r="E2" s="79" t="s">
        <v>71</v>
      </c>
      <c r="F2" s="79" t="s">
        <v>72</v>
      </c>
      <c r="G2" s="79" t="s">
        <v>73</v>
      </c>
      <c r="H2" s="79" t="s">
        <v>74</v>
      </c>
      <c r="I2" s="79" t="s">
        <v>75</v>
      </c>
      <c r="J2" s="79" t="s">
        <v>76</v>
      </c>
      <c r="K2" s="79" t="s">
        <v>207</v>
      </c>
      <c r="L2" s="78" t="s">
        <v>208</v>
      </c>
    </row>
    <row r="3" spans="1:12">
      <c r="A3" s="222" t="s">
        <v>175</v>
      </c>
      <c r="B3" s="345">
        <v>2348.2769794037486</v>
      </c>
      <c r="C3" s="201">
        <v>1867</v>
      </c>
      <c r="D3" s="201">
        <v>1984</v>
      </c>
      <c r="E3" s="201">
        <v>1838</v>
      </c>
      <c r="F3" s="201">
        <v>1423</v>
      </c>
      <c r="G3" s="201">
        <v>1737</v>
      </c>
      <c r="H3" s="201">
        <v>1909</v>
      </c>
      <c r="I3" s="201">
        <v>1786</v>
      </c>
      <c r="J3" s="201">
        <v>1822</v>
      </c>
      <c r="K3" s="223">
        <v>2.0156774916013438E-2</v>
      </c>
      <c r="L3" s="224">
        <v>-0.22411196976319875</v>
      </c>
    </row>
    <row r="4" spans="1:12">
      <c r="A4" s="222" t="s">
        <v>159</v>
      </c>
      <c r="B4" s="345">
        <v>2520.8988178973891</v>
      </c>
      <c r="C4" s="201">
        <v>2014</v>
      </c>
      <c r="D4" s="201">
        <v>2081</v>
      </c>
      <c r="E4" s="201">
        <v>2067</v>
      </c>
      <c r="F4" s="201">
        <v>1647</v>
      </c>
      <c r="G4" s="201">
        <v>1842</v>
      </c>
      <c r="H4" s="201">
        <v>2052</v>
      </c>
      <c r="I4" s="201">
        <v>1924</v>
      </c>
      <c r="J4" s="201">
        <v>1885</v>
      </c>
      <c r="K4" s="223">
        <v>-2.0270270270270271E-2</v>
      </c>
      <c r="L4" s="224">
        <v>-0.25225082949889061</v>
      </c>
    </row>
    <row r="5" spans="1:12">
      <c r="A5" s="225" t="s">
        <v>209</v>
      </c>
      <c r="B5" s="346">
        <v>4869.1757973011381</v>
      </c>
      <c r="C5" s="204">
        <v>3881</v>
      </c>
      <c r="D5" s="204">
        <v>4065</v>
      </c>
      <c r="E5" s="204">
        <v>3905</v>
      </c>
      <c r="F5" s="204">
        <v>3070</v>
      </c>
      <c r="G5" s="204">
        <v>3579</v>
      </c>
      <c r="H5" s="204">
        <v>3961</v>
      </c>
      <c r="I5" s="204">
        <v>3710</v>
      </c>
      <c r="J5" s="204">
        <v>3707</v>
      </c>
      <c r="K5" s="226">
        <v>-8.0862533692722374E-4</v>
      </c>
      <c r="L5" s="227">
        <v>-0.23868018853320166</v>
      </c>
    </row>
    <row r="6" spans="1:12">
      <c r="A6" s="198" t="s">
        <v>176</v>
      </c>
      <c r="B6" s="213">
        <v>182</v>
      </c>
      <c r="C6" s="201">
        <v>144</v>
      </c>
      <c r="D6" s="201">
        <v>152</v>
      </c>
      <c r="E6" s="201">
        <v>141</v>
      </c>
      <c r="F6" s="201">
        <v>102</v>
      </c>
      <c r="G6" s="201">
        <v>117</v>
      </c>
      <c r="H6" s="201">
        <v>119</v>
      </c>
      <c r="I6" s="201">
        <v>116</v>
      </c>
      <c r="J6" s="201">
        <v>103</v>
      </c>
      <c r="K6" s="223">
        <v>-0.11206896551724138</v>
      </c>
      <c r="L6" s="224">
        <v>-0.43406593406593408</v>
      </c>
    </row>
    <row r="7" spans="1:12">
      <c r="A7" s="198" t="s">
        <v>177</v>
      </c>
      <c r="B7" s="213">
        <v>54</v>
      </c>
      <c r="C7" s="201">
        <v>54</v>
      </c>
      <c r="D7" s="201">
        <v>82</v>
      </c>
      <c r="E7" s="201">
        <v>76</v>
      </c>
      <c r="F7" s="201">
        <v>41</v>
      </c>
      <c r="G7" s="201">
        <v>40</v>
      </c>
      <c r="H7" s="201">
        <v>59</v>
      </c>
      <c r="I7" s="201">
        <v>42</v>
      </c>
      <c r="J7" s="201">
        <v>58</v>
      </c>
      <c r="K7" s="223">
        <v>0.38095238095238093</v>
      </c>
      <c r="L7" s="224">
        <v>7.407407407407407E-2</v>
      </c>
    </row>
    <row r="8" spans="1:12">
      <c r="A8" s="198" t="s">
        <v>181</v>
      </c>
      <c r="B8" s="213">
        <v>127</v>
      </c>
      <c r="C8" s="201">
        <v>97</v>
      </c>
      <c r="D8" s="201">
        <v>109</v>
      </c>
      <c r="E8" s="201">
        <v>91</v>
      </c>
      <c r="F8" s="201">
        <v>93</v>
      </c>
      <c r="G8" s="201">
        <v>98</v>
      </c>
      <c r="H8" s="201">
        <v>98</v>
      </c>
      <c r="I8" s="201">
        <v>113</v>
      </c>
      <c r="J8" s="201">
        <v>122</v>
      </c>
      <c r="K8" s="223">
        <v>7.9646017699115043E-2</v>
      </c>
      <c r="L8" s="224">
        <v>-3.937007874015748E-2</v>
      </c>
    </row>
    <row r="9" spans="1:12">
      <c r="A9" s="198" t="s">
        <v>182</v>
      </c>
      <c r="B9" s="213">
        <v>177</v>
      </c>
      <c r="C9" s="201">
        <v>152</v>
      </c>
      <c r="D9" s="201">
        <v>160</v>
      </c>
      <c r="E9" s="201">
        <v>149</v>
      </c>
      <c r="F9" s="201">
        <v>103</v>
      </c>
      <c r="G9" s="201">
        <v>133</v>
      </c>
      <c r="H9" s="201">
        <v>148</v>
      </c>
      <c r="I9" s="201">
        <v>128</v>
      </c>
      <c r="J9" s="201">
        <v>119</v>
      </c>
      <c r="K9" s="223">
        <v>-7.03125E-2</v>
      </c>
      <c r="L9" s="224">
        <v>-0.32768361581920902</v>
      </c>
    </row>
    <row r="10" spans="1:12">
      <c r="A10" s="198" t="s">
        <v>183</v>
      </c>
      <c r="B10" s="213">
        <v>139</v>
      </c>
      <c r="C10" s="201">
        <v>97</v>
      </c>
      <c r="D10" s="201">
        <v>112</v>
      </c>
      <c r="E10" s="201">
        <v>99</v>
      </c>
      <c r="F10" s="201">
        <v>82</v>
      </c>
      <c r="G10" s="201">
        <v>104</v>
      </c>
      <c r="H10" s="201">
        <v>110</v>
      </c>
      <c r="I10" s="201">
        <v>109</v>
      </c>
      <c r="J10" s="201">
        <v>108</v>
      </c>
      <c r="K10" s="223">
        <v>-9.1743119266055051E-3</v>
      </c>
      <c r="L10" s="224">
        <v>-0.22302158273381295</v>
      </c>
    </row>
    <row r="11" spans="1:12">
      <c r="A11" s="198" t="s">
        <v>189</v>
      </c>
      <c r="B11" s="213">
        <v>175</v>
      </c>
      <c r="C11" s="201">
        <v>125</v>
      </c>
      <c r="D11" s="201">
        <v>141</v>
      </c>
      <c r="E11" s="201">
        <v>111</v>
      </c>
      <c r="F11" s="201">
        <v>84</v>
      </c>
      <c r="G11" s="201">
        <v>96</v>
      </c>
      <c r="H11" s="201">
        <v>111</v>
      </c>
      <c r="I11" s="201">
        <v>98</v>
      </c>
      <c r="J11" s="201">
        <v>101</v>
      </c>
      <c r="K11" s="223">
        <v>3.0612244897959183E-2</v>
      </c>
      <c r="L11" s="224">
        <v>-0.42285714285714288</v>
      </c>
    </row>
    <row r="12" spans="1:12">
      <c r="A12" s="198" t="s">
        <v>190</v>
      </c>
      <c r="B12" s="213">
        <v>153</v>
      </c>
      <c r="C12" s="201">
        <v>116</v>
      </c>
      <c r="D12" s="201">
        <v>126</v>
      </c>
      <c r="E12" s="201">
        <v>113</v>
      </c>
      <c r="F12" s="201">
        <v>73</v>
      </c>
      <c r="G12" s="201">
        <v>85</v>
      </c>
      <c r="H12" s="201">
        <v>115</v>
      </c>
      <c r="I12" s="201">
        <v>125</v>
      </c>
      <c r="J12" s="201">
        <v>132</v>
      </c>
      <c r="K12" s="223">
        <v>5.6000000000000001E-2</v>
      </c>
      <c r="L12" s="224">
        <v>-0.13725490196078433</v>
      </c>
    </row>
    <row r="13" spans="1:12">
      <c r="A13" s="198" t="s">
        <v>192</v>
      </c>
      <c r="B13" s="213">
        <v>256</v>
      </c>
      <c r="C13" s="201">
        <v>207</v>
      </c>
      <c r="D13" s="201">
        <v>202</v>
      </c>
      <c r="E13" s="201">
        <v>200</v>
      </c>
      <c r="F13" s="201">
        <v>167</v>
      </c>
      <c r="G13" s="201">
        <v>225</v>
      </c>
      <c r="H13" s="201">
        <v>239</v>
      </c>
      <c r="I13" s="201">
        <v>191</v>
      </c>
      <c r="J13" s="201">
        <v>187</v>
      </c>
      <c r="K13" s="223">
        <v>-2.0942408376963352E-2</v>
      </c>
      <c r="L13" s="224">
        <v>-0.26953125</v>
      </c>
    </row>
    <row r="14" spans="1:12">
      <c r="A14" s="198" t="s">
        <v>193</v>
      </c>
      <c r="B14" s="213">
        <v>166</v>
      </c>
      <c r="C14" s="201">
        <v>120</v>
      </c>
      <c r="D14" s="201">
        <v>107</v>
      </c>
      <c r="E14" s="201">
        <v>119</v>
      </c>
      <c r="F14" s="201">
        <v>116</v>
      </c>
      <c r="G14" s="201">
        <v>109</v>
      </c>
      <c r="H14" s="201">
        <v>114</v>
      </c>
      <c r="I14" s="201">
        <v>105</v>
      </c>
      <c r="J14" s="201">
        <v>130</v>
      </c>
      <c r="K14" s="223">
        <v>0.23809523809523808</v>
      </c>
      <c r="L14" s="224">
        <v>-0.21686746987951808</v>
      </c>
    </row>
    <row r="15" spans="1:12">
      <c r="A15" s="198" t="s">
        <v>198</v>
      </c>
      <c r="B15" s="213">
        <v>206</v>
      </c>
      <c r="C15" s="201">
        <v>151</v>
      </c>
      <c r="D15" s="201">
        <v>189</v>
      </c>
      <c r="E15" s="201">
        <v>164</v>
      </c>
      <c r="F15" s="201">
        <v>136</v>
      </c>
      <c r="G15" s="201">
        <v>170</v>
      </c>
      <c r="H15" s="201">
        <v>168</v>
      </c>
      <c r="I15" s="201">
        <v>197</v>
      </c>
      <c r="J15" s="201">
        <v>213</v>
      </c>
      <c r="K15" s="223">
        <v>8.1218274111675121E-2</v>
      </c>
      <c r="L15" s="224">
        <v>3.3980582524271843E-2</v>
      </c>
    </row>
    <row r="16" spans="1:12">
      <c r="A16" s="198" t="s">
        <v>200</v>
      </c>
      <c r="B16" s="213">
        <v>187</v>
      </c>
      <c r="C16" s="201">
        <v>187</v>
      </c>
      <c r="D16" s="201">
        <v>163</v>
      </c>
      <c r="E16" s="201">
        <v>160</v>
      </c>
      <c r="F16" s="201">
        <v>115</v>
      </c>
      <c r="G16" s="201">
        <v>161</v>
      </c>
      <c r="H16" s="201">
        <v>169</v>
      </c>
      <c r="I16" s="201">
        <v>158</v>
      </c>
      <c r="J16" s="201">
        <v>154</v>
      </c>
      <c r="K16" s="223">
        <v>-2.5316455696202531E-2</v>
      </c>
      <c r="L16" s="224">
        <v>-0.17647058823529413</v>
      </c>
    </row>
    <row r="17" spans="1:12">
      <c r="A17" s="198" t="s">
        <v>202</v>
      </c>
      <c r="B17" s="213">
        <v>198</v>
      </c>
      <c r="C17" s="201">
        <v>147</v>
      </c>
      <c r="D17" s="201">
        <v>169</v>
      </c>
      <c r="E17" s="201">
        <v>168</v>
      </c>
      <c r="F17" s="201">
        <v>151</v>
      </c>
      <c r="G17" s="201">
        <v>177</v>
      </c>
      <c r="H17" s="201">
        <v>195</v>
      </c>
      <c r="I17" s="201">
        <v>145</v>
      </c>
      <c r="J17" s="201">
        <v>161</v>
      </c>
      <c r="K17" s="223">
        <v>0.1103448275862069</v>
      </c>
      <c r="L17" s="224">
        <v>-0.18686868686868688</v>
      </c>
    </row>
    <row r="18" spans="1:12">
      <c r="A18" s="198" t="s">
        <v>203</v>
      </c>
      <c r="B18" s="213">
        <v>329</v>
      </c>
      <c r="C18" s="201">
        <v>270</v>
      </c>
      <c r="D18" s="201">
        <v>272</v>
      </c>
      <c r="E18" s="201">
        <v>247</v>
      </c>
      <c r="F18" s="201">
        <v>160</v>
      </c>
      <c r="G18" s="201">
        <v>222</v>
      </c>
      <c r="H18" s="201">
        <v>264</v>
      </c>
      <c r="I18" s="201">
        <v>259</v>
      </c>
      <c r="J18" s="201">
        <v>234</v>
      </c>
      <c r="K18" s="223">
        <v>-9.6525096525096526E-2</v>
      </c>
      <c r="L18" s="224">
        <v>-0.28875379939209728</v>
      </c>
    </row>
    <row r="19" spans="1:12">
      <c r="A19" s="198" t="s">
        <v>160</v>
      </c>
      <c r="B19" s="213">
        <v>83</v>
      </c>
      <c r="C19" s="201">
        <v>91</v>
      </c>
      <c r="D19" s="201">
        <v>100</v>
      </c>
      <c r="E19" s="201">
        <v>89</v>
      </c>
      <c r="F19" s="201">
        <v>59</v>
      </c>
      <c r="G19" s="201">
        <v>55</v>
      </c>
      <c r="H19" s="201">
        <v>64</v>
      </c>
      <c r="I19" s="201">
        <v>61</v>
      </c>
      <c r="J19" s="201">
        <v>51</v>
      </c>
      <c r="K19" s="223">
        <v>-0.16393442622950818</v>
      </c>
      <c r="L19" s="224">
        <v>-0.38554216867469882</v>
      </c>
    </row>
    <row r="20" spans="1:12">
      <c r="A20" s="198" t="s">
        <v>170</v>
      </c>
      <c r="B20" s="213">
        <v>217</v>
      </c>
      <c r="C20" s="201">
        <v>148</v>
      </c>
      <c r="D20" s="201">
        <v>135</v>
      </c>
      <c r="E20" s="201">
        <v>145</v>
      </c>
      <c r="F20" s="201">
        <v>115</v>
      </c>
      <c r="G20" s="201">
        <v>104</v>
      </c>
      <c r="H20" s="201">
        <v>152</v>
      </c>
      <c r="I20" s="201">
        <v>142</v>
      </c>
      <c r="J20" s="201">
        <v>112</v>
      </c>
      <c r="K20" s="223">
        <v>-0.21126760563380281</v>
      </c>
      <c r="L20" s="224">
        <v>-0.4838709677419355</v>
      </c>
    </row>
    <row r="21" spans="1:12">
      <c r="A21" s="198" t="s">
        <v>171</v>
      </c>
      <c r="B21" s="213">
        <v>85</v>
      </c>
      <c r="C21" s="201">
        <v>57</v>
      </c>
      <c r="D21" s="201">
        <v>81</v>
      </c>
      <c r="E21" s="201">
        <v>77</v>
      </c>
      <c r="F21" s="201">
        <v>48</v>
      </c>
      <c r="G21" s="201">
        <v>86</v>
      </c>
      <c r="H21" s="201">
        <v>75</v>
      </c>
      <c r="I21" s="201">
        <v>64</v>
      </c>
      <c r="J21" s="201">
        <v>78</v>
      </c>
      <c r="K21" s="223">
        <v>0.21875</v>
      </c>
      <c r="L21" s="224">
        <v>-8.2352941176470587E-2</v>
      </c>
    </row>
    <row r="22" spans="1:12">
      <c r="A22" s="198" t="s">
        <v>173</v>
      </c>
      <c r="B22" s="213">
        <v>156</v>
      </c>
      <c r="C22" s="201">
        <v>132</v>
      </c>
      <c r="D22" s="201">
        <v>155</v>
      </c>
      <c r="E22" s="201">
        <v>119</v>
      </c>
      <c r="F22" s="201">
        <v>84</v>
      </c>
      <c r="G22" s="201">
        <v>92</v>
      </c>
      <c r="H22" s="201">
        <v>131</v>
      </c>
      <c r="I22" s="201">
        <v>101</v>
      </c>
      <c r="J22" s="201">
        <v>118</v>
      </c>
      <c r="K22" s="223">
        <v>0.16831683168316833</v>
      </c>
      <c r="L22" s="224">
        <v>-0.24358974358974358</v>
      </c>
    </row>
    <row r="23" spans="1:12">
      <c r="A23" s="198" t="s">
        <v>174</v>
      </c>
      <c r="B23" s="213">
        <v>138</v>
      </c>
      <c r="C23" s="201">
        <v>107</v>
      </c>
      <c r="D23" s="201">
        <v>111</v>
      </c>
      <c r="E23" s="201">
        <v>106</v>
      </c>
      <c r="F23" s="201">
        <v>77</v>
      </c>
      <c r="G23" s="201">
        <v>109</v>
      </c>
      <c r="H23" s="201">
        <v>103</v>
      </c>
      <c r="I23" s="201">
        <v>122</v>
      </c>
      <c r="J23" s="201">
        <v>83</v>
      </c>
      <c r="K23" s="223">
        <v>-0.31967213114754101</v>
      </c>
      <c r="L23" s="224">
        <v>-0.39855072463768115</v>
      </c>
    </row>
    <row r="24" spans="1:12">
      <c r="A24" s="198" t="s">
        <v>178</v>
      </c>
      <c r="B24" s="213">
        <v>170</v>
      </c>
      <c r="C24" s="201">
        <v>126</v>
      </c>
      <c r="D24" s="201">
        <v>111</v>
      </c>
      <c r="E24" s="201">
        <v>164</v>
      </c>
      <c r="F24" s="201">
        <v>147</v>
      </c>
      <c r="G24" s="201">
        <v>162</v>
      </c>
      <c r="H24" s="201">
        <v>168</v>
      </c>
      <c r="I24" s="201">
        <v>154</v>
      </c>
      <c r="J24" s="201">
        <v>156</v>
      </c>
      <c r="K24" s="223">
        <v>1.2987012987012988E-2</v>
      </c>
      <c r="L24" s="224">
        <v>-8.2352941176470587E-2</v>
      </c>
    </row>
    <row r="25" spans="1:12">
      <c r="A25" s="198" t="s">
        <v>179</v>
      </c>
      <c r="B25" s="213">
        <v>163</v>
      </c>
      <c r="C25" s="201">
        <v>162</v>
      </c>
      <c r="D25" s="201">
        <v>144</v>
      </c>
      <c r="E25" s="201">
        <v>141</v>
      </c>
      <c r="F25" s="201">
        <v>118</v>
      </c>
      <c r="G25" s="201">
        <v>122</v>
      </c>
      <c r="H25" s="201">
        <v>111</v>
      </c>
      <c r="I25" s="201">
        <v>118</v>
      </c>
      <c r="J25" s="201">
        <v>147</v>
      </c>
      <c r="K25" s="223">
        <v>0.24576271186440679</v>
      </c>
      <c r="L25" s="224">
        <v>-9.815950920245399E-2</v>
      </c>
    </row>
    <row r="26" spans="1:12">
      <c r="A26" s="198" t="s">
        <v>180</v>
      </c>
      <c r="B26" s="213">
        <v>149</v>
      </c>
      <c r="C26" s="201">
        <v>130</v>
      </c>
      <c r="D26" s="201">
        <v>126</v>
      </c>
      <c r="E26" s="201">
        <v>121</v>
      </c>
      <c r="F26" s="201">
        <v>100</v>
      </c>
      <c r="G26" s="201">
        <v>99</v>
      </c>
      <c r="H26" s="201">
        <v>121</v>
      </c>
      <c r="I26" s="201">
        <v>97</v>
      </c>
      <c r="J26" s="201">
        <v>118</v>
      </c>
      <c r="K26" s="223">
        <v>0.21649484536082475</v>
      </c>
      <c r="L26" s="224">
        <v>-0.20805369127516779</v>
      </c>
    </row>
    <row r="27" spans="1:12">
      <c r="A27" s="198" t="s">
        <v>184</v>
      </c>
      <c r="B27" s="213">
        <v>165</v>
      </c>
      <c r="C27" s="201">
        <v>138</v>
      </c>
      <c r="D27" s="201">
        <v>118</v>
      </c>
      <c r="E27" s="201">
        <v>110</v>
      </c>
      <c r="F27" s="201">
        <v>81</v>
      </c>
      <c r="G27" s="201">
        <v>100</v>
      </c>
      <c r="H27" s="201">
        <v>117</v>
      </c>
      <c r="I27" s="201">
        <v>111</v>
      </c>
      <c r="J27" s="201">
        <v>98</v>
      </c>
      <c r="K27" s="223">
        <v>-0.11711711711711711</v>
      </c>
      <c r="L27" s="224">
        <v>-0.40606060606060607</v>
      </c>
    </row>
    <row r="28" spans="1:12">
      <c r="A28" s="198" t="s">
        <v>185</v>
      </c>
      <c r="B28" s="213">
        <v>79</v>
      </c>
      <c r="C28" s="201">
        <v>69</v>
      </c>
      <c r="D28" s="201">
        <v>71</v>
      </c>
      <c r="E28" s="201">
        <v>56</v>
      </c>
      <c r="F28" s="201">
        <v>47</v>
      </c>
      <c r="G28" s="201">
        <v>42</v>
      </c>
      <c r="H28" s="201">
        <v>62</v>
      </c>
      <c r="I28" s="201">
        <v>51</v>
      </c>
      <c r="J28" s="201">
        <v>55</v>
      </c>
      <c r="K28" s="223">
        <v>7.8431372549019607E-2</v>
      </c>
      <c r="L28" s="224">
        <v>-0.30379746835443039</v>
      </c>
    </row>
    <row r="29" spans="1:12">
      <c r="A29" s="198" t="s">
        <v>186</v>
      </c>
      <c r="B29" s="213">
        <v>111</v>
      </c>
      <c r="C29" s="201">
        <v>72</v>
      </c>
      <c r="D29" s="201">
        <v>80</v>
      </c>
      <c r="E29" s="201">
        <v>91</v>
      </c>
      <c r="F29" s="201">
        <v>78</v>
      </c>
      <c r="G29" s="201">
        <v>77</v>
      </c>
      <c r="H29" s="201">
        <v>86</v>
      </c>
      <c r="I29" s="201">
        <v>68</v>
      </c>
      <c r="J29" s="201">
        <v>98</v>
      </c>
      <c r="K29" s="223">
        <v>0.44117647058823528</v>
      </c>
      <c r="L29" s="224">
        <v>-0.11711711711711711</v>
      </c>
    </row>
    <row r="30" spans="1:12">
      <c r="A30" s="198" t="s">
        <v>187</v>
      </c>
      <c r="B30" s="213">
        <v>140</v>
      </c>
      <c r="C30" s="201">
        <v>98</v>
      </c>
      <c r="D30" s="201">
        <v>125</v>
      </c>
      <c r="E30" s="201">
        <v>109</v>
      </c>
      <c r="F30" s="201">
        <v>101</v>
      </c>
      <c r="G30" s="201">
        <v>91</v>
      </c>
      <c r="H30" s="201">
        <v>116</v>
      </c>
      <c r="I30" s="201">
        <v>107</v>
      </c>
      <c r="J30" s="201">
        <v>81</v>
      </c>
      <c r="K30" s="223">
        <v>-0.24299065420560748</v>
      </c>
      <c r="L30" s="224">
        <v>-0.42142857142857143</v>
      </c>
    </row>
    <row r="31" spans="1:12">
      <c r="A31" s="198" t="s">
        <v>188</v>
      </c>
      <c r="B31" s="213">
        <v>141</v>
      </c>
      <c r="C31" s="201">
        <v>114</v>
      </c>
      <c r="D31" s="201">
        <v>122</v>
      </c>
      <c r="E31" s="201">
        <v>117</v>
      </c>
      <c r="F31" s="201">
        <v>82</v>
      </c>
      <c r="G31" s="201">
        <v>118</v>
      </c>
      <c r="H31" s="201">
        <v>141</v>
      </c>
      <c r="I31" s="201">
        <v>135</v>
      </c>
      <c r="J31" s="201">
        <v>127</v>
      </c>
      <c r="K31" s="223">
        <v>-5.9259259259259262E-2</v>
      </c>
      <c r="L31" s="224">
        <v>-9.9290780141843976E-2</v>
      </c>
    </row>
    <row r="32" spans="1:12">
      <c r="A32" s="198" t="s">
        <v>191</v>
      </c>
      <c r="B32" s="213">
        <v>76</v>
      </c>
      <c r="C32" s="201">
        <v>50</v>
      </c>
      <c r="D32" s="201">
        <v>55</v>
      </c>
      <c r="E32" s="201">
        <v>60</v>
      </c>
      <c r="F32" s="201">
        <v>47</v>
      </c>
      <c r="G32" s="201">
        <v>56</v>
      </c>
      <c r="H32" s="201">
        <v>53</v>
      </c>
      <c r="I32" s="201">
        <v>60</v>
      </c>
      <c r="J32" s="201">
        <v>63</v>
      </c>
      <c r="K32" s="223">
        <v>0.05</v>
      </c>
      <c r="L32" s="224">
        <v>-0.17105263157894737</v>
      </c>
    </row>
    <row r="33" spans="1:12">
      <c r="A33" s="198" t="s">
        <v>194</v>
      </c>
      <c r="B33" s="213">
        <v>90</v>
      </c>
      <c r="C33" s="201">
        <v>60</v>
      </c>
      <c r="D33" s="201">
        <v>77</v>
      </c>
      <c r="E33" s="201">
        <v>93</v>
      </c>
      <c r="F33" s="201">
        <v>68</v>
      </c>
      <c r="G33" s="201">
        <v>76</v>
      </c>
      <c r="H33" s="201">
        <v>86</v>
      </c>
      <c r="I33" s="201">
        <v>87</v>
      </c>
      <c r="J33" s="201">
        <v>74</v>
      </c>
      <c r="K33" s="223">
        <v>-0.14942528735632185</v>
      </c>
      <c r="L33" s="224">
        <v>-0.17777777777777778</v>
      </c>
    </row>
    <row r="34" spans="1:12">
      <c r="A34" s="198" t="s">
        <v>195</v>
      </c>
      <c r="B34" s="213">
        <v>136</v>
      </c>
      <c r="C34" s="201">
        <v>149</v>
      </c>
      <c r="D34" s="201">
        <v>108</v>
      </c>
      <c r="E34" s="201">
        <v>135</v>
      </c>
      <c r="F34" s="201">
        <v>102</v>
      </c>
      <c r="G34" s="201">
        <v>130</v>
      </c>
      <c r="H34" s="201">
        <v>134</v>
      </c>
      <c r="I34" s="201">
        <v>99</v>
      </c>
      <c r="J34" s="201">
        <v>107</v>
      </c>
      <c r="K34" s="223">
        <v>8.0808080808080815E-2</v>
      </c>
      <c r="L34" s="224">
        <v>-0.21323529411764705</v>
      </c>
    </row>
    <row r="35" spans="1:12">
      <c r="A35" s="198" t="s">
        <v>196</v>
      </c>
      <c r="B35" s="213">
        <v>127</v>
      </c>
      <c r="C35" s="201">
        <v>81</v>
      </c>
      <c r="D35" s="201">
        <v>104</v>
      </c>
      <c r="E35" s="201">
        <v>100</v>
      </c>
      <c r="F35" s="201">
        <v>85</v>
      </c>
      <c r="G35" s="201">
        <v>79</v>
      </c>
      <c r="H35" s="201">
        <v>96</v>
      </c>
      <c r="I35" s="201">
        <v>98</v>
      </c>
      <c r="J35" s="201">
        <v>81</v>
      </c>
      <c r="K35" s="223">
        <v>-0.17346938775510204</v>
      </c>
      <c r="L35" s="224">
        <v>-0.36220472440944884</v>
      </c>
    </row>
    <row r="36" spans="1:12">
      <c r="A36" s="198" t="s">
        <v>197</v>
      </c>
      <c r="B36" s="213">
        <v>104</v>
      </c>
      <c r="C36" s="201">
        <v>77</v>
      </c>
      <c r="D36" s="201">
        <v>85</v>
      </c>
      <c r="E36" s="201">
        <v>72</v>
      </c>
      <c r="F36" s="201">
        <v>67</v>
      </c>
      <c r="G36" s="201">
        <v>99</v>
      </c>
      <c r="H36" s="201">
        <v>93</v>
      </c>
      <c r="I36" s="201">
        <v>114</v>
      </c>
      <c r="J36" s="201">
        <v>94</v>
      </c>
      <c r="K36" s="223">
        <v>-0.17543859649122806</v>
      </c>
      <c r="L36" s="224">
        <v>-9.6153846153846159E-2</v>
      </c>
    </row>
    <row r="37" spans="1:12">
      <c r="A37" s="198" t="s">
        <v>199</v>
      </c>
      <c r="B37" s="213">
        <v>74</v>
      </c>
      <c r="C37" s="201">
        <v>61</v>
      </c>
      <c r="D37" s="201">
        <v>70</v>
      </c>
      <c r="E37" s="201">
        <v>68</v>
      </c>
      <c r="F37" s="201">
        <v>59</v>
      </c>
      <c r="G37" s="201">
        <v>65</v>
      </c>
      <c r="H37" s="201">
        <v>71</v>
      </c>
      <c r="I37" s="201">
        <v>72</v>
      </c>
      <c r="J37" s="201">
        <v>72</v>
      </c>
      <c r="K37" s="223">
        <v>0</v>
      </c>
      <c r="L37" s="224">
        <v>-2.7027027027027029E-2</v>
      </c>
    </row>
    <row r="38" spans="1:12">
      <c r="A38" s="207" t="s">
        <v>201</v>
      </c>
      <c r="B38" s="347">
        <v>119</v>
      </c>
      <c r="C38" s="228">
        <v>92</v>
      </c>
      <c r="D38" s="228">
        <v>103</v>
      </c>
      <c r="E38" s="228">
        <v>94</v>
      </c>
      <c r="F38" s="228">
        <v>82</v>
      </c>
      <c r="G38" s="228">
        <v>80</v>
      </c>
      <c r="H38" s="228">
        <v>72</v>
      </c>
      <c r="I38" s="228">
        <v>63</v>
      </c>
      <c r="J38" s="228">
        <v>72</v>
      </c>
      <c r="K38" s="229">
        <v>0.14285714285714285</v>
      </c>
      <c r="L38" s="230">
        <v>-0.3949579831932773</v>
      </c>
    </row>
    <row r="68" spans="1:1" ht="17.5">
      <c r="A68" s="92" t="s">
        <v>204</v>
      </c>
    </row>
    <row r="69" spans="1:1" ht="17.5">
      <c r="A69" s="92" t="s">
        <v>50</v>
      </c>
    </row>
    <row r="70" spans="1:1" ht="17.5">
      <c r="A70" s="2"/>
    </row>
  </sheetData>
  <hyperlinks>
    <hyperlink ref="A68" location="'Table of contents'!A1" display="Back to Table of contents" xr:uid="{09891793-9E2D-4EC0-8C53-8811DDF17DB5}"/>
    <hyperlink ref="A69" r:id="rId1" display="Back to Road Casualties in Greater London 2024 Factsheet" xr:uid="{06B3CFD5-A8CA-4744-8BD1-74BB69C2E4BA}"/>
  </hyperlinks>
  <pageMargins left="0.7" right="0.7" top="0.75" bottom="0.75" header="0.3" footer="0.3"/>
  <pageSetup paperSize="9" orientation="portrait" horizontalDpi="1200" verticalDpi="1200" r:id="rId2"/>
  <drawing r:id="rId3"/>
  <tableParts count="1">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BAB8C-3EAB-4CA6-8695-F6DB019F8136}">
  <sheetPr codeName="Sheet18">
    <tabColor rgb="FFFFFF00"/>
  </sheetPr>
  <dimension ref="A1:DL43"/>
  <sheetViews>
    <sheetView zoomScaleNormal="100" workbookViewId="0"/>
  </sheetViews>
  <sheetFormatPr defaultColWidth="9.23046875" defaultRowHeight="15.5"/>
  <cols>
    <col min="1" max="1" width="14.4609375" style="234" customWidth="1"/>
    <col min="2" max="2" width="21.765625" style="38" customWidth="1"/>
    <col min="3" max="3" width="12.4609375" style="38" bestFit="1" customWidth="1"/>
    <col min="4" max="4" width="12.765625" style="38" bestFit="1" customWidth="1"/>
    <col min="5" max="5" width="10" style="38" bestFit="1" customWidth="1"/>
    <col min="6" max="6" width="10.765625" style="38" customWidth="1"/>
    <col min="7" max="7" width="13.69140625" style="38" bestFit="1" customWidth="1"/>
    <col min="8" max="8" width="10.84375" style="38" bestFit="1" customWidth="1"/>
    <col min="9" max="9" width="13.23046875" style="38" bestFit="1" customWidth="1"/>
    <col min="10" max="10" width="12.23046875" style="38" bestFit="1" customWidth="1"/>
    <col min="11" max="11" width="12.4609375" style="38" bestFit="1" customWidth="1"/>
    <col min="12" max="12" width="12.765625" style="38" bestFit="1" customWidth="1"/>
    <col min="13" max="13" width="10.3046875" style="38" bestFit="1" customWidth="1"/>
    <col min="14" max="14" width="10.765625" style="38" customWidth="1"/>
    <col min="15" max="15" width="13.69140625" style="38" bestFit="1" customWidth="1"/>
    <col min="16" max="17" width="13.23046875" style="38" bestFit="1" customWidth="1"/>
    <col min="18" max="18" width="12.23046875" style="38" bestFit="1" customWidth="1"/>
    <col min="19" max="19" width="12.84375" style="38" bestFit="1" customWidth="1"/>
    <col min="20" max="20" width="12.765625" style="38" bestFit="1" customWidth="1"/>
    <col min="21" max="22" width="11.84375" style="38" bestFit="1" customWidth="1"/>
    <col min="23" max="23" width="18.4609375" style="38" bestFit="1" customWidth="1"/>
    <col min="24" max="24" width="14.53515625" style="38" bestFit="1" customWidth="1"/>
    <col min="25" max="25" width="15.3046875" style="38" bestFit="1" customWidth="1"/>
    <col min="26" max="26" width="17.07421875" style="38" bestFit="1" customWidth="1"/>
    <col min="27" max="16384" width="9.23046875" style="38"/>
  </cols>
  <sheetData>
    <row r="1" spans="1:116" ht="45" customHeight="1">
      <c r="A1" s="233" t="s">
        <v>43</v>
      </c>
    </row>
    <row r="2" spans="1:116">
      <c r="A2" s="234" t="s">
        <v>210</v>
      </c>
    </row>
    <row r="3" spans="1:116">
      <c r="A3" s="334" t="s">
        <v>211</v>
      </c>
    </row>
    <row r="4" spans="1:116" s="232" customFormat="1" ht="40" customHeight="1">
      <c r="A4" s="110" t="s">
        <v>212</v>
      </c>
      <c r="B4" s="79" t="s">
        <v>146</v>
      </c>
      <c r="C4" s="79" t="s">
        <v>213</v>
      </c>
      <c r="D4" s="79" t="s">
        <v>214</v>
      </c>
      <c r="E4" s="79" t="s">
        <v>215</v>
      </c>
      <c r="F4" s="79" t="s">
        <v>216</v>
      </c>
      <c r="G4" s="79" t="s">
        <v>217</v>
      </c>
      <c r="H4" s="79" t="s">
        <v>218</v>
      </c>
      <c r="I4" s="79" t="s">
        <v>219</v>
      </c>
      <c r="J4" s="79" t="s">
        <v>220</v>
      </c>
      <c r="K4" s="79" t="s">
        <v>221</v>
      </c>
      <c r="L4" s="79" t="s">
        <v>222</v>
      </c>
      <c r="M4" s="79" t="s">
        <v>223</v>
      </c>
      <c r="N4" s="79" t="s">
        <v>224</v>
      </c>
      <c r="O4" s="79" t="s">
        <v>225</v>
      </c>
      <c r="P4" s="79" t="s">
        <v>226</v>
      </c>
      <c r="Q4" s="79" t="s">
        <v>227</v>
      </c>
      <c r="R4" s="79" t="s">
        <v>228</v>
      </c>
      <c r="S4" s="79" t="s">
        <v>229</v>
      </c>
      <c r="T4" s="79" t="s">
        <v>230</v>
      </c>
      <c r="U4" s="79" t="s">
        <v>231</v>
      </c>
      <c r="V4" s="79" t="s">
        <v>232</v>
      </c>
      <c r="W4" s="79" t="s">
        <v>233</v>
      </c>
      <c r="X4" s="79" t="s">
        <v>234</v>
      </c>
      <c r="Y4" s="79" t="s">
        <v>235</v>
      </c>
      <c r="Z4" s="78" t="s">
        <v>236</v>
      </c>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row>
    <row r="5" spans="1:116">
      <c r="A5" s="237" t="s">
        <v>175</v>
      </c>
      <c r="B5" s="203" t="s">
        <v>91</v>
      </c>
      <c r="C5" s="238">
        <v>3356</v>
      </c>
      <c r="D5" s="238">
        <v>2520</v>
      </c>
      <c r="E5" s="238">
        <v>6552</v>
      </c>
      <c r="F5" s="238">
        <v>445</v>
      </c>
      <c r="G5" s="238">
        <v>238</v>
      </c>
      <c r="H5" s="238">
        <v>575</v>
      </c>
      <c r="I5" s="238">
        <v>1313</v>
      </c>
      <c r="J5" s="238">
        <v>286</v>
      </c>
      <c r="K5" s="238">
        <v>3285</v>
      </c>
      <c r="L5" s="238">
        <v>3296</v>
      </c>
      <c r="M5" s="238">
        <v>7468</v>
      </c>
      <c r="N5" s="238">
        <v>558</v>
      </c>
      <c r="O5" s="238">
        <v>322</v>
      </c>
      <c r="P5" s="238">
        <v>598</v>
      </c>
      <c r="Q5" s="238">
        <v>1411</v>
      </c>
      <c r="R5" s="238">
        <v>325</v>
      </c>
      <c r="S5" s="226">
        <v>2.1613394216133942E-2</v>
      </c>
      <c r="T5" s="226">
        <v>-0.2354368932038835</v>
      </c>
      <c r="U5" s="226">
        <v>-0.12265666845206213</v>
      </c>
      <c r="V5" s="226">
        <v>-0.2025089605734767</v>
      </c>
      <c r="W5" s="226">
        <v>-0.2608695652173913</v>
      </c>
      <c r="X5" s="226">
        <v>-3.8461538461538464E-2</v>
      </c>
      <c r="Y5" s="226">
        <v>-6.9454287739192058E-2</v>
      </c>
      <c r="Z5" s="239">
        <v>-0.12</v>
      </c>
    </row>
    <row r="6" spans="1:116">
      <c r="A6" s="237" t="s">
        <v>159</v>
      </c>
      <c r="B6" s="203" t="s">
        <v>91</v>
      </c>
      <c r="C6" s="238">
        <v>1727</v>
      </c>
      <c r="D6" s="238">
        <v>3313</v>
      </c>
      <c r="E6" s="238">
        <v>11054</v>
      </c>
      <c r="F6" s="238">
        <v>149</v>
      </c>
      <c r="G6" s="238">
        <v>162</v>
      </c>
      <c r="H6" s="238">
        <v>514</v>
      </c>
      <c r="I6" s="238">
        <v>1633</v>
      </c>
      <c r="J6" s="238">
        <v>297</v>
      </c>
      <c r="K6" s="238">
        <v>1643</v>
      </c>
      <c r="L6" s="238">
        <v>3799</v>
      </c>
      <c r="M6" s="238">
        <v>11816</v>
      </c>
      <c r="N6" s="238">
        <v>273</v>
      </c>
      <c r="O6" s="238">
        <v>234</v>
      </c>
      <c r="P6" s="238">
        <v>483</v>
      </c>
      <c r="Q6" s="238">
        <v>1682</v>
      </c>
      <c r="R6" s="238">
        <v>287</v>
      </c>
      <c r="S6" s="226">
        <v>5.1125989044430921E-2</v>
      </c>
      <c r="T6" s="226">
        <v>-0.12792840221110818</v>
      </c>
      <c r="U6" s="226">
        <v>-6.4488828706838183E-2</v>
      </c>
      <c r="V6" s="226">
        <v>-0.45421245421245421</v>
      </c>
      <c r="W6" s="226">
        <v>-0.30769230769230771</v>
      </c>
      <c r="X6" s="226">
        <v>6.4182194616977231E-2</v>
      </c>
      <c r="Y6" s="226">
        <v>-2.9131985731272295E-2</v>
      </c>
      <c r="Z6" s="239">
        <v>3.484320557491289E-2</v>
      </c>
    </row>
    <row r="7" spans="1:116">
      <c r="A7" s="237" t="s">
        <v>209</v>
      </c>
      <c r="B7" s="203" t="s">
        <v>91</v>
      </c>
      <c r="C7" s="238">
        <v>5083</v>
      </c>
      <c r="D7" s="238">
        <v>5833</v>
      </c>
      <c r="E7" s="238">
        <v>17606</v>
      </c>
      <c r="F7" s="238">
        <v>594</v>
      </c>
      <c r="G7" s="238">
        <v>400</v>
      </c>
      <c r="H7" s="238">
        <v>1089</v>
      </c>
      <c r="I7" s="238">
        <v>2946</v>
      </c>
      <c r="J7" s="238">
        <v>583</v>
      </c>
      <c r="K7" s="238">
        <v>4928</v>
      </c>
      <c r="L7" s="238">
        <v>7095</v>
      </c>
      <c r="M7" s="238">
        <v>19284</v>
      </c>
      <c r="N7" s="238">
        <v>831</v>
      </c>
      <c r="O7" s="238">
        <v>556</v>
      </c>
      <c r="P7" s="238">
        <v>1081</v>
      </c>
      <c r="Q7" s="238">
        <v>3093</v>
      </c>
      <c r="R7" s="238">
        <v>612</v>
      </c>
      <c r="S7" s="226">
        <v>3.145292207792208E-2</v>
      </c>
      <c r="T7" s="226">
        <v>-0.17787174066243833</v>
      </c>
      <c r="U7" s="226">
        <v>-8.7015142086704009E-2</v>
      </c>
      <c r="V7" s="226">
        <v>-0.2851985559566787</v>
      </c>
      <c r="W7" s="226">
        <v>-0.2805755395683453</v>
      </c>
      <c r="X7" s="226">
        <v>7.4005550416281225E-3</v>
      </c>
      <c r="Y7" s="226">
        <v>-4.7526673132880698E-2</v>
      </c>
      <c r="Z7" s="239">
        <v>-4.7385620915032678E-2</v>
      </c>
    </row>
    <row r="8" spans="1:116">
      <c r="A8" s="240" t="s">
        <v>175</v>
      </c>
      <c r="B8" s="200" t="s">
        <v>176</v>
      </c>
      <c r="C8" s="241">
        <v>246</v>
      </c>
      <c r="D8" s="241">
        <v>182</v>
      </c>
      <c r="E8" s="241">
        <v>425</v>
      </c>
      <c r="F8" s="241">
        <v>40</v>
      </c>
      <c r="G8" s="241">
        <v>17</v>
      </c>
      <c r="H8" s="241">
        <v>32</v>
      </c>
      <c r="I8" s="241">
        <v>97</v>
      </c>
      <c r="J8" s="241">
        <v>26</v>
      </c>
      <c r="K8" s="241">
        <v>251</v>
      </c>
      <c r="L8" s="241">
        <v>218</v>
      </c>
      <c r="M8" s="241">
        <v>477</v>
      </c>
      <c r="N8" s="241">
        <v>47</v>
      </c>
      <c r="O8" s="241">
        <v>23</v>
      </c>
      <c r="P8" s="241">
        <v>33</v>
      </c>
      <c r="Q8" s="241">
        <v>100</v>
      </c>
      <c r="R8" s="241">
        <v>37</v>
      </c>
      <c r="S8" s="242">
        <v>-1.9920318725099601E-2</v>
      </c>
      <c r="T8" s="242">
        <v>-0.16513761467889909</v>
      </c>
      <c r="U8" s="242">
        <v>-0.1090146750524109</v>
      </c>
      <c r="V8" s="242">
        <v>-0.14893617021276595</v>
      </c>
      <c r="W8" s="242">
        <v>-0.2608695652173913</v>
      </c>
      <c r="X8" s="242">
        <v>-3.0303030303030304E-2</v>
      </c>
      <c r="Y8" s="242">
        <v>-0.03</v>
      </c>
      <c r="Z8" s="243">
        <v>-0.29729729729729731</v>
      </c>
    </row>
    <row r="9" spans="1:116">
      <c r="A9" s="240" t="s">
        <v>175</v>
      </c>
      <c r="B9" s="200" t="s">
        <v>177</v>
      </c>
      <c r="C9" s="241">
        <v>124</v>
      </c>
      <c r="D9" s="241">
        <v>38</v>
      </c>
      <c r="E9" s="241">
        <v>66</v>
      </c>
      <c r="F9" s="241">
        <v>36</v>
      </c>
      <c r="G9" s="241">
        <v>0</v>
      </c>
      <c r="H9" s="241">
        <v>8</v>
      </c>
      <c r="I9" s="241">
        <v>25</v>
      </c>
      <c r="J9" s="241">
        <v>5</v>
      </c>
      <c r="K9" s="241">
        <v>106</v>
      </c>
      <c r="L9" s="241">
        <v>27</v>
      </c>
      <c r="M9" s="241">
        <v>66</v>
      </c>
      <c r="N9" s="241">
        <v>29</v>
      </c>
      <c r="O9" s="241">
        <v>2</v>
      </c>
      <c r="P9" s="241">
        <v>17</v>
      </c>
      <c r="Q9" s="241">
        <v>36</v>
      </c>
      <c r="R9" s="241">
        <v>3</v>
      </c>
      <c r="S9" s="242">
        <v>0.17924528301886791</v>
      </c>
      <c r="T9" s="242">
        <v>0.40740740740740738</v>
      </c>
      <c r="U9" s="242">
        <v>0</v>
      </c>
      <c r="V9" s="242">
        <v>0.2413793103448276</v>
      </c>
      <c r="W9" s="242">
        <v>-1</v>
      </c>
      <c r="X9" s="242">
        <v>-0.52941176470588236</v>
      </c>
      <c r="Y9" s="242">
        <v>-0.30555555555555558</v>
      </c>
      <c r="Z9" s="243">
        <v>0.33333333333333331</v>
      </c>
    </row>
    <row r="10" spans="1:116">
      <c r="A10" s="240" t="s">
        <v>175</v>
      </c>
      <c r="B10" s="200" t="s">
        <v>181</v>
      </c>
      <c r="C10" s="241">
        <v>88</v>
      </c>
      <c r="D10" s="241">
        <v>162</v>
      </c>
      <c r="E10" s="241">
        <v>567</v>
      </c>
      <c r="F10" s="241">
        <v>15</v>
      </c>
      <c r="G10" s="241">
        <v>12</v>
      </c>
      <c r="H10" s="241">
        <v>46</v>
      </c>
      <c r="I10" s="241">
        <v>79</v>
      </c>
      <c r="J10" s="241">
        <v>26</v>
      </c>
      <c r="K10" s="241">
        <v>92</v>
      </c>
      <c r="L10" s="241">
        <v>130</v>
      </c>
      <c r="M10" s="241">
        <v>565</v>
      </c>
      <c r="N10" s="241">
        <v>14</v>
      </c>
      <c r="O10" s="241">
        <v>19</v>
      </c>
      <c r="P10" s="241">
        <v>41</v>
      </c>
      <c r="Q10" s="241">
        <v>106</v>
      </c>
      <c r="R10" s="241">
        <v>19</v>
      </c>
      <c r="S10" s="242">
        <v>-4.3478260869565216E-2</v>
      </c>
      <c r="T10" s="242">
        <v>0.24615384615384617</v>
      </c>
      <c r="U10" s="242">
        <v>3.5398230088495575E-3</v>
      </c>
      <c r="V10" s="242">
        <v>7.1428571428571425E-2</v>
      </c>
      <c r="W10" s="242">
        <v>-0.36842105263157893</v>
      </c>
      <c r="X10" s="242">
        <v>0.12195121951219512</v>
      </c>
      <c r="Y10" s="242">
        <v>-0.25471698113207547</v>
      </c>
      <c r="Z10" s="243">
        <v>0.36842105263157893</v>
      </c>
    </row>
    <row r="11" spans="1:116">
      <c r="A11" s="240" t="s">
        <v>175</v>
      </c>
      <c r="B11" s="200" t="s">
        <v>182</v>
      </c>
      <c r="C11" s="241">
        <v>295</v>
      </c>
      <c r="D11" s="241">
        <v>164</v>
      </c>
      <c r="E11" s="241">
        <v>530</v>
      </c>
      <c r="F11" s="241">
        <v>18</v>
      </c>
      <c r="G11" s="241">
        <v>9</v>
      </c>
      <c r="H11" s="241">
        <v>41</v>
      </c>
      <c r="I11" s="241">
        <v>93</v>
      </c>
      <c r="J11" s="241">
        <v>20</v>
      </c>
      <c r="K11" s="241">
        <v>300</v>
      </c>
      <c r="L11" s="241">
        <v>185</v>
      </c>
      <c r="M11" s="241">
        <v>550</v>
      </c>
      <c r="N11" s="241">
        <v>33</v>
      </c>
      <c r="O11" s="241">
        <v>22</v>
      </c>
      <c r="P11" s="241">
        <v>44</v>
      </c>
      <c r="Q11" s="241">
        <v>91</v>
      </c>
      <c r="R11" s="241">
        <v>23</v>
      </c>
      <c r="S11" s="242">
        <v>-1.6666666666666666E-2</v>
      </c>
      <c r="T11" s="242">
        <v>-0.11351351351351352</v>
      </c>
      <c r="U11" s="242">
        <v>-3.6363636363636362E-2</v>
      </c>
      <c r="V11" s="242">
        <v>-0.45454545454545453</v>
      </c>
      <c r="W11" s="242">
        <v>-0.59090909090909094</v>
      </c>
      <c r="X11" s="242">
        <v>-6.8181818181818177E-2</v>
      </c>
      <c r="Y11" s="242">
        <v>2.197802197802198E-2</v>
      </c>
      <c r="Z11" s="243">
        <v>-0.13043478260869565</v>
      </c>
    </row>
    <row r="12" spans="1:116">
      <c r="A12" s="240" t="s">
        <v>175</v>
      </c>
      <c r="B12" s="200" t="s">
        <v>183</v>
      </c>
      <c r="C12" s="241">
        <v>194</v>
      </c>
      <c r="D12" s="241">
        <v>172</v>
      </c>
      <c r="E12" s="241">
        <v>372</v>
      </c>
      <c r="F12" s="241">
        <v>21</v>
      </c>
      <c r="G12" s="241">
        <v>6</v>
      </c>
      <c r="H12" s="241">
        <v>38</v>
      </c>
      <c r="I12" s="241">
        <v>86</v>
      </c>
      <c r="J12" s="241">
        <v>16</v>
      </c>
      <c r="K12" s="241">
        <v>187</v>
      </c>
      <c r="L12" s="241">
        <v>233</v>
      </c>
      <c r="M12" s="241">
        <v>462</v>
      </c>
      <c r="N12" s="241">
        <v>27</v>
      </c>
      <c r="O12" s="241">
        <v>13</v>
      </c>
      <c r="P12" s="241">
        <v>24</v>
      </c>
      <c r="Q12" s="241">
        <v>77</v>
      </c>
      <c r="R12" s="241">
        <v>24</v>
      </c>
      <c r="S12" s="242">
        <v>3.7433155080213901E-2</v>
      </c>
      <c r="T12" s="242">
        <v>-0.26180257510729615</v>
      </c>
      <c r="U12" s="242">
        <v>-0.19480519480519481</v>
      </c>
      <c r="V12" s="242">
        <v>-0.22222222222222221</v>
      </c>
      <c r="W12" s="242">
        <v>-0.53846153846153844</v>
      </c>
      <c r="X12" s="242">
        <v>0.58333333333333337</v>
      </c>
      <c r="Y12" s="242">
        <v>0.11688311688311688</v>
      </c>
      <c r="Z12" s="243">
        <v>-0.33333333333333331</v>
      </c>
    </row>
    <row r="13" spans="1:116">
      <c r="A13" s="240" t="s">
        <v>175</v>
      </c>
      <c r="B13" s="200" t="s">
        <v>189</v>
      </c>
      <c r="C13" s="241">
        <v>270</v>
      </c>
      <c r="D13" s="241">
        <v>146</v>
      </c>
      <c r="E13" s="241">
        <v>365</v>
      </c>
      <c r="F13" s="241">
        <v>33</v>
      </c>
      <c r="G13" s="241">
        <v>18</v>
      </c>
      <c r="H13" s="241">
        <v>30</v>
      </c>
      <c r="I13" s="241">
        <v>94</v>
      </c>
      <c r="J13" s="241">
        <v>15</v>
      </c>
      <c r="K13" s="241">
        <v>247</v>
      </c>
      <c r="L13" s="241">
        <v>161</v>
      </c>
      <c r="M13" s="241">
        <v>395</v>
      </c>
      <c r="N13" s="241">
        <v>30</v>
      </c>
      <c r="O13" s="241">
        <v>17</v>
      </c>
      <c r="P13" s="241">
        <v>30</v>
      </c>
      <c r="Q13" s="241">
        <v>89</v>
      </c>
      <c r="R13" s="241">
        <v>23</v>
      </c>
      <c r="S13" s="242">
        <v>9.3117408906882596E-2</v>
      </c>
      <c r="T13" s="242">
        <v>-9.3167701863354033E-2</v>
      </c>
      <c r="U13" s="242">
        <v>-7.5949367088607597E-2</v>
      </c>
      <c r="V13" s="242">
        <v>0.1</v>
      </c>
      <c r="W13" s="242">
        <v>5.8823529411764705E-2</v>
      </c>
      <c r="X13" s="242">
        <v>0</v>
      </c>
      <c r="Y13" s="242">
        <v>5.6179775280898875E-2</v>
      </c>
      <c r="Z13" s="243">
        <v>-0.34782608695652173</v>
      </c>
    </row>
    <row r="14" spans="1:116">
      <c r="A14" s="240" t="s">
        <v>175</v>
      </c>
      <c r="B14" s="200" t="s">
        <v>190</v>
      </c>
      <c r="C14" s="241">
        <v>187</v>
      </c>
      <c r="D14" s="241">
        <v>188</v>
      </c>
      <c r="E14" s="241">
        <v>387</v>
      </c>
      <c r="F14" s="241">
        <v>40</v>
      </c>
      <c r="G14" s="241">
        <v>22</v>
      </c>
      <c r="H14" s="241">
        <v>20</v>
      </c>
      <c r="I14" s="241">
        <v>86</v>
      </c>
      <c r="J14" s="241">
        <v>15</v>
      </c>
      <c r="K14" s="241">
        <v>178</v>
      </c>
      <c r="L14" s="241">
        <v>282</v>
      </c>
      <c r="M14" s="241">
        <v>443</v>
      </c>
      <c r="N14" s="241">
        <v>46</v>
      </c>
      <c r="O14" s="241">
        <v>31</v>
      </c>
      <c r="P14" s="241">
        <v>24</v>
      </c>
      <c r="Q14" s="241">
        <v>81</v>
      </c>
      <c r="R14" s="241">
        <v>14</v>
      </c>
      <c r="S14" s="242">
        <v>5.0561797752808987E-2</v>
      </c>
      <c r="T14" s="242">
        <v>-0.33333333333333331</v>
      </c>
      <c r="U14" s="242">
        <v>-0.12641083521444696</v>
      </c>
      <c r="V14" s="242">
        <v>-0.13043478260869565</v>
      </c>
      <c r="W14" s="242">
        <v>-0.29032258064516131</v>
      </c>
      <c r="X14" s="242">
        <v>-0.16666666666666666</v>
      </c>
      <c r="Y14" s="242">
        <v>6.1728395061728392E-2</v>
      </c>
      <c r="Z14" s="243">
        <v>7.1428571428571425E-2</v>
      </c>
    </row>
    <row r="15" spans="1:116">
      <c r="A15" s="240" t="s">
        <v>175</v>
      </c>
      <c r="B15" s="200" t="s">
        <v>192</v>
      </c>
      <c r="C15" s="241">
        <v>341</v>
      </c>
      <c r="D15" s="241">
        <v>253</v>
      </c>
      <c r="E15" s="241">
        <v>633</v>
      </c>
      <c r="F15" s="241">
        <v>35</v>
      </c>
      <c r="G15" s="241">
        <v>26</v>
      </c>
      <c r="H15" s="241">
        <v>83</v>
      </c>
      <c r="I15" s="241">
        <v>112</v>
      </c>
      <c r="J15" s="241">
        <v>47</v>
      </c>
      <c r="K15" s="241">
        <v>298</v>
      </c>
      <c r="L15" s="241">
        <v>388</v>
      </c>
      <c r="M15" s="241">
        <v>759</v>
      </c>
      <c r="N15" s="241">
        <v>32</v>
      </c>
      <c r="O15" s="241">
        <v>30</v>
      </c>
      <c r="P15" s="241">
        <v>75</v>
      </c>
      <c r="Q15" s="241">
        <v>158</v>
      </c>
      <c r="R15" s="241">
        <v>33</v>
      </c>
      <c r="S15" s="242">
        <v>0.14429530201342283</v>
      </c>
      <c r="T15" s="242">
        <v>-0.34793814432989689</v>
      </c>
      <c r="U15" s="242">
        <v>-0.16600790513833993</v>
      </c>
      <c r="V15" s="242">
        <v>9.375E-2</v>
      </c>
      <c r="W15" s="242">
        <v>-0.13333333333333333</v>
      </c>
      <c r="X15" s="242">
        <v>0.10666666666666667</v>
      </c>
      <c r="Y15" s="242">
        <v>-0.29113924050632911</v>
      </c>
      <c r="Z15" s="243">
        <v>0.42424242424242425</v>
      </c>
    </row>
    <row r="16" spans="1:116">
      <c r="A16" s="240" t="s">
        <v>175</v>
      </c>
      <c r="B16" s="200" t="s">
        <v>193</v>
      </c>
      <c r="C16" s="241">
        <v>178</v>
      </c>
      <c r="D16" s="241">
        <v>198</v>
      </c>
      <c r="E16" s="241">
        <v>633</v>
      </c>
      <c r="F16" s="241">
        <v>5</v>
      </c>
      <c r="G16" s="241">
        <v>11</v>
      </c>
      <c r="H16" s="241">
        <v>66</v>
      </c>
      <c r="I16" s="241">
        <v>103</v>
      </c>
      <c r="J16" s="241">
        <v>21</v>
      </c>
      <c r="K16" s="241">
        <v>170</v>
      </c>
      <c r="L16" s="241">
        <v>269</v>
      </c>
      <c r="M16" s="241">
        <v>653</v>
      </c>
      <c r="N16" s="241">
        <v>16</v>
      </c>
      <c r="O16" s="241">
        <v>10</v>
      </c>
      <c r="P16" s="241">
        <v>68</v>
      </c>
      <c r="Q16" s="241">
        <v>109</v>
      </c>
      <c r="R16" s="241">
        <v>26</v>
      </c>
      <c r="S16" s="242">
        <v>4.7058823529411764E-2</v>
      </c>
      <c r="T16" s="242">
        <v>-0.26394052044609667</v>
      </c>
      <c r="U16" s="242">
        <v>-3.0627871362940276E-2</v>
      </c>
      <c r="V16" s="242">
        <v>-0.6875</v>
      </c>
      <c r="W16" s="242">
        <v>0.1</v>
      </c>
      <c r="X16" s="242">
        <v>-2.9411764705882353E-2</v>
      </c>
      <c r="Y16" s="242">
        <v>-5.5045871559633031E-2</v>
      </c>
      <c r="Z16" s="243">
        <v>-0.19230769230769232</v>
      </c>
    </row>
    <row r="17" spans="1:26">
      <c r="A17" s="240" t="s">
        <v>175</v>
      </c>
      <c r="B17" s="200" t="s">
        <v>198</v>
      </c>
      <c r="C17" s="241">
        <v>416</v>
      </c>
      <c r="D17" s="241">
        <v>211</v>
      </c>
      <c r="E17" s="241">
        <v>598</v>
      </c>
      <c r="F17" s="241">
        <v>20</v>
      </c>
      <c r="G17" s="241">
        <v>18</v>
      </c>
      <c r="H17" s="241">
        <v>51</v>
      </c>
      <c r="I17" s="241">
        <v>136</v>
      </c>
      <c r="J17" s="241">
        <v>21</v>
      </c>
      <c r="K17" s="241">
        <v>374</v>
      </c>
      <c r="L17" s="241">
        <v>291</v>
      </c>
      <c r="M17" s="241">
        <v>705</v>
      </c>
      <c r="N17" s="241">
        <v>49</v>
      </c>
      <c r="O17" s="241">
        <v>26</v>
      </c>
      <c r="P17" s="241">
        <v>78</v>
      </c>
      <c r="Q17" s="241">
        <v>148</v>
      </c>
      <c r="R17" s="241">
        <v>45</v>
      </c>
      <c r="S17" s="242">
        <v>0.11229946524064172</v>
      </c>
      <c r="T17" s="242">
        <v>-0.27491408934707906</v>
      </c>
      <c r="U17" s="242">
        <v>-0.15177304964539007</v>
      </c>
      <c r="V17" s="242">
        <v>-0.59183673469387754</v>
      </c>
      <c r="W17" s="242">
        <v>-0.30769230769230771</v>
      </c>
      <c r="X17" s="242">
        <v>-0.34615384615384615</v>
      </c>
      <c r="Y17" s="242">
        <v>-8.1081081081081086E-2</v>
      </c>
      <c r="Z17" s="243">
        <v>-0.53333333333333333</v>
      </c>
    </row>
    <row r="18" spans="1:26">
      <c r="A18" s="240" t="s">
        <v>175</v>
      </c>
      <c r="B18" s="200" t="s">
        <v>200</v>
      </c>
      <c r="C18" s="241">
        <v>285</v>
      </c>
      <c r="D18" s="241">
        <v>264</v>
      </c>
      <c r="E18" s="241">
        <v>734</v>
      </c>
      <c r="F18" s="241">
        <v>34</v>
      </c>
      <c r="G18" s="241">
        <v>19</v>
      </c>
      <c r="H18" s="241">
        <v>25</v>
      </c>
      <c r="I18" s="241">
        <v>111</v>
      </c>
      <c r="J18" s="241">
        <v>26</v>
      </c>
      <c r="K18" s="241">
        <v>315</v>
      </c>
      <c r="L18" s="241">
        <v>297</v>
      </c>
      <c r="M18" s="241">
        <v>852</v>
      </c>
      <c r="N18" s="241">
        <v>49</v>
      </c>
      <c r="O18" s="241">
        <v>29</v>
      </c>
      <c r="P18" s="241">
        <v>28</v>
      </c>
      <c r="Q18" s="241">
        <v>133</v>
      </c>
      <c r="R18" s="241">
        <v>19</v>
      </c>
      <c r="S18" s="242">
        <v>-9.5238095238095233E-2</v>
      </c>
      <c r="T18" s="242">
        <v>-0.1111111111111111</v>
      </c>
      <c r="U18" s="242">
        <v>-0.13849765258215962</v>
      </c>
      <c r="V18" s="242">
        <v>-0.30612244897959184</v>
      </c>
      <c r="W18" s="242">
        <v>-0.34482758620689657</v>
      </c>
      <c r="X18" s="242">
        <v>-0.10714285714285714</v>
      </c>
      <c r="Y18" s="242">
        <v>-0.16541353383458646</v>
      </c>
      <c r="Z18" s="243">
        <v>0.36842105263157893</v>
      </c>
    </row>
    <row r="19" spans="1:26">
      <c r="A19" s="240" t="s">
        <v>175</v>
      </c>
      <c r="B19" s="200" t="s">
        <v>202</v>
      </c>
      <c r="C19" s="241">
        <v>316</v>
      </c>
      <c r="D19" s="241">
        <v>300</v>
      </c>
      <c r="E19" s="241">
        <v>607</v>
      </c>
      <c r="F19" s="241">
        <v>24</v>
      </c>
      <c r="G19" s="241">
        <v>18</v>
      </c>
      <c r="H19" s="241">
        <v>38</v>
      </c>
      <c r="I19" s="241">
        <v>120</v>
      </c>
      <c r="J19" s="241">
        <v>18</v>
      </c>
      <c r="K19" s="241">
        <v>297</v>
      </c>
      <c r="L19" s="241">
        <v>495</v>
      </c>
      <c r="M19" s="241">
        <v>818</v>
      </c>
      <c r="N19" s="241">
        <v>18</v>
      </c>
      <c r="O19" s="241">
        <v>23</v>
      </c>
      <c r="P19" s="241">
        <v>35</v>
      </c>
      <c r="Q19" s="241">
        <v>119</v>
      </c>
      <c r="R19" s="241">
        <v>20</v>
      </c>
      <c r="S19" s="242">
        <v>6.3973063973063973E-2</v>
      </c>
      <c r="T19" s="242">
        <v>-0.39393939393939392</v>
      </c>
      <c r="U19" s="242">
        <v>-0.25794621026894865</v>
      </c>
      <c r="V19" s="242">
        <v>0.33333333333333331</v>
      </c>
      <c r="W19" s="242">
        <v>-0.21739130434782608</v>
      </c>
      <c r="X19" s="242">
        <v>8.5714285714285715E-2</v>
      </c>
      <c r="Y19" s="242">
        <v>8.4033613445378148E-3</v>
      </c>
      <c r="Z19" s="243">
        <v>-0.1</v>
      </c>
    </row>
    <row r="20" spans="1:26">
      <c r="A20" s="240" t="s">
        <v>175</v>
      </c>
      <c r="B20" s="200" t="s">
        <v>203</v>
      </c>
      <c r="C20" s="241">
        <v>415</v>
      </c>
      <c r="D20" s="241">
        <v>242</v>
      </c>
      <c r="E20" s="241">
        <v>635</v>
      </c>
      <c r="F20" s="241">
        <v>124</v>
      </c>
      <c r="G20" s="241">
        <v>62</v>
      </c>
      <c r="H20" s="241">
        <v>97</v>
      </c>
      <c r="I20" s="241">
        <v>171</v>
      </c>
      <c r="J20" s="241">
        <v>31</v>
      </c>
      <c r="K20" s="241">
        <v>470</v>
      </c>
      <c r="L20" s="241">
        <v>320</v>
      </c>
      <c r="M20" s="241">
        <v>723</v>
      </c>
      <c r="N20" s="241">
        <v>168</v>
      </c>
      <c r="O20" s="241">
        <v>77</v>
      </c>
      <c r="P20" s="241">
        <v>101</v>
      </c>
      <c r="Q20" s="241">
        <v>164</v>
      </c>
      <c r="R20" s="241">
        <v>39</v>
      </c>
      <c r="S20" s="242">
        <v>-0.11702127659574468</v>
      </c>
      <c r="T20" s="242">
        <v>-0.24374999999999999</v>
      </c>
      <c r="U20" s="242">
        <v>-0.12171507607192254</v>
      </c>
      <c r="V20" s="242">
        <v>-0.26190476190476192</v>
      </c>
      <c r="W20" s="242">
        <v>-0.19480519480519481</v>
      </c>
      <c r="X20" s="242">
        <v>-3.9603960396039604E-2</v>
      </c>
      <c r="Y20" s="242">
        <v>4.2682926829268296E-2</v>
      </c>
      <c r="Z20" s="243">
        <v>-0.20512820512820512</v>
      </c>
    </row>
    <row r="21" spans="1:26">
      <c r="A21" s="240" t="s">
        <v>159</v>
      </c>
      <c r="B21" s="200" t="s">
        <v>160</v>
      </c>
      <c r="C21" s="241">
        <v>53</v>
      </c>
      <c r="D21" s="241">
        <v>74</v>
      </c>
      <c r="E21" s="241">
        <v>492</v>
      </c>
      <c r="F21" s="241">
        <v>4</v>
      </c>
      <c r="G21" s="241">
        <v>5</v>
      </c>
      <c r="H21" s="241">
        <v>22</v>
      </c>
      <c r="I21" s="241">
        <v>68</v>
      </c>
      <c r="J21" s="241">
        <v>8</v>
      </c>
      <c r="K21" s="241">
        <v>36</v>
      </c>
      <c r="L21" s="241">
        <v>92</v>
      </c>
      <c r="M21" s="241">
        <v>490</v>
      </c>
      <c r="N21" s="241">
        <v>9</v>
      </c>
      <c r="O21" s="241">
        <v>19</v>
      </c>
      <c r="P21" s="241">
        <v>18</v>
      </c>
      <c r="Q21" s="241">
        <v>72</v>
      </c>
      <c r="R21" s="241">
        <v>17</v>
      </c>
      <c r="S21" s="242">
        <v>0.47222222222222221</v>
      </c>
      <c r="T21" s="242">
        <v>-0.19565217391304349</v>
      </c>
      <c r="U21" s="242">
        <v>4.0816326530612249E-3</v>
      </c>
      <c r="V21" s="242">
        <v>-0.55555555555555558</v>
      </c>
      <c r="W21" s="242">
        <v>-0.73684210526315785</v>
      </c>
      <c r="X21" s="242">
        <v>0.22222222222222221</v>
      </c>
      <c r="Y21" s="242">
        <v>-5.5555555555555552E-2</v>
      </c>
      <c r="Z21" s="243">
        <v>-0.52941176470588236</v>
      </c>
    </row>
    <row r="22" spans="1:26">
      <c r="A22" s="240" t="s">
        <v>159</v>
      </c>
      <c r="B22" s="200" t="s">
        <v>170</v>
      </c>
      <c r="C22" s="241">
        <v>83</v>
      </c>
      <c r="D22" s="241">
        <v>253</v>
      </c>
      <c r="E22" s="241">
        <v>745</v>
      </c>
      <c r="F22" s="241">
        <v>8</v>
      </c>
      <c r="G22" s="241">
        <v>9</v>
      </c>
      <c r="H22" s="241">
        <v>25</v>
      </c>
      <c r="I22" s="241">
        <v>94</v>
      </c>
      <c r="J22" s="241">
        <v>11</v>
      </c>
      <c r="K22" s="241">
        <v>74</v>
      </c>
      <c r="L22" s="241">
        <v>281</v>
      </c>
      <c r="M22" s="241">
        <v>792</v>
      </c>
      <c r="N22" s="241">
        <v>16</v>
      </c>
      <c r="O22" s="241">
        <v>5</v>
      </c>
      <c r="P22" s="241">
        <v>27</v>
      </c>
      <c r="Q22" s="241">
        <v>100</v>
      </c>
      <c r="R22" s="241">
        <v>18</v>
      </c>
      <c r="S22" s="242">
        <v>0.12162162162162163</v>
      </c>
      <c r="T22" s="242">
        <v>-9.9644128113879002E-2</v>
      </c>
      <c r="U22" s="242">
        <v>-5.9343434343434344E-2</v>
      </c>
      <c r="V22" s="242">
        <v>-0.5</v>
      </c>
      <c r="W22" s="242">
        <v>0.8</v>
      </c>
      <c r="X22" s="242">
        <v>-7.407407407407407E-2</v>
      </c>
      <c r="Y22" s="242">
        <v>-0.06</v>
      </c>
      <c r="Z22" s="243">
        <v>-0.3888888888888889</v>
      </c>
    </row>
    <row r="23" spans="1:26">
      <c r="A23" s="240" t="s">
        <v>159</v>
      </c>
      <c r="B23" s="200" t="s">
        <v>171</v>
      </c>
      <c r="C23" s="241">
        <v>41</v>
      </c>
      <c r="D23" s="241">
        <v>93</v>
      </c>
      <c r="E23" s="241">
        <v>388</v>
      </c>
      <c r="F23" s="241">
        <v>2</v>
      </c>
      <c r="G23" s="241">
        <v>6</v>
      </c>
      <c r="H23" s="241">
        <v>23</v>
      </c>
      <c r="I23" s="241">
        <v>62</v>
      </c>
      <c r="J23" s="241">
        <v>8</v>
      </c>
      <c r="K23" s="241">
        <v>38</v>
      </c>
      <c r="L23" s="241">
        <v>84</v>
      </c>
      <c r="M23" s="241">
        <v>379</v>
      </c>
      <c r="N23" s="241">
        <v>2</v>
      </c>
      <c r="O23" s="241">
        <v>4</v>
      </c>
      <c r="P23" s="241">
        <v>24</v>
      </c>
      <c r="Q23" s="241">
        <v>61</v>
      </c>
      <c r="R23" s="241">
        <v>11</v>
      </c>
      <c r="S23" s="242">
        <v>7.8947368421052627E-2</v>
      </c>
      <c r="T23" s="242">
        <v>0.10714285714285714</v>
      </c>
      <c r="U23" s="242">
        <v>2.3746701846965697E-2</v>
      </c>
      <c r="V23" s="242">
        <v>0</v>
      </c>
      <c r="W23" s="242">
        <v>0.5</v>
      </c>
      <c r="X23" s="242">
        <v>-4.1666666666666664E-2</v>
      </c>
      <c r="Y23" s="242">
        <v>1.6393442622950821E-2</v>
      </c>
      <c r="Z23" s="243">
        <v>-0.27272727272727271</v>
      </c>
    </row>
    <row r="24" spans="1:26">
      <c r="A24" s="240" t="s">
        <v>159</v>
      </c>
      <c r="B24" s="200" t="s">
        <v>173</v>
      </c>
      <c r="C24" s="241">
        <v>111</v>
      </c>
      <c r="D24" s="241">
        <v>327</v>
      </c>
      <c r="E24" s="241">
        <v>709</v>
      </c>
      <c r="F24" s="241">
        <v>8</v>
      </c>
      <c r="G24" s="241">
        <v>12</v>
      </c>
      <c r="H24" s="241">
        <v>30</v>
      </c>
      <c r="I24" s="241">
        <v>117</v>
      </c>
      <c r="J24" s="241">
        <v>17</v>
      </c>
      <c r="K24" s="241">
        <v>101</v>
      </c>
      <c r="L24" s="241">
        <v>390</v>
      </c>
      <c r="M24" s="241">
        <v>837</v>
      </c>
      <c r="N24" s="241">
        <v>22</v>
      </c>
      <c r="O24" s="241">
        <v>11</v>
      </c>
      <c r="P24" s="241">
        <v>41</v>
      </c>
      <c r="Q24" s="241">
        <v>101</v>
      </c>
      <c r="R24" s="241">
        <v>23</v>
      </c>
      <c r="S24" s="242">
        <v>9.9009900990099015E-2</v>
      </c>
      <c r="T24" s="242">
        <v>-0.16153846153846155</v>
      </c>
      <c r="U24" s="242">
        <v>-0.15292712066905614</v>
      </c>
      <c r="V24" s="242">
        <v>-0.63636363636363635</v>
      </c>
      <c r="W24" s="242">
        <v>9.0909090909090912E-2</v>
      </c>
      <c r="X24" s="242">
        <v>-0.26829268292682928</v>
      </c>
      <c r="Y24" s="242">
        <v>0.15841584158415842</v>
      </c>
      <c r="Z24" s="243">
        <v>-0.2608695652173913</v>
      </c>
    </row>
    <row r="25" spans="1:26">
      <c r="A25" s="240" t="s">
        <v>159</v>
      </c>
      <c r="B25" s="200" t="s">
        <v>174</v>
      </c>
      <c r="C25" s="241">
        <v>67</v>
      </c>
      <c r="D25" s="241">
        <v>140</v>
      </c>
      <c r="E25" s="241">
        <v>529</v>
      </c>
      <c r="F25" s="241">
        <v>2</v>
      </c>
      <c r="G25" s="241">
        <v>4</v>
      </c>
      <c r="H25" s="241">
        <v>18</v>
      </c>
      <c r="I25" s="241">
        <v>63</v>
      </c>
      <c r="J25" s="241">
        <v>6</v>
      </c>
      <c r="K25" s="241">
        <v>69</v>
      </c>
      <c r="L25" s="241">
        <v>146</v>
      </c>
      <c r="M25" s="241">
        <v>573</v>
      </c>
      <c r="N25" s="241">
        <v>17</v>
      </c>
      <c r="O25" s="241">
        <v>5</v>
      </c>
      <c r="P25" s="241">
        <v>19</v>
      </c>
      <c r="Q25" s="241">
        <v>93</v>
      </c>
      <c r="R25" s="241">
        <v>12</v>
      </c>
      <c r="S25" s="242">
        <v>-2.8985507246376812E-2</v>
      </c>
      <c r="T25" s="242">
        <v>-4.1095890410958902E-2</v>
      </c>
      <c r="U25" s="242">
        <v>-7.6788830715532289E-2</v>
      </c>
      <c r="V25" s="242">
        <v>-0.88235294117647056</v>
      </c>
      <c r="W25" s="242">
        <v>-0.2</v>
      </c>
      <c r="X25" s="242">
        <v>-5.2631578947368418E-2</v>
      </c>
      <c r="Y25" s="242">
        <v>-0.32258064516129031</v>
      </c>
      <c r="Z25" s="243">
        <v>-0.5</v>
      </c>
    </row>
    <row r="26" spans="1:26">
      <c r="A26" s="240" t="s">
        <v>159</v>
      </c>
      <c r="B26" s="200" t="s">
        <v>178</v>
      </c>
      <c r="C26" s="241">
        <v>107</v>
      </c>
      <c r="D26" s="241">
        <v>347</v>
      </c>
      <c r="E26" s="241">
        <v>852</v>
      </c>
      <c r="F26" s="241">
        <v>9</v>
      </c>
      <c r="G26" s="241">
        <v>11</v>
      </c>
      <c r="H26" s="241">
        <v>44</v>
      </c>
      <c r="I26" s="241">
        <v>110</v>
      </c>
      <c r="J26" s="241">
        <v>31</v>
      </c>
      <c r="K26" s="241">
        <v>114</v>
      </c>
      <c r="L26" s="241">
        <v>487</v>
      </c>
      <c r="M26" s="241">
        <v>1054</v>
      </c>
      <c r="N26" s="241">
        <v>20</v>
      </c>
      <c r="O26" s="241">
        <v>38</v>
      </c>
      <c r="P26" s="241">
        <v>51</v>
      </c>
      <c r="Q26" s="241">
        <v>114</v>
      </c>
      <c r="R26" s="241">
        <v>27</v>
      </c>
      <c r="S26" s="242">
        <v>-6.1403508771929821E-2</v>
      </c>
      <c r="T26" s="242">
        <v>-0.28747433264887062</v>
      </c>
      <c r="U26" s="242">
        <v>-0.19165085388994307</v>
      </c>
      <c r="V26" s="242">
        <v>-0.55000000000000004</v>
      </c>
      <c r="W26" s="242">
        <v>-0.71052631578947367</v>
      </c>
      <c r="X26" s="242">
        <v>-0.13725490196078433</v>
      </c>
      <c r="Y26" s="242">
        <v>-3.5087719298245612E-2</v>
      </c>
      <c r="Z26" s="243">
        <v>0.14814814814814814</v>
      </c>
    </row>
    <row r="27" spans="1:26">
      <c r="A27" s="240" t="s">
        <v>159</v>
      </c>
      <c r="B27" s="200" t="s">
        <v>179</v>
      </c>
      <c r="C27" s="241">
        <v>144</v>
      </c>
      <c r="D27" s="241">
        <v>230</v>
      </c>
      <c r="E27" s="241">
        <v>640</v>
      </c>
      <c r="F27" s="241">
        <v>11</v>
      </c>
      <c r="G27" s="241">
        <v>14</v>
      </c>
      <c r="H27" s="241">
        <v>26</v>
      </c>
      <c r="I27" s="241">
        <v>97</v>
      </c>
      <c r="J27" s="241">
        <v>23</v>
      </c>
      <c r="K27" s="241">
        <v>140</v>
      </c>
      <c r="L27" s="241">
        <v>260</v>
      </c>
      <c r="M27" s="241">
        <v>729</v>
      </c>
      <c r="N27" s="241">
        <v>14</v>
      </c>
      <c r="O27" s="241">
        <v>14</v>
      </c>
      <c r="P27" s="241">
        <v>26</v>
      </c>
      <c r="Q27" s="241">
        <v>119</v>
      </c>
      <c r="R27" s="241">
        <v>17</v>
      </c>
      <c r="S27" s="242">
        <v>2.8571428571428571E-2</v>
      </c>
      <c r="T27" s="242">
        <v>-0.11538461538461539</v>
      </c>
      <c r="U27" s="242">
        <v>-0.12208504801097393</v>
      </c>
      <c r="V27" s="242">
        <v>-0.21428571428571427</v>
      </c>
      <c r="W27" s="242">
        <v>0</v>
      </c>
      <c r="X27" s="242">
        <v>0</v>
      </c>
      <c r="Y27" s="242">
        <v>-0.18487394957983194</v>
      </c>
      <c r="Z27" s="243">
        <v>0.35294117647058826</v>
      </c>
    </row>
    <row r="28" spans="1:26">
      <c r="A28" s="240" t="s">
        <v>159</v>
      </c>
      <c r="B28" s="200" t="s">
        <v>180</v>
      </c>
      <c r="C28" s="241">
        <v>91</v>
      </c>
      <c r="D28" s="241">
        <v>281</v>
      </c>
      <c r="E28" s="241">
        <v>885</v>
      </c>
      <c r="F28" s="241">
        <v>18</v>
      </c>
      <c r="G28" s="241">
        <v>9</v>
      </c>
      <c r="H28" s="241">
        <v>14</v>
      </c>
      <c r="I28" s="241">
        <v>144</v>
      </c>
      <c r="J28" s="241">
        <v>13</v>
      </c>
      <c r="K28" s="241">
        <v>79</v>
      </c>
      <c r="L28" s="241">
        <v>322</v>
      </c>
      <c r="M28" s="241">
        <v>972</v>
      </c>
      <c r="N28" s="241">
        <v>17</v>
      </c>
      <c r="O28" s="241">
        <v>15</v>
      </c>
      <c r="P28" s="241">
        <v>42</v>
      </c>
      <c r="Q28" s="241">
        <v>152</v>
      </c>
      <c r="R28" s="241">
        <v>20</v>
      </c>
      <c r="S28" s="242">
        <v>0.15189873417721519</v>
      </c>
      <c r="T28" s="242">
        <v>-0.12732919254658384</v>
      </c>
      <c r="U28" s="242">
        <v>-8.9506172839506168E-2</v>
      </c>
      <c r="V28" s="242">
        <v>5.8823529411764705E-2</v>
      </c>
      <c r="W28" s="242">
        <v>-0.4</v>
      </c>
      <c r="X28" s="242">
        <v>-0.66666666666666663</v>
      </c>
      <c r="Y28" s="242">
        <v>-5.2631578947368418E-2</v>
      </c>
      <c r="Z28" s="243">
        <v>-0.35</v>
      </c>
    </row>
    <row r="29" spans="1:26">
      <c r="A29" s="240" t="s">
        <v>159</v>
      </c>
      <c r="B29" s="200" t="s">
        <v>184</v>
      </c>
      <c r="C29" s="241">
        <v>155</v>
      </c>
      <c r="D29" s="241">
        <v>275</v>
      </c>
      <c r="E29" s="241">
        <v>620</v>
      </c>
      <c r="F29" s="241">
        <v>15</v>
      </c>
      <c r="G29" s="241">
        <v>7</v>
      </c>
      <c r="H29" s="241">
        <v>36</v>
      </c>
      <c r="I29" s="241">
        <v>105</v>
      </c>
      <c r="J29" s="241">
        <v>22</v>
      </c>
      <c r="K29" s="241">
        <v>152</v>
      </c>
      <c r="L29" s="241">
        <v>412</v>
      </c>
      <c r="M29" s="241">
        <v>847</v>
      </c>
      <c r="N29" s="241">
        <v>23</v>
      </c>
      <c r="O29" s="241">
        <v>12</v>
      </c>
      <c r="P29" s="241">
        <v>35</v>
      </c>
      <c r="Q29" s="241">
        <v>93</v>
      </c>
      <c r="R29" s="241">
        <v>30</v>
      </c>
      <c r="S29" s="242">
        <v>1.9736842105263157E-2</v>
      </c>
      <c r="T29" s="242">
        <v>-0.33252427184466021</v>
      </c>
      <c r="U29" s="242">
        <v>-0.2680047225501771</v>
      </c>
      <c r="V29" s="242">
        <v>-0.34782608695652173</v>
      </c>
      <c r="W29" s="242">
        <v>-0.41666666666666669</v>
      </c>
      <c r="X29" s="242">
        <v>2.8571428571428571E-2</v>
      </c>
      <c r="Y29" s="242">
        <v>0.12903225806451613</v>
      </c>
      <c r="Z29" s="243">
        <v>-0.26666666666666666</v>
      </c>
    </row>
    <row r="30" spans="1:26">
      <c r="A30" s="240" t="s">
        <v>159</v>
      </c>
      <c r="B30" s="200" t="s">
        <v>185</v>
      </c>
      <c r="C30" s="241">
        <v>31</v>
      </c>
      <c r="D30" s="241">
        <v>88</v>
      </c>
      <c r="E30" s="241">
        <v>336</v>
      </c>
      <c r="F30" s="241">
        <v>3</v>
      </c>
      <c r="G30" s="241">
        <v>1</v>
      </c>
      <c r="H30" s="241">
        <v>22</v>
      </c>
      <c r="I30" s="241">
        <v>34</v>
      </c>
      <c r="J30" s="241">
        <v>7</v>
      </c>
      <c r="K30" s="241">
        <v>32</v>
      </c>
      <c r="L30" s="241">
        <v>103</v>
      </c>
      <c r="M30" s="241">
        <v>352</v>
      </c>
      <c r="N30" s="241">
        <v>6</v>
      </c>
      <c r="O30" s="241">
        <v>6</v>
      </c>
      <c r="P30" s="241">
        <v>16</v>
      </c>
      <c r="Q30" s="241">
        <v>43</v>
      </c>
      <c r="R30" s="241">
        <v>9</v>
      </c>
      <c r="S30" s="242">
        <v>-3.125E-2</v>
      </c>
      <c r="T30" s="242">
        <v>-0.14563106796116504</v>
      </c>
      <c r="U30" s="242">
        <v>-4.5454545454545456E-2</v>
      </c>
      <c r="V30" s="242">
        <v>-0.5</v>
      </c>
      <c r="W30" s="242">
        <v>-0.83333333333333337</v>
      </c>
      <c r="X30" s="242">
        <v>0.375</v>
      </c>
      <c r="Y30" s="242">
        <v>-0.20930232558139536</v>
      </c>
      <c r="Z30" s="243">
        <v>-0.22222222222222221</v>
      </c>
    </row>
    <row r="31" spans="1:26">
      <c r="A31" s="240" t="s">
        <v>159</v>
      </c>
      <c r="B31" s="200" t="s">
        <v>186</v>
      </c>
      <c r="C31" s="241">
        <v>38</v>
      </c>
      <c r="D31" s="241">
        <v>110</v>
      </c>
      <c r="E31" s="241">
        <v>583</v>
      </c>
      <c r="F31" s="241">
        <v>8</v>
      </c>
      <c r="G31" s="241">
        <v>7</v>
      </c>
      <c r="H31" s="241">
        <v>38</v>
      </c>
      <c r="I31" s="241">
        <v>88</v>
      </c>
      <c r="J31" s="241">
        <v>23</v>
      </c>
      <c r="K31" s="241">
        <v>37</v>
      </c>
      <c r="L31" s="241">
        <v>77</v>
      </c>
      <c r="M31" s="241">
        <v>506</v>
      </c>
      <c r="N31" s="241">
        <v>14</v>
      </c>
      <c r="O31" s="241">
        <v>5</v>
      </c>
      <c r="P31" s="241">
        <v>25</v>
      </c>
      <c r="Q31" s="241">
        <v>93</v>
      </c>
      <c r="R31" s="241">
        <v>7</v>
      </c>
      <c r="S31" s="242">
        <v>2.7027027027027029E-2</v>
      </c>
      <c r="T31" s="242">
        <v>0.42857142857142855</v>
      </c>
      <c r="U31" s="242">
        <v>0.15217391304347827</v>
      </c>
      <c r="V31" s="242">
        <v>-0.42857142857142855</v>
      </c>
      <c r="W31" s="242">
        <v>0.4</v>
      </c>
      <c r="X31" s="242">
        <v>0.52</v>
      </c>
      <c r="Y31" s="242">
        <v>-5.3763440860215055E-2</v>
      </c>
      <c r="Z31" s="243">
        <v>2.2857142857142856</v>
      </c>
    </row>
    <row r="32" spans="1:26">
      <c r="A32" s="240" t="s">
        <v>159</v>
      </c>
      <c r="B32" s="200" t="s">
        <v>187</v>
      </c>
      <c r="C32" s="241">
        <v>64</v>
      </c>
      <c r="D32" s="241">
        <v>114</v>
      </c>
      <c r="E32" s="241">
        <v>615</v>
      </c>
      <c r="F32" s="241">
        <v>7</v>
      </c>
      <c r="G32" s="241">
        <v>10</v>
      </c>
      <c r="H32" s="241">
        <v>29</v>
      </c>
      <c r="I32" s="241">
        <v>88</v>
      </c>
      <c r="J32" s="241">
        <v>19</v>
      </c>
      <c r="K32" s="241">
        <v>49</v>
      </c>
      <c r="L32" s="241">
        <v>112</v>
      </c>
      <c r="M32" s="241">
        <v>604</v>
      </c>
      <c r="N32" s="241">
        <v>13</v>
      </c>
      <c r="O32" s="241">
        <v>19</v>
      </c>
      <c r="P32" s="241">
        <v>17</v>
      </c>
      <c r="Q32" s="241">
        <v>103</v>
      </c>
      <c r="R32" s="241">
        <v>15</v>
      </c>
      <c r="S32" s="242">
        <v>0.30612244897959184</v>
      </c>
      <c r="T32" s="242">
        <v>1.7857142857142856E-2</v>
      </c>
      <c r="U32" s="242">
        <v>1.8211920529801324E-2</v>
      </c>
      <c r="V32" s="242">
        <v>-0.46153846153846156</v>
      </c>
      <c r="W32" s="242">
        <v>-0.47368421052631576</v>
      </c>
      <c r="X32" s="242">
        <v>0.70588235294117652</v>
      </c>
      <c r="Y32" s="242">
        <v>-0.14563106796116504</v>
      </c>
      <c r="Z32" s="243">
        <v>0.26666666666666666</v>
      </c>
    </row>
    <row r="33" spans="1:26">
      <c r="A33" s="240" t="s">
        <v>159</v>
      </c>
      <c r="B33" s="200" t="s">
        <v>188</v>
      </c>
      <c r="C33" s="241">
        <v>124</v>
      </c>
      <c r="D33" s="241">
        <v>160</v>
      </c>
      <c r="E33" s="241">
        <v>603</v>
      </c>
      <c r="F33" s="241">
        <v>8</v>
      </c>
      <c r="G33" s="241">
        <v>11</v>
      </c>
      <c r="H33" s="241">
        <v>43</v>
      </c>
      <c r="I33" s="241">
        <v>107</v>
      </c>
      <c r="J33" s="241">
        <v>32</v>
      </c>
      <c r="K33" s="241">
        <v>112</v>
      </c>
      <c r="L33" s="241">
        <v>168</v>
      </c>
      <c r="M33" s="241">
        <v>570</v>
      </c>
      <c r="N33" s="241">
        <v>23</v>
      </c>
      <c r="O33" s="241">
        <v>21</v>
      </c>
      <c r="P33" s="241">
        <v>25</v>
      </c>
      <c r="Q33" s="241">
        <v>95</v>
      </c>
      <c r="R33" s="241">
        <v>18</v>
      </c>
      <c r="S33" s="242">
        <v>0.10714285714285714</v>
      </c>
      <c r="T33" s="242">
        <v>-4.7619047619047616E-2</v>
      </c>
      <c r="U33" s="242">
        <v>5.7894736842105263E-2</v>
      </c>
      <c r="V33" s="242">
        <v>-0.65217391304347827</v>
      </c>
      <c r="W33" s="242">
        <v>-0.47619047619047616</v>
      </c>
      <c r="X33" s="242">
        <v>0.72</v>
      </c>
      <c r="Y33" s="242">
        <v>0.12631578947368421</v>
      </c>
      <c r="Z33" s="243">
        <v>0.77777777777777779</v>
      </c>
    </row>
    <row r="34" spans="1:26">
      <c r="A34" s="240" t="s">
        <v>159</v>
      </c>
      <c r="B34" s="200" t="s">
        <v>191</v>
      </c>
      <c r="C34" s="241">
        <v>79</v>
      </c>
      <c r="D34" s="241">
        <v>82</v>
      </c>
      <c r="E34" s="241">
        <v>259</v>
      </c>
      <c r="F34" s="241">
        <v>2</v>
      </c>
      <c r="G34" s="241">
        <v>3</v>
      </c>
      <c r="H34" s="241">
        <v>12</v>
      </c>
      <c r="I34" s="241">
        <v>33</v>
      </c>
      <c r="J34" s="241">
        <v>7</v>
      </c>
      <c r="K34" s="241">
        <v>77</v>
      </c>
      <c r="L34" s="241">
        <v>70</v>
      </c>
      <c r="M34" s="241">
        <v>224</v>
      </c>
      <c r="N34" s="241">
        <v>4</v>
      </c>
      <c r="O34" s="241">
        <v>1</v>
      </c>
      <c r="P34" s="241">
        <v>10</v>
      </c>
      <c r="Q34" s="241">
        <v>38</v>
      </c>
      <c r="R34" s="241">
        <v>2</v>
      </c>
      <c r="S34" s="242">
        <v>2.5974025974025976E-2</v>
      </c>
      <c r="T34" s="242">
        <v>0.17142857142857143</v>
      </c>
      <c r="U34" s="242">
        <v>0.15625</v>
      </c>
      <c r="V34" s="242">
        <v>-0.5</v>
      </c>
      <c r="W34" s="242">
        <v>2</v>
      </c>
      <c r="X34" s="242">
        <v>0.2</v>
      </c>
      <c r="Y34" s="242">
        <v>-0.13157894736842105</v>
      </c>
      <c r="Z34" s="243">
        <v>2.5</v>
      </c>
    </row>
    <row r="35" spans="1:26">
      <c r="A35" s="240" t="s">
        <v>159</v>
      </c>
      <c r="B35" s="200" t="s">
        <v>194</v>
      </c>
      <c r="C35" s="241">
        <v>74</v>
      </c>
      <c r="D35" s="241">
        <v>110</v>
      </c>
      <c r="E35" s="241">
        <v>336</v>
      </c>
      <c r="F35" s="241">
        <v>3</v>
      </c>
      <c r="G35" s="241">
        <v>7</v>
      </c>
      <c r="H35" s="241">
        <v>19</v>
      </c>
      <c r="I35" s="241">
        <v>54</v>
      </c>
      <c r="J35" s="241">
        <v>18</v>
      </c>
      <c r="K35" s="241">
        <v>86</v>
      </c>
      <c r="L35" s="241">
        <v>147</v>
      </c>
      <c r="M35" s="241">
        <v>389</v>
      </c>
      <c r="N35" s="241">
        <v>7</v>
      </c>
      <c r="O35" s="241">
        <v>7</v>
      </c>
      <c r="P35" s="241">
        <v>16</v>
      </c>
      <c r="Q35" s="241">
        <v>50</v>
      </c>
      <c r="R35" s="241">
        <v>12</v>
      </c>
      <c r="S35" s="242">
        <v>-0.13953488372093023</v>
      </c>
      <c r="T35" s="242">
        <v>-0.25170068027210885</v>
      </c>
      <c r="U35" s="242">
        <v>-0.13624678663239073</v>
      </c>
      <c r="V35" s="242">
        <v>-0.5714285714285714</v>
      </c>
      <c r="W35" s="242">
        <v>0</v>
      </c>
      <c r="X35" s="242">
        <v>0.1875</v>
      </c>
      <c r="Y35" s="242">
        <v>0.08</v>
      </c>
      <c r="Z35" s="243">
        <v>0.5</v>
      </c>
    </row>
    <row r="36" spans="1:26">
      <c r="A36" s="240" t="s">
        <v>159</v>
      </c>
      <c r="B36" s="200" t="s">
        <v>195</v>
      </c>
      <c r="C36" s="241">
        <v>113</v>
      </c>
      <c r="D36" s="241">
        <v>199</v>
      </c>
      <c r="E36" s="241">
        <v>698</v>
      </c>
      <c r="F36" s="241">
        <v>11</v>
      </c>
      <c r="G36" s="241">
        <v>17</v>
      </c>
      <c r="H36" s="241">
        <v>43</v>
      </c>
      <c r="I36" s="241">
        <v>84</v>
      </c>
      <c r="J36" s="241">
        <v>15</v>
      </c>
      <c r="K36" s="241">
        <v>112</v>
      </c>
      <c r="L36" s="241">
        <v>206</v>
      </c>
      <c r="M36" s="241">
        <v>777</v>
      </c>
      <c r="N36" s="241">
        <v>19</v>
      </c>
      <c r="O36" s="241">
        <v>20</v>
      </c>
      <c r="P36" s="241">
        <v>35</v>
      </c>
      <c r="Q36" s="241">
        <v>89</v>
      </c>
      <c r="R36" s="241">
        <v>19</v>
      </c>
      <c r="S36" s="242">
        <v>8.9285714285714281E-3</v>
      </c>
      <c r="T36" s="242">
        <v>-3.3980582524271843E-2</v>
      </c>
      <c r="U36" s="242">
        <v>-0.10167310167310167</v>
      </c>
      <c r="V36" s="242">
        <v>-0.42105263157894735</v>
      </c>
      <c r="W36" s="242">
        <v>-0.15</v>
      </c>
      <c r="X36" s="242">
        <v>0.22857142857142856</v>
      </c>
      <c r="Y36" s="242">
        <v>-5.6179775280898875E-2</v>
      </c>
      <c r="Z36" s="243">
        <v>-0.21052631578947367</v>
      </c>
    </row>
    <row r="37" spans="1:26">
      <c r="A37" s="240" t="s">
        <v>159</v>
      </c>
      <c r="B37" s="200" t="s">
        <v>196</v>
      </c>
      <c r="C37" s="241">
        <v>57</v>
      </c>
      <c r="D37" s="241">
        <v>122</v>
      </c>
      <c r="E37" s="241">
        <v>637</v>
      </c>
      <c r="F37" s="241">
        <v>15</v>
      </c>
      <c r="G37" s="241">
        <v>15</v>
      </c>
      <c r="H37" s="241">
        <v>22</v>
      </c>
      <c r="I37" s="241">
        <v>94</v>
      </c>
      <c r="J37" s="241">
        <v>6</v>
      </c>
      <c r="K37" s="241">
        <v>56</v>
      </c>
      <c r="L37" s="241">
        <v>109</v>
      </c>
      <c r="M37" s="241">
        <v>639</v>
      </c>
      <c r="N37" s="241">
        <v>21</v>
      </c>
      <c r="O37" s="241">
        <v>14</v>
      </c>
      <c r="P37" s="241">
        <v>13</v>
      </c>
      <c r="Q37" s="241">
        <v>81</v>
      </c>
      <c r="R37" s="241">
        <v>7</v>
      </c>
      <c r="S37" s="242">
        <v>1.7857142857142856E-2</v>
      </c>
      <c r="T37" s="242">
        <v>0.11926605504587157</v>
      </c>
      <c r="U37" s="242">
        <v>-3.1298904538341159E-3</v>
      </c>
      <c r="V37" s="242">
        <v>-0.2857142857142857</v>
      </c>
      <c r="W37" s="242">
        <v>7.1428571428571425E-2</v>
      </c>
      <c r="X37" s="242">
        <v>0.69230769230769229</v>
      </c>
      <c r="Y37" s="242">
        <v>0.16049382716049382</v>
      </c>
      <c r="Z37" s="243">
        <v>-0.14285714285714285</v>
      </c>
    </row>
    <row r="38" spans="1:26">
      <c r="A38" s="240" t="s">
        <v>159</v>
      </c>
      <c r="B38" s="200" t="s">
        <v>197</v>
      </c>
      <c r="C38" s="241">
        <v>125</v>
      </c>
      <c r="D38" s="241">
        <v>91</v>
      </c>
      <c r="E38" s="241">
        <v>287</v>
      </c>
      <c r="F38" s="241">
        <v>3</v>
      </c>
      <c r="G38" s="241">
        <v>3</v>
      </c>
      <c r="H38" s="241">
        <v>6</v>
      </c>
      <c r="I38" s="241">
        <v>38</v>
      </c>
      <c r="J38" s="241">
        <v>5</v>
      </c>
      <c r="K38" s="241">
        <v>132</v>
      </c>
      <c r="L38" s="241">
        <v>90</v>
      </c>
      <c r="M38" s="241">
        <v>280</v>
      </c>
      <c r="N38" s="241">
        <v>9</v>
      </c>
      <c r="O38" s="241">
        <v>7</v>
      </c>
      <c r="P38" s="241">
        <v>12</v>
      </c>
      <c r="Q38" s="241">
        <v>37</v>
      </c>
      <c r="R38" s="241">
        <v>7</v>
      </c>
      <c r="S38" s="242">
        <v>-5.3030303030303032E-2</v>
      </c>
      <c r="T38" s="242">
        <v>1.1111111111111112E-2</v>
      </c>
      <c r="U38" s="242">
        <v>2.5000000000000001E-2</v>
      </c>
      <c r="V38" s="242">
        <v>-0.66666666666666663</v>
      </c>
      <c r="W38" s="242">
        <v>-0.5714285714285714</v>
      </c>
      <c r="X38" s="242">
        <v>-0.5</v>
      </c>
      <c r="Y38" s="242">
        <v>2.7027027027027029E-2</v>
      </c>
      <c r="Z38" s="243">
        <v>-0.2857142857142857</v>
      </c>
    </row>
    <row r="39" spans="1:26">
      <c r="A39" s="240" t="s">
        <v>159</v>
      </c>
      <c r="B39" s="200" t="s">
        <v>199</v>
      </c>
      <c r="C39" s="241">
        <v>57</v>
      </c>
      <c r="D39" s="241">
        <v>97</v>
      </c>
      <c r="E39" s="241">
        <v>368</v>
      </c>
      <c r="F39" s="241">
        <v>3</v>
      </c>
      <c r="G39" s="241">
        <v>1</v>
      </c>
      <c r="H39" s="241">
        <v>22</v>
      </c>
      <c r="I39" s="241">
        <v>58</v>
      </c>
      <c r="J39" s="241">
        <v>9</v>
      </c>
      <c r="K39" s="241">
        <v>45</v>
      </c>
      <c r="L39" s="241">
        <v>112</v>
      </c>
      <c r="M39" s="241">
        <v>350</v>
      </c>
      <c r="N39" s="241">
        <v>5</v>
      </c>
      <c r="O39" s="241">
        <v>5</v>
      </c>
      <c r="P39" s="241">
        <v>11</v>
      </c>
      <c r="Q39" s="241">
        <v>63</v>
      </c>
      <c r="R39" s="241">
        <v>1</v>
      </c>
      <c r="S39" s="242">
        <v>0.26666666666666666</v>
      </c>
      <c r="T39" s="242">
        <v>-0.13392857142857142</v>
      </c>
      <c r="U39" s="242">
        <v>5.1428571428571428E-2</v>
      </c>
      <c r="V39" s="242">
        <v>-0.4</v>
      </c>
      <c r="W39" s="242">
        <v>-0.8</v>
      </c>
      <c r="X39" s="242">
        <v>1</v>
      </c>
      <c r="Y39" s="242">
        <v>-7.9365079365079361E-2</v>
      </c>
      <c r="Z39" s="243">
        <v>8</v>
      </c>
    </row>
    <row r="40" spans="1:26">
      <c r="A40" s="244" t="s">
        <v>159</v>
      </c>
      <c r="B40" s="245" t="s">
        <v>201</v>
      </c>
      <c r="C40" s="246">
        <v>113</v>
      </c>
      <c r="D40" s="246">
        <v>120</v>
      </c>
      <c r="E40" s="246">
        <v>472</v>
      </c>
      <c r="F40" s="246">
        <v>9</v>
      </c>
      <c r="G40" s="246">
        <v>10</v>
      </c>
      <c r="H40" s="246">
        <v>20</v>
      </c>
      <c r="I40" s="246">
        <v>95</v>
      </c>
      <c r="J40" s="246">
        <v>17</v>
      </c>
      <c r="K40" s="246">
        <v>102</v>
      </c>
      <c r="L40" s="246">
        <v>131</v>
      </c>
      <c r="M40" s="246">
        <v>452</v>
      </c>
      <c r="N40" s="246">
        <v>12</v>
      </c>
      <c r="O40" s="246">
        <v>6</v>
      </c>
      <c r="P40" s="246">
        <v>20</v>
      </c>
      <c r="Q40" s="246">
        <v>85</v>
      </c>
      <c r="R40" s="246">
        <v>15</v>
      </c>
      <c r="S40" s="247">
        <v>0.10784313725490197</v>
      </c>
      <c r="T40" s="247">
        <v>-8.3969465648854963E-2</v>
      </c>
      <c r="U40" s="247">
        <v>4.4247787610619468E-2</v>
      </c>
      <c r="V40" s="247">
        <v>-0.25</v>
      </c>
      <c r="W40" s="247">
        <v>0.66666666666666663</v>
      </c>
      <c r="X40" s="247">
        <v>0</v>
      </c>
      <c r="Y40" s="247">
        <v>0.11764705882352941</v>
      </c>
      <c r="Z40" s="248">
        <v>0.13333333333333333</v>
      </c>
    </row>
    <row r="41" spans="1:26" ht="17.5">
      <c r="A41" s="92" t="s">
        <v>204</v>
      </c>
    </row>
    <row r="42" spans="1:26" ht="17.5">
      <c r="A42" s="92" t="s">
        <v>50</v>
      </c>
    </row>
    <row r="43" spans="1:26" ht="17.5">
      <c r="A43" s="2"/>
    </row>
  </sheetData>
  <hyperlinks>
    <hyperlink ref="A41" location="'Table of contents'!A1" display="Back to Table of contents" xr:uid="{C1E06CB4-2E68-4BF6-8915-62A1AF853B96}"/>
    <hyperlink ref="A42" r:id="rId1" display="Back to Road Casualties in Greater London 2024 Factsheet" xr:uid="{E1B12281-FAA5-49AF-AC8C-ECE5B7F12617}"/>
    <hyperlink ref="A3" r:id="rId2" display="For a fuller explanation please see the Road casualty statistics: Frequently asked questions document" xr:uid="{31A3FB6E-87B7-4D3D-811A-47A5C9D1202C}"/>
  </hyperlinks>
  <pageMargins left="0.7" right="0.7" top="0.75" bottom="0.75" header="0.3" footer="0.3"/>
  <pageSetup paperSize="9" orientation="portrait" horizontalDpi="1200" verticalDpi="1200" r:id="rId3"/>
  <tableParts count="1">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BF8A7-F914-4293-8CC4-50312750D270}">
  <sheetPr codeName="Sheet19">
    <tabColor rgb="FFFFFF00"/>
  </sheetPr>
  <dimension ref="A1:R182"/>
  <sheetViews>
    <sheetView zoomScaleNormal="100" workbookViewId="0"/>
  </sheetViews>
  <sheetFormatPr defaultColWidth="9.23046875" defaultRowHeight="15.5"/>
  <cols>
    <col min="1" max="1" width="22.765625" style="249" customWidth="1"/>
    <col min="2" max="2" width="19.3046875" style="249" customWidth="1"/>
    <col min="3" max="10" width="9.23046875" style="250"/>
    <col min="11" max="11" width="14.4609375" style="250" customWidth="1"/>
    <col min="12" max="16384" width="9.23046875" style="32"/>
  </cols>
  <sheetData>
    <row r="1" spans="1:11" ht="45" customHeight="1">
      <c r="A1" s="233" t="s">
        <v>44</v>
      </c>
    </row>
    <row r="2" spans="1:11" s="269" customFormat="1" ht="40.5" customHeight="1">
      <c r="A2" s="266" t="s">
        <v>205</v>
      </c>
      <c r="B2" s="267" t="s">
        <v>237</v>
      </c>
      <c r="C2" s="267" t="s">
        <v>69</v>
      </c>
      <c r="D2" s="267" t="s">
        <v>70</v>
      </c>
      <c r="E2" s="267" t="s">
        <v>71</v>
      </c>
      <c r="F2" s="267" t="s">
        <v>72</v>
      </c>
      <c r="G2" s="267" t="s">
        <v>73</v>
      </c>
      <c r="H2" s="267" t="s">
        <v>74</v>
      </c>
      <c r="I2" s="267" t="s">
        <v>75</v>
      </c>
      <c r="J2" s="267" t="s">
        <v>76</v>
      </c>
      <c r="K2" s="268" t="s">
        <v>207</v>
      </c>
    </row>
    <row r="3" spans="1:11">
      <c r="A3" s="251" t="s">
        <v>175</v>
      </c>
      <c r="B3" s="252" t="s">
        <v>91</v>
      </c>
      <c r="C3" s="253">
        <v>1867</v>
      </c>
      <c r="D3" s="253">
        <v>1984</v>
      </c>
      <c r="E3" s="253">
        <v>1838</v>
      </c>
      <c r="F3" s="253">
        <v>1423</v>
      </c>
      <c r="G3" s="253">
        <v>1737</v>
      </c>
      <c r="H3" s="253">
        <v>1909</v>
      </c>
      <c r="I3" s="253">
        <v>1786</v>
      </c>
      <c r="J3" s="253">
        <v>1822</v>
      </c>
      <c r="K3" s="254">
        <v>2.0156774916013438E-2</v>
      </c>
    </row>
    <row r="4" spans="1:11">
      <c r="A4" s="251" t="s">
        <v>175</v>
      </c>
      <c r="B4" s="255" t="s">
        <v>238</v>
      </c>
      <c r="C4" s="253">
        <v>1071</v>
      </c>
      <c r="D4" s="253">
        <v>1168</v>
      </c>
      <c r="E4" s="253">
        <v>1099</v>
      </c>
      <c r="F4" s="253">
        <v>838</v>
      </c>
      <c r="G4" s="253">
        <v>1028</v>
      </c>
      <c r="H4" s="253">
        <v>1143</v>
      </c>
      <c r="I4" s="253">
        <v>1107</v>
      </c>
      <c r="J4" s="253">
        <v>1110</v>
      </c>
      <c r="K4" s="254">
        <v>2.7100271002710027E-3</v>
      </c>
    </row>
    <row r="5" spans="1:11">
      <c r="A5" s="251" t="s">
        <v>175</v>
      </c>
      <c r="B5" s="255" t="s">
        <v>239</v>
      </c>
      <c r="C5" s="253">
        <v>796</v>
      </c>
      <c r="D5" s="253">
        <v>816</v>
      </c>
      <c r="E5" s="253">
        <v>739</v>
      </c>
      <c r="F5" s="253">
        <v>585</v>
      </c>
      <c r="G5" s="253">
        <v>709</v>
      </c>
      <c r="H5" s="253">
        <v>766</v>
      </c>
      <c r="I5" s="253">
        <v>679</v>
      </c>
      <c r="J5" s="253">
        <v>712</v>
      </c>
      <c r="K5" s="254">
        <v>4.8600883652430045E-2</v>
      </c>
    </row>
    <row r="6" spans="1:11">
      <c r="A6" s="251" t="s">
        <v>175</v>
      </c>
      <c r="B6" s="255" t="s">
        <v>240</v>
      </c>
      <c r="C6" s="253">
        <v>0</v>
      </c>
      <c r="D6" s="253">
        <v>0</v>
      </c>
      <c r="E6" s="253">
        <v>0</v>
      </c>
      <c r="F6" s="253">
        <v>0</v>
      </c>
      <c r="G6" s="253">
        <v>0</v>
      </c>
      <c r="H6" s="253">
        <v>0</v>
      </c>
      <c r="I6" s="253">
        <v>0</v>
      </c>
      <c r="J6" s="253">
        <v>0</v>
      </c>
      <c r="K6" s="254">
        <v>0</v>
      </c>
    </row>
    <row r="7" spans="1:11">
      <c r="A7" s="251" t="s">
        <v>159</v>
      </c>
      <c r="B7" s="256" t="s">
        <v>91</v>
      </c>
      <c r="C7" s="253">
        <v>2014</v>
      </c>
      <c r="D7" s="253">
        <v>2081</v>
      </c>
      <c r="E7" s="253">
        <v>2067</v>
      </c>
      <c r="F7" s="253">
        <v>1647</v>
      </c>
      <c r="G7" s="253">
        <v>1842</v>
      </c>
      <c r="H7" s="253">
        <v>2052</v>
      </c>
      <c r="I7" s="253">
        <v>1924</v>
      </c>
      <c r="J7" s="253">
        <v>1885</v>
      </c>
      <c r="K7" s="254">
        <v>-2.0270270270270271E-2</v>
      </c>
    </row>
    <row r="8" spans="1:11">
      <c r="A8" s="251" t="s">
        <v>159</v>
      </c>
      <c r="B8" s="255" t="s">
        <v>238</v>
      </c>
      <c r="C8" s="253">
        <v>1680</v>
      </c>
      <c r="D8" s="253">
        <v>1673</v>
      </c>
      <c r="E8" s="253">
        <v>1678</v>
      </c>
      <c r="F8" s="253">
        <v>1331</v>
      </c>
      <c r="G8" s="253">
        <v>1523</v>
      </c>
      <c r="H8" s="253">
        <v>1678</v>
      </c>
      <c r="I8" s="253">
        <v>1566</v>
      </c>
      <c r="J8" s="253">
        <v>1534</v>
      </c>
      <c r="K8" s="254">
        <v>-2.0434227330779056E-2</v>
      </c>
    </row>
    <row r="9" spans="1:11">
      <c r="A9" s="251" t="s">
        <v>159</v>
      </c>
      <c r="B9" s="255" t="s">
        <v>239</v>
      </c>
      <c r="C9" s="253">
        <v>314</v>
      </c>
      <c r="D9" s="253">
        <v>377</v>
      </c>
      <c r="E9" s="253">
        <v>360</v>
      </c>
      <c r="F9" s="253">
        <v>301</v>
      </c>
      <c r="G9" s="253">
        <v>307</v>
      </c>
      <c r="H9" s="253">
        <v>351</v>
      </c>
      <c r="I9" s="253">
        <v>319</v>
      </c>
      <c r="J9" s="253">
        <v>329</v>
      </c>
      <c r="K9" s="254">
        <v>3.1347962382445138E-2</v>
      </c>
    </row>
    <row r="10" spans="1:11">
      <c r="A10" s="251" t="s">
        <v>159</v>
      </c>
      <c r="B10" s="255" t="s">
        <v>240</v>
      </c>
      <c r="C10" s="253">
        <v>20</v>
      </c>
      <c r="D10" s="253">
        <v>31</v>
      </c>
      <c r="E10" s="253">
        <v>29</v>
      </c>
      <c r="F10" s="253">
        <v>15</v>
      </c>
      <c r="G10" s="253">
        <v>12</v>
      </c>
      <c r="H10" s="253">
        <v>23</v>
      </c>
      <c r="I10" s="253">
        <v>39</v>
      </c>
      <c r="J10" s="253">
        <v>22</v>
      </c>
      <c r="K10" s="254">
        <v>-0.4358974358974359</v>
      </c>
    </row>
    <row r="11" spans="1:11">
      <c r="A11" s="257" t="s">
        <v>209</v>
      </c>
      <c r="B11" s="256" t="s">
        <v>91</v>
      </c>
      <c r="C11" s="258">
        <v>3881</v>
      </c>
      <c r="D11" s="258">
        <v>4065</v>
      </c>
      <c r="E11" s="258">
        <v>3905</v>
      </c>
      <c r="F11" s="258">
        <v>3070</v>
      </c>
      <c r="G11" s="258">
        <v>3579</v>
      </c>
      <c r="H11" s="258">
        <v>3961</v>
      </c>
      <c r="I11" s="258">
        <v>3710</v>
      </c>
      <c r="J11" s="258">
        <v>3707</v>
      </c>
      <c r="K11" s="310">
        <v>-8.0862533692722374E-4</v>
      </c>
    </row>
    <row r="12" spans="1:11">
      <c r="A12" s="257" t="s">
        <v>209</v>
      </c>
      <c r="B12" s="255" t="s">
        <v>238</v>
      </c>
      <c r="C12" s="253">
        <v>2751</v>
      </c>
      <c r="D12" s="253">
        <v>2841</v>
      </c>
      <c r="E12" s="253">
        <v>2777</v>
      </c>
      <c r="F12" s="253">
        <v>2169</v>
      </c>
      <c r="G12" s="253">
        <v>2551</v>
      </c>
      <c r="H12" s="253">
        <v>2821</v>
      </c>
      <c r="I12" s="253">
        <v>2673</v>
      </c>
      <c r="J12" s="253">
        <v>2644</v>
      </c>
      <c r="K12" s="254">
        <v>-1.0849233071455293E-2</v>
      </c>
    </row>
    <row r="13" spans="1:11">
      <c r="A13" s="257" t="s">
        <v>209</v>
      </c>
      <c r="B13" s="255" t="s">
        <v>239</v>
      </c>
      <c r="C13" s="253">
        <v>1110</v>
      </c>
      <c r="D13" s="253">
        <v>1193</v>
      </c>
      <c r="E13" s="253">
        <v>1099</v>
      </c>
      <c r="F13" s="253">
        <v>886</v>
      </c>
      <c r="G13" s="253">
        <v>1016</v>
      </c>
      <c r="H13" s="253">
        <v>1117</v>
      </c>
      <c r="I13" s="253">
        <v>998</v>
      </c>
      <c r="J13" s="253">
        <v>1041</v>
      </c>
      <c r="K13" s="254">
        <v>4.308617234468938E-2</v>
      </c>
    </row>
    <row r="14" spans="1:11">
      <c r="A14" s="257" t="s">
        <v>209</v>
      </c>
      <c r="B14" s="255" t="s">
        <v>240</v>
      </c>
      <c r="C14" s="253">
        <v>20</v>
      </c>
      <c r="D14" s="253">
        <v>31</v>
      </c>
      <c r="E14" s="253">
        <v>29</v>
      </c>
      <c r="F14" s="253">
        <v>15</v>
      </c>
      <c r="G14" s="253">
        <v>12</v>
      </c>
      <c r="H14" s="253">
        <v>23</v>
      </c>
      <c r="I14" s="253">
        <v>39</v>
      </c>
      <c r="J14" s="253">
        <v>22</v>
      </c>
      <c r="K14" s="254">
        <v>-0.4358974358974359</v>
      </c>
    </row>
    <row r="15" spans="1:11">
      <c r="A15" s="240" t="s">
        <v>176</v>
      </c>
      <c r="B15" s="259" t="s">
        <v>91</v>
      </c>
      <c r="C15" s="253">
        <v>144</v>
      </c>
      <c r="D15" s="253">
        <v>152</v>
      </c>
      <c r="E15" s="253">
        <v>141</v>
      </c>
      <c r="F15" s="253">
        <v>102</v>
      </c>
      <c r="G15" s="253">
        <v>117</v>
      </c>
      <c r="H15" s="253">
        <v>119</v>
      </c>
      <c r="I15" s="253">
        <v>116</v>
      </c>
      <c r="J15" s="253">
        <v>103</v>
      </c>
      <c r="K15" s="254">
        <v>-0.11206896551724138</v>
      </c>
    </row>
    <row r="16" spans="1:11">
      <c r="A16" s="240" t="s">
        <v>176</v>
      </c>
      <c r="B16" s="255" t="s">
        <v>238</v>
      </c>
      <c r="C16" s="260">
        <v>98</v>
      </c>
      <c r="D16" s="260">
        <v>110</v>
      </c>
      <c r="E16" s="260">
        <v>99</v>
      </c>
      <c r="F16" s="260">
        <v>71</v>
      </c>
      <c r="G16" s="260">
        <v>86</v>
      </c>
      <c r="H16" s="260">
        <v>83</v>
      </c>
      <c r="I16" s="260">
        <v>91</v>
      </c>
      <c r="J16" s="253">
        <v>80</v>
      </c>
      <c r="K16" s="254">
        <v>-0.12087912087912088</v>
      </c>
    </row>
    <row r="17" spans="1:11">
      <c r="A17" s="240" t="s">
        <v>176</v>
      </c>
      <c r="B17" s="255" t="s">
        <v>239</v>
      </c>
      <c r="C17" s="253">
        <v>46</v>
      </c>
      <c r="D17" s="253">
        <v>42</v>
      </c>
      <c r="E17" s="253">
        <v>42</v>
      </c>
      <c r="F17" s="253">
        <v>31</v>
      </c>
      <c r="G17" s="253">
        <v>31</v>
      </c>
      <c r="H17" s="253">
        <v>36</v>
      </c>
      <c r="I17" s="253">
        <v>25</v>
      </c>
      <c r="J17" s="253">
        <v>23</v>
      </c>
      <c r="K17" s="254">
        <v>-0.08</v>
      </c>
    </row>
    <row r="18" spans="1:11">
      <c r="A18" s="240" t="s">
        <v>176</v>
      </c>
      <c r="B18" s="255" t="s">
        <v>240</v>
      </c>
      <c r="C18" s="253">
        <v>0</v>
      </c>
      <c r="D18" s="253">
        <v>0</v>
      </c>
      <c r="E18" s="253">
        <v>0</v>
      </c>
      <c r="F18" s="253">
        <v>0</v>
      </c>
      <c r="G18" s="253">
        <v>0</v>
      </c>
      <c r="H18" s="253">
        <v>0</v>
      </c>
      <c r="I18" s="253">
        <v>0</v>
      </c>
      <c r="J18" s="261">
        <v>0</v>
      </c>
      <c r="K18" s="254">
        <v>0</v>
      </c>
    </row>
    <row r="19" spans="1:11">
      <c r="A19" s="240" t="s">
        <v>177</v>
      </c>
      <c r="B19" s="259" t="s">
        <v>91</v>
      </c>
      <c r="C19" s="253">
        <v>54</v>
      </c>
      <c r="D19" s="253">
        <v>82</v>
      </c>
      <c r="E19" s="253">
        <v>76</v>
      </c>
      <c r="F19" s="253">
        <v>41</v>
      </c>
      <c r="G19" s="253">
        <v>40</v>
      </c>
      <c r="H19" s="253">
        <v>59</v>
      </c>
      <c r="I19" s="253">
        <v>42</v>
      </c>
      <c r="J19" s="253">
        <v>58</v>
      </c>
      <c r="K19" s="254">
        <v>0.38095238095238093</v>
      </c>
    </row>
    <row r="20" spans="1:11">
      <c r="A20" s="240" t="s">
        <v>177</v>
      </c>
      <c r="B20" s="255" t="s">
        <v>238</v>
      </c>
      <c r="C20" s="253">
        <v>30</v>
      </c>
      <c r="D20" s="253">
        <v>41</v>
      </c>
      <c r="E20" s="253">
        <v>39</v>
      </c>
      <c r="F20" s="253">
        <v>17</v>
      </c>
      <c r="G20" s="253">
        <v>15</v>
      </c>
      <c r="H20" s="253">
        <v>28</v>
      </c>
      <c r="I20" s="253">
        <v>24</v>
      </c>
      <c r="J20" s="253">
        <v>26</v>
      </c>
      <c r="K20" s="254">
        <v>8.3333333333333329E-2</v>
      </c>
    </row>
    <row r="21" spans="1:11">
      <c r="A21" s="240" t="s">
        <v>177</v>
      </c>
      <c r="B21" s="255" t="s">
        <v>239</v>
      </c>
      <c r="C21" s="253">
        <v>24</v>
      </c>
      <c r="D21" s="253">
        <v>41</v>
      </c>
      <c r="E21" s="253">
        <v>37</v>
      </c>
      <c r="F21" s="253">
        <v>24</v>
      </c>
      <c r="G21" s="253">
        <v>25</v>
      </c>
      <c r="H21" s="253">
        <v>31</v>
      </c>
      <c r="I21" s="253">
        <v>18</v>
      </c>
      <c r="J21" s="253">
        <v>32</v>
      </c>
      <c r="K21" s="254">
        <v>0.77777777777777779</v>
      </c>
    </row>
    <row r="22" spans="1:11">
      <c r="A22" s="240" t="s">
        <v>177</v>
      </c>
      <c r="B22" s="255" t="s">
        <v>240</v>
      </c>
      <c r="C22" s="253">
        <v>0</v>
      </c>
      <c r="D22" s="253">
        <v>0</v>
      </c>
      <c r="E22" s="253">
        <v>0</v>
      </c>
      <c r="F22" s="253">
        <v>0</v>
      </c>
      <c r="G22" s="253">
        <v>0</v>
      </c>
      <c r="H22" s="253">
        <v>0</v>
      </c>
      <c r="I22" s="253">
        <v>0</v>
      </c>
      <c r="J22" s="261">
        <v>0</v>
      </c>
      <c r="K22" s="254">
        <v>0</v>
      </c>
    </row>
    <row r="23" spans="1:11">
      <c r="A23" s="240" t="s">
        <v>181</v>
      </c>
      <c r="B23" s="259" t="s">
        <v>91</v>
      </c>
      <c r="C23" s="253">
        <v>97</v>
      </c>
      <c r="D23" s="253">
        <v>109</v>
      </c>
      <c r="E23" s="253">
        <v>91</v>
      </c>
      <c r="F23" s="253">
        <v>93</v>
      </c>
      <c r="G23" s="253">
        <v>98</v>
      </c>
      <c r="H23" s="253">
        <v>98</v>
      </c>
      <c r="I23" s="253">
        <v>113</v>
      </c>
      <c r="J23" s="253">
        <v>122</v>
      </c>
      <c r="K23" s="254">
        <v>7.9646017699115043E-2</v>
      </c>
    </row>
    <row r="24" spans="1:11">
      <c r="A24" s="240" t="s">
        <v>181</v>
      </c>
      <c r="B24" s="255" t="s">
        <v>238</v>
      </c>
      <c r="C24" s="253">
        <v>65</v>
      </c>
      <c r="D24" s="253">
        <v>84</v>
      </c>
      <c r="E24" s="253">
        <v>69</v>
      </c>
      <c r="F24" s="253">
        <v>73</v>
      </c>
      <c r="G24" s="253">
        <v>73</v>
      </c>
      <c r="H24" s="253">
        <v>75</v>
      </c>
      <c r="I24" s="253">
        <v>89</v>
      </c>
      <c r="J24" s="253">
        <v>80</v>
      </c>
      <c r="K24" s="254">
        <v>-0.10112359550561797</v>
      </c>
    </row>
    <row r="25" spans="1:11">
      <c r="A25" s="240" t="s">
        <v>181</v>
      </c>
      <c r="B25" s="255" t="s">
        <v>239</v>
      </c>
      <c r="C25" s="253">
        <v>32</v>
      </c>
      <c r="D25" s="253">
        <v>25</v>
      </c>
      <c r="E25" s="253">
        <v>22</v>
      </c>
      <c r="F25" s="253">
        <v>20</v>
      </c>
      <c r="G25" s="253">
        <v>25</v>
      </c>
      <c r="H25" s="253">
        <v>23</v>
      </c>
      <c r="I25" s="253">
        <v>24</v>
      </c>
      <c r="J25" s="253">
        <v>42</v>
      </c>
      <c r="K25" s="254">
        <v>0.75</v>
      </c>
    </row>
    <row r="26" spans="1:11">
      <c r="A26" s="240" t="s">
        <v>181</v>
      </c>
      <c r="B26" s="255" t="s">
        <v>240</v>
      </c>
      <c r="C26" s="253">
        <v>0</v>
      </c>
      <c r="D26" s="253">
        <v>0</v>
      </c>
      <c r="E26" s="253">
        <v>0</v>
      </c>
      <c r="F26" s="253">
        <v>0</v>
      </c>
      <c r="G26" s="253">
        <v>0</v>
      </c>
      <c r="H26" s="253">
        <v>0</v>
      </c>
      <c r="I26" s="253">
        <v>0</v>
      </c>
      <c r="J26" s="261">
        <v>0</v>
      </c>
      <c r="K26" s="254">
        <v>0</v>
      </c>
    </row>
    <row r="27" spans="1:11">
      <c r="A27" s="240" t="s">
        <v>182</v>
      </c>
      <c r="B27" s="259" t="s">
        <v>91</v>
      </c>
      <c r="C27" s="253">
        <v>152</v>
      </c>
      <c r="D27" s="253">
        <v>160</v>
      </c>
      <c r="E27" s="253">
        <v>149</v>
      </c>
      <c r="F27" s="253">
        <v>103</v>
      </c>
      <c r="G27" s="253">
        <v>133</v>
      </c>
      <c r="H27" s="253">
        <v>148</v>
      </c>
      <c r="I27" s="253">
        <v>128</v>
      </c>
      <c r="J27" s="253">
        <v>119</v>
      </c>
      <c r="K27" s="254">
        <v>-7.03125E-2</v>
      </c>
    </row>
    <row r="28" spans="1:11">
      <c r="A28" s="240" t="s">
        <v>182</v>
      </c>
      <c r="B28" s="255" t="s">
        <v>238</v>
      </c>
      <c r="C28" s="253">
        <v>84</v>
      </c>
      <c r="D28" s="253">
        <v>75</v>
      </c>
      <c r="E28" s="253">
        <v>79</v>
      </c>
      <c r="F28" s="253">
        <v>54</v>
      </c>
      <c r="G28" s="253">
        <v>68</v>
      </c>
      <c r="H28" s="253">
        <v>73</v>
      </c>
      <c r="I28" s="253">
        <v>73</v>
      </c>
      <c r="J28" s="253">
        <v>63</v>
      </c>
      <c r="K28" s="254">
        <v>-0.13698630136986301</v>
      </c>
    </row>
    <row r="29" spans="1:11">
      <c r="A29" s="240" t="s">
        <v>182</v>
      </c>
      <c r="B29" s="255" t="s">
        <v>239</v>
      </c>
      <c r="C29" s="253">
        <v>68</v>
      </c>
      <c r="D29" s="253">
        <v>85</v>
      </c>
      <c r="E29" s="253">
        <v>70</v>
      </c>
      <c r="F29" s="253">
        <v>49</v>
      </c>
      <c r="G29" s="253">
        <v>65</v>
      </c>
      <c r="H29" s="253">
        <v>75</v>
      </c>
      <c r="I29" s="253">
        <v>55</v>
      </c>
      <c r="J29" s="253">
        <v>56</v>
      </c>
      <c r="K29" s="254">
        <v>1.8181818181818181E-2</v>
      </c>
    </row>
    <row r="30" spans="1:11">
      <c r="A30" s="240" t="s">
        <v>182</v>
      </c>
      <c r="B30" s="255" t="s">
        <v>240</v>
      </c>
      <c r="C30" s="253">
        <v>0</v>
      </c>
      <c r="D30" s="253">
        <v>0</v>
      </c>
      <c r="E30" s="253">
        <v>0</v>
      </c>
      <c r="F30" s="253">
        <v>0</v>
      </c>
      <c r="G30" s="253">
        <v>0</v>
      </c>
      <c r="H30" s="253">
        <v>0</v>
      </c>
      <c r="I30" s="253">
        <v>0</v>
      </c>
      <c r="J30" s="261">
        <v>0</v>
      </c>
      <c r="K30" s="254">
        <v>0</v>
      </c>
    </row>
    <row r="31" spans="1:11">
      <c r="A31" s="240" t="s">
        <v>183</v>
      </c>
      <c r="B31" s="259" t="s">
        <v>91</v>
      </c>
      <c r="C31" s="253">
        <v>97</v>
      </c>
      <c r="D31" s="253">
        <v>112</v>
      </c>
      <c r="E31" s="253">
        <v>99</v>
      </c>
      <c r="F31" s="253">
        <v>82</v>
      </c>
      <c r="G31" s="253">
        <v>104</v>
      </c>
      <c r="H31" s="253">
        <v>110</v>
      </c>
      <c r="I31" s="253">
        <v>109</v>
      </c>
      <c r="J31" s="253">
        <v>108</v>
      </c>
      <c r="K31" s="254">
        <v>-9.1743119266055051E-3</v>
      </c>
    </row>
    <row r="32" spans="1:11">
      <c r="A32" s="240" t="s">
        <v>183</v>
      </c>
      <c r="B32" s="255" t="s">
        <v>238</v>
      </c>
      <c r="C32" s="253">
        <v>83</v>
      </c>
      <c r="D32" s="253">
        <v>104</v>
      </c>
      <c r="E32" s="253">
        <v>85</v>
      </c>
      <c r="F32" s="253">
        <v>78</v>
      </c>
      <c r="G32" s="253">
        <v>96</v>
      </c>
      <c r="H32" s="253">
        <v>103</v>
      </c>
      <c r="I32" s="253">
        <v>104</v>
      </c>
      <c r="J32" s="253">
        <v>95</v>
      </c>
      <c r="K32" s="254">
        <v>-8.6538461538461536E-2</v>
      </c>
    </row>
    <row r="33" spans="1:18">
      <c r="A33" s="240" t="s">
        <v>183</v>
      </c>
      <c r="B33" s="255" t="s">
        <v>239</v>
      </c>
      <c r="C33" s="253">
        <v>14</v>
      </c>
      <c r="D33" s="253">
        <v>8</v>
      </c>
      <c r="E33" s="253">
        <v>14</v>
      </c>
      <c r="F33" s="253">
        <v>4</v>
      </c>
      <c r="G33" s="253">
        <v>8</v>
      </c>
      <c r="H33" s="253">
        <v>7</v>
      </c>
      <c r="I33" s="253">
        <v>5</v>
      </c>
      <c r="J33" s="253">
        <v>13</v>
      </c>
      <c r="K33" s="254">
        <v>1.6</v>
      </c>
    </row>
    <row r="34" spans="1:18">
      <c r="A34" s="240" t="s">
        <v>183</v>
      </c>
      <c r="B34" s="255" t="s">
        <v>240</v>
      </c>
      <c r="C34" s="253">
        <v>0</v>
      </c>
      <c r="D34" s="253">
        <v>0</v>
      </c>
      <c r="E34" s="253">
        <v>0</v>
      </c>
      <c r="F34" s="253">
        <v>0</v>
      </c>
      <c r="G34" s="253">
        <v>0</v>
      </c>
      <c r="H34" s="253">
        <v>0</v>
      </c>
      <c r="I34" s="253">
        <v>0</v>
      </c>
      <c r="J34" s="261">
        <v>0</v>
      </c>
      <c r="K34" s="254">
        <v>0</v>
      </c>
    </row>
    <row r="35" spans="1:18">
      <c r="A35" s="240" t="s">
        <v>189</v>
      </c>
      <c r="B35" s="259" t="s">
        <v>91</v>
      </c>
      <c r="C35" s="253">
        <v>125</v>
      </c>
      <c r="D35" s="253">
        <v>141</v>
      </c>
      <c r="E35" s="253">
        <v>111</v>
      </c>
      <c r="F35" s="253">
        <v>84</v>
      </c>
      <c r="G35" s="253">
        <v>96</v>
      </c>
      <c r="H35" s="253">
        <v>111</v>
      </c>
      <c r="I35" s="253">
        <v>98</v>
      </c>
      <c r="J35" s="253">
        <v>101</v>
      </c>
      <c r="K35" s="254">
        <v>3.0612244897959183E-2</v>
      </c>
      <c r="L35" s="41"/>
      <c r="M35" s="41"/>
      <c r="N35" s="41"/>
      <c r="O35" s="41"/>
      <c r="P35" s="41"/>
      <c r="Q35" s="41"/>
      <c r="R35" s="41"/>
    </row>
    <row r="36" spans="1:18">
      <c r="A36" s="240" t="s">
        <v>189</v>
      </c>
      <c r="B36" s="255" t="s">
        <v>238</v>
      </c>
      <c r="C36" s="253">
        <v>69</v>
      </c>
      <c r="D36" s="253">
        <v>77</v>
      </c>
      <c r="E36" s="253">
        <v>66</v>
      </c>
      <c r="F36" s="253">
        <v>52</v>
      </c>
      <c r="G36" s="253">
        <v>45</v>
      </c>
      <c r="H36" s="253">
        <v>61</v>
      </c>
      <c r="I36" s="253">
        <v>56</v>
      </c>
      <c r="J36" s="253">
        <v>59</v>
      </c>
      <c r="K36" s="254">
        <v>5.3571428571428568E-2</v>
      </c>
      <c r="L36" s="41"/>
      <c r="M36" s="41"/>
      <c r="N36" s="41"/>
      <c r="O36" s="41"/>
      <c r="P36" s="41"/>
      <c r="Q36" s="41"/>
      <c r="R36" s="41"/>
    </row>
    <row r="37" spans="1:18">
      <c r="A37" s="240" t="s">
        <v>189</v>
      </c>
      <c r="B37" s="255" t="s">
        <v>239</v>
      </c>
      <c r="C37" s="253">
        <v>56</v>
      </c>
      <c r="D37" s="253">
        <v>64</v>
      </c>
      <c r="E37" s="253">
        <v>45</v>
      </c>
      <c r="F37" s="253">
        <v>32</v>
      </c>
      <c r="G37" s="253">
        <v>51</v>
      </c>
      <c r="H37" s="253">
        <v>50</v>
      </c>
      <c r="I37" s="253">
        <v>42</v>
      </c>
      <c r="J37" s="253">
        <v>42</v>
      </c>
      <c r="K37" s="254">
        <v>0</v>
      </c>
      <c r="L37" s="41"/>
      <c r="M37" s="41"/>
      <c r="N37" s="41"/>
      <c r="O37" s="41"/>
      <c r="P37" s="41"/>
      <c r="Q37" s="41"/>
      <c r="R37" s="41"/>
    </row>
    <row r="38" spans="1:18">
      <c r="A38" s="240" t="s">
        <v>189</v>
      </c>
      <c r="B38" s="255" t="s">
        <v>240</v>
      </c>
      <c r="C38" s="253">
        <v>0</v>
      </c>
      <c r="D38" s="253">
        <v>0</v>
      </c>
      <c r="E38" s="253">
        <v>0</v>
      </c>
      <c r="F38" s="253">
        <v>0</v>
      </c>
      <c r="G38" s="253">
        <v>0</v>
      </c>
      <c r="H38" s="253">
        <v>0</v>
      </c>
      <c r="I38" s="253">
        <v>0</v>
      </c>
      <c r="J38" s="261">
        <v>0</v>
      </c>
      <c r="K38" s="254">
        <v>0</v>
      </c>
      <c r="L38" s="41"/>
      <c r="M38" s="41"/>
      <c r="N38" s="41"/>
      <c r="O38" s="41"/>
      <c r="P38" s="41"/>
      <c r="Q38" s="41"/>
      <c r="R38" s="41"/>
    </row>
    <row r="39" spans="1:18">
      <c r="A39" s="240" t="s">
        <v>190</v>
      </c>
      <c r="B39" s="259" t="s">
        <v>91</v>
      </c>
      <c r="C39" s="253">
        <v>116</v>
      </c>
      <c r="D39" s="253">
        <v>126</v>
      </c>
      <c r="E39" s="253">
        <v>113</v>
      </c>
      <c r="F39" s="253">
        <v>73</v>
      </c>
      <c r="G39" s="253">
        <v>85</v>
      </c>
      <c r="H39" s="253">
        <v>115</v>
      </c>
      <c r="I39" s="253">
        <v>125</v>
      </c>
      <c r="J39" s="253">
        <v>132</v>
      </c>
      <c r="K39" s="254">
        <v>5.6000000000000001E-2</v>
      </c>
      <c r="L39" s="41"/>
      <c r="M39" s="41"/>
      <c r="N39" s="41"/>
      <c r="O39" s="41"/>
      <c r="P39" s="41"/>
      <c r="Q39" s="41"/>
      <c r="R39" s="41"/>
    </row>
    <row r="40" spans="1:18">
      <c r="A40" s="240" t="s">
        <v>190</v>
      </c>
      <c r="B40" s="255" t="s">
        <v>238</v>
      </c>
      <c r="C40" s="253">
        <v>83</v>
      </c>
      <c r="D40" s="253">
        <v>88</v>
      </c>
      <c r="E40" s="253">
        <v>77</v>
      </c>
      <c r="F40" s="253">
        <v>56</v>
      </c>
      <c r="G40" s="253">
        <v>56</v>
      </c>
      <c r="H40" s="253">
        <v>80</v>
      </c>
      <c r="I40" s="253">
        <v>88</v>
      </c>
      <c r="J40" s="253">
        <v>97</v>
      </c>
      <c r="K40" s="254">
        <v>0.10227272727272728</v>
      </c>
      <c r="L40" s="41"/>
      <c r="M40" s="41"/>
      <c r="N40" s="41"/>
      <c r="O40" s="41"/>
      <c r="P40" s="41"/>
      <c r="Q40" s="41"/>
      <c r="R40" s="41"/>
    </row>
    <row r="41" spans="1:18">
      <c r="A41" s="240" t="s">
        <v>190</v>
      </c>
      <c r="B41" s="255" t="s">
        <v>239</v>
      </c>
      <c r="C41" s="253">
        <v>33</v>
      </c>
      <c r="D41" s="253">
        <v>38</v>
      </c>
      <c r="E41" s="253">
        <v>36</v>
      </c>
      <c r="F41" s="253">
        <v>17</v>
      </c>
      <c r="G41" s="253">
        <v>29</v>
      </c>
      <c r="H41" s="253">
        <v>35</v>
      </c>
      <c r="I41" s="253">
        <v>37</v>
      </c>
      <c r="J41" s="253">
        <v>35</v>
      </c>
      <c r="K41" s="254">
        <v>-5.4054054054054057E-2</v>
      </c>
    </row>
    <row r="42" spans="1:18">
      <c r="A42" s="240" t="s">
        <v>190</v>
      </c>
      <c r="B42" s="255" t="s">
        <v>240</v>
      </c>
      <c r="C42" s="253">
        <v>0</v>
      </c>
      <c r="D42" s="253">
        <v>0</v>
      </c>
      <c r="E42" s="253">
        <v>0</v>
      </c>
      <c r="F42" s="253">
        <v>0</v>
      </c>
      <c r="G42" s="253">
        <v>0</v>
      </c>
      <c r="H42" s="253">
        <v>0</v>
      </c>
      <c r="I42" s="253">
        <v>0</v>
      </c>
      <c r="J42" s="261">
        <v>0</v>
      </c>
      <c r="K42" s="254">
        <v>0</v>
      </c>
    </row>
    <row r="43" spans="1:18">
      <c r="A43" s="240" t="s">
        <v>192</v>
      </c>
      <c r="B43" s="259" t="s">
        <v>91</v>
      </c>
      <c r="C43" s="253">
        <v>207</v>
      </c>
      <c r="D43" s="253">
        <v>202</v>
      </c>
      <c r="E43" s="253">
        <v>200</v>
      </c>
      <c r="F43" s="253">
        <v>167</v>
      </c>
      <c r="G43" s="253">
        <v>225</v>
      </c>
      <c r="H43" s="253">
        <v>239</v>
      </c>
      <c r="I43" s="253">
        <v>191</v>
      </c>
      <c r="J43" s="253">
        <v>187</v>
      </c>
      <c r="K43" s="254">
        <v>-2.0942408376963352E-2</v>
      </c>
      <c r="L43" s="41"/>
      <c r="M43" s="41"/>
      <c r="N43" s="41"/>
      <c r="O43" s="41"/>
      <c r="P43" s="41"/>
      <c r="Q43" s="41"/>
      <c r="R43" s="41"/>
    </row>
    <row r="44" spans="1:18">
      <c r="A44" s="240" t="s">
        <v>192</v>
      </c>
      <c r="B44" s="255" t="s">
        <v>238</v>
      </c>
      <c r="C44" s="253">
        <v>83</v>
      </c>
      <c r="D44" s="253">
        <v>92</v>
      </c>
      <c r="E44" s="253">
        <v>92</v>
      </c>
      <c r="F44" s="253">
        <v>55</v>
      </c>
      <c r="G44" s="253">
        <v>106</v>
      </c>
      <c r="H44" s="253">
        <v>107</v>
      </c>
      <c r="I44" s="253">
        <v>73</v>
      </c>
      <c r="J44" s="253">
        <v>79</v>
      </c>
      <c r="K44" s="254">
        <v>8.2191780821917804E-2</v>
      </c>
    </row>
    <row r="45" spans="1:18">
      <c r="A45" s="240" t="s">
        <v>192</v>
      </c>
      <c r="B45" s="255" t="s">
        <v>239</v>
      </c>
      <c r="C45" s="253">
        <v>124</v>
      </c>
      <c r="D45" s="253">
        <v>110</v>
      </c>
      <c r="E45" s="253">
        <v>108</v>
      </c>
      <c r="F45" s="253">
        <v>112</v>
      </c>
      <c r="G45" s="253">
        <v>119</v>
      </c>
      <c r="H45" s="253">
        <v>132</v>
      </c>
      <c r="I45" s="253">
        <v>118</v>
      </c>
      <c r="J45" s="253">
        <v>108</v>
      </c>
      <c r="K45" s="254">
        <v>-8.4745762711864403E-2</v>
      </c>
    </row>
    <row r="46" spans="1:18">
      <c r="A46" s="240" t="s">
        <v>192</v>
      </c>
      <c r="B46" s="255" t="s">
        <v>240</v>
      </c>
      <c r="C46" s="253">
        <v>0</v>
      </c>
      <c r="D46" s="253">
        <v>0</v>
      </c>
      <c r="E46" s="253">
        <v>0</v>
      </c>
      <c r="F46" s="253">
        <v>0</v>
      </c>
      <c r="G46" s="253">
        <v>0</v>
      </c>
      <c r="H46" s="253">
        <v>0</v>
      </c>
      <c r="I46" s="253">
        <v>0</v>
      </c>
      <c r="J46" s="261">
        <v>0</v>
      </c>
      <c r="K46" s="254">
        <v>0</v>
      </c>
    </row>
    <row r="47" spans="1:18">
      <c r="A47" s="240" t="s">
        <v>193</v>
      </c>
      <c r="B47" s="259" t="s">
        <v>91</v>
      </c>
      <c r="C47" s="253">
        <v>120</v>
      </c>
      <c r="D47" s="253">
        <v>107</v>
      </c>
      <c r="E47" s="253">
        <v>119</v>
      </c>
      <c r="F47" s="253">
        <v>116</v>
      </c>
      <c r="G47" s="253">
        <v>109</v>
      </c>
      <c r="H47" s="253">
        <v>114</v>
      </c>
      <c r="I47" s="253">
        <v>105</v>
      </c>
      <c r="J47" s="253">
        <v>130</v>
      </c>
      <c r="K47" s="254">
        <v>0.23809523809523808</v>
      </c>
      <c r="L47" s="41"/>
      <c r="M47" s="41"/>
      <c r="N47" s="41"/>
      <c r="O47" s="41"/>
      <c r="P47" s="41"/>
      <c r="Q47" s="41"/>
      <c r="R47" s="41"/>
    </row>
    <row r="48" spans="1:18">
      <c r="A48" s="240" t="s">
        <v>193</v>
      </c>
      <c r="B48" s="255" t="s">
        <v>238</v>
      </c>
      <c r="C48" s="253">
        <v>52</v>
      </c>
      <c r="D48" s="253">
        <v>57</v>
      </c>
      <c r="E48" s="253">
        <v>70</v>
      </c>
      <c r="F48" s="253">
        <v>56</v>
      </c>
      <c r="G48" s="253">
        <v>66</v>
      </c>
      <c r="H48" s="253">
        <v>63</v>
      </c>
      <c r="I48" s="253">
        <v>55</v>
      </c>
      <c r="J48" s="253">
        <v>73</v>
      </c>
      <c r="K48" s="254">
        <v>0.32727272727272727</v>
      </c>
      <c r="L48" s="41"/>
      <c r="M48" s="41"/>
      <c r="N48" s="41"/>
      <c r="O48" s="41"/>
      <c r="P48" s="41"/>
      <c r="Q48" s="41"/>
      <c r="R48" s="41"/>
    </row>
    <row r="49" spans="1:18">
      <c r="A49" s="240" t="s">
        <v>193</v>
      </c>
      <c r="B49" s="255" t="s">
        <v>239</v>
      </c>
      <c r="C49" s="253">
        <v>68</v>
      </c>
      <c r="D49" s="253">
        <v>50</v>
      </c>
      <c r="E49" s="253">
        <v>49</v>
      </c>
      <c r="F49" s="253">
        <v>60</v>
      </c>
      <c r="G49" s="253">
        <v>43</v>
      </c>
      <c r="H49" s="253">
        <v>51</v>
      </c>
      <c r="I49" s="253">
        <v>50</v>
      </c>
      <c r="J49" s="253">
        <v>57</v>
      </c>
      <c r="K49" s="254">
        <v>0.14000000000000001</v>
      </c>
      <c r="L49" s="41"/>
      <c r="M49" s="41"/>
      <c r="N49" s="41"/>
      <c r="O49" s="41"/>
      <c r="P49" s="41"/>
      <c r="Q49" s="41"/>
      <c r="R49" s="41"/>
    </row>
    <row r="50" spans="1:18">
      <c r="A50" s="240" t="s">
        <v>193</v>
      </c>
      <c r="B50" s="255" t="s">
        <v>240</v>
      </c>
      <c r="C50" s="253">
        <v>0</v>
      </c>
      <c r="D50" s="253">
        <v>0</v>
      </c>
      <c r="E50" s="253">
        <v>0</v>
      </c>
      <c r="F50" s="253">
        <v>0</v>
      </c>
      <c r="G50" s="253">
        <v>0</v>
      </c>
      <c r="H50" s="253">
        <v>0</v>
      </c>
      <c r="I50" s="253">
        <v>0</v>
      </c>
      <c r="J50" s="261">
        <v>0</v>
      </c>
      <c r="K50" s="254">
        <v>0</v>
      </c>
      <c r="L50" s="41"/>
      <c r="M50" s="41"/>
      <c r="N50" s="41"/>
      <c r="O50" s="41"/>
      <c r="P50" s="41"/>
      <c r="Q50" s="41"/>
      <c r="R50" s="41"/>
    </row>
    <row r="51" spans="1:18">
      <c r="A51" s="240" t="s">
        <v>198</v>
      </c>
      <c r="B51" s="259" t="s">
        <v>91</v>
      </c>
      <c r="C51" s="253">
        <v>151</v>
      </c>
      <c r="D51" s="253">
        <v>189</v>
      </c>
      <c r="E51" s="253">
        <v>164</v>
      </c>
      <c r="F51" s="253">
        <v>136</v>
      </c>
      <c r="G51" s="253">
        <v>170</v>
      </c>
      <c r="H51" s="253">
        <v>168</v>
      </c>
      <c r="I51" s="253">
        <v>197</v>
      </c>
      <c r="J51" s="253">
        <v>213</v>
      </c>
      <c r="K51" s="254">
        <v>8.1218274111675121E-2</v>
      </c>
      <c r="L51" s="41"/>
      <c r="M51" s="41"/>
      <c r="N51" s="41"/>
      <c r="O51" s="41"/>
      <c r="P51" s="41"/>
      <c r="Q51" s="41"/>
      <c r="R51" s="41"/>
    </row>
    <row r="52" spans="1:18">
      <c r="A52" s="240" t="s">
        <v>198</v>
      </c>
      <c r="B52" s="255" t="s">
        <v>238</v>
      </c>
      <c r="C52" s="253">
        <v>73</v>
      </c>
      <c r="D52" s="253">
        <v>99</v>
      </c>
      <c r="E52" s="253">
        <v>76</v>
      </c>
      <c r="F52" s="253">
        <v>76</v>
      </c>
      <c r="G52" s="253">
        <v>107</v>
      </c>
      <c r="H52" s="253">
        <v>85</v>
      </c>
      <c r="I52" s="253">
        <v>109</v>
      </c>
      <c r="J52" s="253">
        <v>114</v>
      </c>
      <c r="K52" s="254">
        <v>4.5871559633027525E-2</v>
      </c>
    </row>
    <row r="53" spans="1:18">
      <c r="A53" s="240" t="s">
        <v>198</v>
      </c>
      <c r="B53" s="255" t="s">
        <v>239</v>
      </c>
      <c r="C53" s="253">
        <v>78</v>
      </c>
      <c r="D53" s="253">
        <v>90</v>
      </c>
      <c r="E53" s="253">
        <v>88</v>
      </c>
      <c r="F53" s="253">
        <v>60</v>
      </c>
      <c r="G53" s="253">
        <v>63</v>
      </c>
      <c r="H53" s="253">
        <v>83</v>
      </c>
      <c r="I53" s="253">
        <v>88</v>
      </c>
      <c r="J53" s="253">
        <v>99</v>
      </c>
      <c r="K53" s="254">
        <v>0.125</v>
      </c>
    </row>
    <row r="54" spans="1:18">
      <c r="A54" s="240" t="s">
        <v>198</v>
      </c>
      <c r="B54" s="255" t="s">
        <v>240</v>
      </c>
      <c r="C54" s="253">
        <v>0</v>
      </c>
      <c r="D54" s="253">
        <v>0</v>
      </c>
      <c r="E54" s="253">
        <v>0</v>
      </c>
      <c r="F54" s="253">
        <v>0</v>
      </c>
      <c r="G54" s="253">
        <v>0</v>
      </c>
      <c r="H54" s="253">
        <v>0</v>
      </c>
      <c r="I54" s="253">
        <v>0</v>
      </c>
      <c r="J54" s="261">
        <v>0</v>
      </c>
      <c r="K54" s="254">
        <v>0</v>
      </c>
    </row>
    <row r="55" spans="1:18">
      <c r="A55" s="240" t="s">
        <v>200</v>
      </c>
      <c r="B55" s="259" t="s">
        <v>91</v>
      </c>
      <c r="C55" s="253">
        <v>187</v>
      </c>
      <c r="D55" s="253">
        <v>163</v>
      </c>
      <c r="E55" s="253">
        <v>160</v>
      </c>
      <c r="F55" s="253">
        <v>115</v>
      </c>
      <c r="G55" s="253">
        <v>161</v>
      </c>
      <c r="H55" s="253">
        <v>169</v>
      </c>
      <c r="I55" s="253">
        <v>158</v>
      </c>
      <c r="J55" s="253">
        <v>154</v>
      </c>
      <c r="K55" s="254">
        <v>-2.5316455696202531E-2</v>
      </c>
      <c r="L55" s="41"/>
      <c r="M55" s="41"/>
      <c r="N55" s="41"/>
      <c r="O55" s="41"/>
      <c r="P55" s="41"/>
      <c r="Q55" s="41"/>
      <c r="R55" s="41"/>
    </row>
    <row r="56" spans="1:18">
      <c r="A56" s="240" t="s">
        <v>200</v>
      </c>
      <c r="B56" s="255" t="s">
        <v>238</v>
      </c>
      <c r="C56" s="253">
        <v>88</v>
      </c>
      <c r="D56" s="253">
        <v>70</v>
      </c>
      <c r="E56" s="253">
        <v>74</v>
      </c>
      <c r="F56" s="253">
        <v>58</v>
      </c>
      <c r="G56" s="253">
        <v>70</v>
      </c>
      <c r="H56" s="253">
        <v>88</v>
      </c>
      <c r="I56" s="253">
        <v>77</v>
      </c>
      <c r="J56" s="253">
        <v>82</v>
      </c>
      <c r="K56" s="254">
        <v>6.4935064935064929E-2</v>
      </c>
    </row>
    <row r="57" spans="1:18">
      <c r="A57" s="240" t="s">
        <v>200</v>
      </c>
      <c r="B57" s="255" t="s">
        <v>239</v>
      </c>
      <c r="C57" s="253">
        <v>99</v>
      </c>
      <c r="D57" s="253">
        <v>93</v>
      </c>
      <c r="E57" s="253">
        <v>86</v>
      </c>
      <c r="F57" s="253">
        <v>57</v>
      </c>
      <c r="G57" s="253">
        <v>91</v>
      </c>
      <c r="H57" s="253">
        <v>81</v>
      </c>
      <c r="I57" s="253">
        <v>81</v>
      </c>
      <c r="J57" s="253">
        <v>72</v>
      </c>
      <c r="K57" s="254">
        <v>-0.1111111111111111</v>
      </c>
    </row>
    <row r="58" spans="1:18">
      <c r="A58" s="240" t="s">
        <v>200</v>
      </c>
      <c r="B58" s="255" t="s">
        <v>240</v>
      </c>
      <c r="C58" s="253">
        <v>0</v>
      </c>
      <c r="D58" s="253">
        <v>0</v>
      </c>
      <c r="E58" s="253">
        <v>0</v>
      </c>
      <c r="F58" s="253">
        <v>0</v>
      </c>
      <c r="G58" s="253">
        <v>0</v>
      </c>
      <c r="H58" s="253">
        <v>0</v>
      </c>
      <c r="I58" s="253">
        <v>0</v>
      </c>
      <c r="J58" s="261">
        <v>0</v>
      </c>
      <c r="K58" s="254">
        <v>0</v>
      </c>
    </row>
    <row r="59" spans="1:18">
      <c r="A59" s="240" t="s">
        <v>202</v>
      </c>
      <c r="B59" s="259" t="s">
        <v>91</v>
      </c>
      <c r="C59" s="253">
        <v>147</v>
      </c>
      <c r="D59" s="253">
        <v>169</v>
      </c>
      <c r="E59" s="253">
        <v>168</v>
      </c>
      <c r="F59" s="253">
        <v>151</v>
      </c>
      <c r="G59" s="253">
        <v>177</v>
      </c>
      <c r="H59" s="253">
        <v>195</v>
      </c>
      <c r="I59" s="253">
        <v>145</v>
      </c>
      <c r="J59" s="253">
        <v>161</v>
      </c>
      <c r="K59" s="254">
        <v>0.1103448275862069</v>
      </c>
      <c r="L59" s="41"/>
      <c r="M59" s="41"/>
      <c r="N59" s="41"/>
      <c r="O59" s="41"/>
      <c r="P59" s="41"/>
      <c r="Q59" s="41"/>
      <c r="R59" s="41"/>
    </row>
    <row r="60" spans="1:18">
      <c r="A60" s="240" t="s">
        <v>202</v>
      </c>
      <c r="B60" s="255" t="s">
        <v>238</v>
      </c>
      <c r="C60" s="253">
        <v>63</v>
      </c>
      <c r="D60" s="253">
        <v>80</v>
      </c>
      <c r="E60" s="253">
        <v>81</v>
      </c>
      <c r="F60" s="253">
        <v>81</v>
      </c>
      <c r="G60" s="253">
        <v>73</v>
      </c>
      <c r="H60" s="253">
        <v>90</v>
      </c>
      <c r="I60" s="253">
        <v>76</v>
      </c>
      <c r="J60" s="253">
        <v>82</v>
      </c>
      <c r="K60" s="254">
        <v>7.8947368421052627E-2</v>
      </c>
    </row>
    <row r="61" spans="1:18">
      <c r="A61" s="240" t="s">
        <v>202</v>
      </c>
      <c r="B61" s="255" t="s">
        <v>239</v>
      </c>
      <c r="C61" s="253">
        <v>84</v>
      </c>
      <c r="D61" s="253">
        <v>89</v>
      </c>
      <c r="E61" s="253">
        <v>87</v>
      </c>
      <c r="F61" s="253">
        <v>70</v>
      </c>
      <c r="G61" s="253">
        <v>104</v>
      </c>
      <c r="H61" s="253">
        <v>105</v>
      </c>
      <c r="I61" s="253">
        <v>69</v>
      </c>
      <c r="J61" s="253">
        <v>79</v>
      </c>
      <c r="K61" s="254">
        <v>0.14492753623188406</v>
      </c>
    </row>
    <row r="62" spans="1:18">
      <c r="A62" s="240" t="s">
        <v>202</v>
      </c>
      <c r="B62" s="255" t="s">
        <v>240</v>
      </c>
      <c r="C62" s="253">
        <v>0</v>
      </c>
      <c r="D62" s="253">
        <v>0</v>
      </c>
      <c r="E62" s="253">
        <v>0</v>
      </c>
      <c r="F62" s="253">
        <v>0</v>
      </c>
      <c r="G62" s="253">
        <v>0</v>
      </c>
      <c r="H62" s="253">
        <v>0</v>
      </c>
      <c r="I62" s="253">
        <v>0</v>
      </c>
      <c r="J62" s="261">
        <v>0</v>
      </c>
      <c r="K62" s="254">
        <v>0</v>
      </c>
    </row>
    <row r="63" spans="1:18">
      <c r="A63" s="240" t="s">
        <v>203</v>
      </c>
      <c r="B63" s="259" t="s">
        <v>91</v>
      </c>
      <c r="C63" s="253">
        <v>270</v>
      </c>
      <c r="D63" s="253">
        <v>272</v>
      </c>
      <c r="E63" s="253">
        <v>247</v>
      </c>
      <c r="F63" s="253">
        <v>160</v>
      </c>
      <c r="G63" s="253">
        <v>222</v>
      </c>
      <c r="H63" s="253">
        <v>264</v>
      </c>
      <c r="I63" s="253">
        <v>259</v>
      </c>
      <c r="J63" s="253">
        <v>234</v>
      </c>
      <c r="K63" s="254">
        <v>-9.6525096525096526E-2</v>
      </c>
      <c r="L63" s="41"/>
      <c r="M63" s="41"/>
      <c r="N63" s="41"/>
      <c r="O63" s="41"/>
      <c r="P63" s="41"/>
      <c r="Q63" s="41"/>
      <c r="R63" s="41"/>
    </row>
    <row r="64" spans="1:18">
      <c r="A64" s="240" t="s">
        <v>203</v>
      </c>
      <c r="B64" s="255" t="s">
        <v>238</v>
      </c>
      <c r="C64" s="253">
        <v>200</v>
      </c>
      <c r="D64" s="253">
        <v>191</v>
      </c>
      <c r="E64" s="253">
        <v>192</v>
      </c>
      <c r="F64" s="253">
        <v>111</v>
      </c>
      <c r="G64" s="253">
        <v>167</v>
      </c>
      <c r="H64" s="253">
        <v>207</v>
      </c>
      <c r="I64" s="253">
        <v>192</v>
      </c>
      <c r="J64" s="253">
        <v>180</v>
      </c>
      <c r="K64" s="254">
        <v>-6.25E-2</v>
      </c>
    </row>
    <row r="65" spans="1:18">
      <c r="A65" s="240" t="s">
        <v>203</v>
      </c>
      <c r="B65" s="255" t="s">
        <v>239</v>
      </c>
      <c r="C65" s="253">
        <v>70</v>
      </c>
      <c r="D65" s="253">
        <v>81</v>
      </c>
      <c r="E65" s="253">
        <v>55</v>
      </c>
      <c r="F65" s="253">
        <v>49</v>
      </c>
      <c r="G65" s="253">
        <v>55</v>
      </c>
      <c r="H65" s="253">
        <v>57</v>
      </c>
      <c r="I65" s="253">
        <v>67</v>
      </c>
      <c r="J65" s="253">
        <v>54</v>
      </c>
      <c r="K65" s="254">
        <v>-0.19402985074626866</v>
      </c>
    </row>
    <row r="66" spans="1:18">
      <c r="A66" s="240" t="s">
        <v>203</v>
      </c>
      <c r="B66" s="255" t="s">
        <v>240</v>
      </c>
      <c r="C66" s="253">
        <v>0</v>
      </c>
      <c r="D66" s="253">
        <v>0</v>
      </c>
      <c r="E66" s="253">
        <v>0</v>
      </c>
      <c r="F66" s="253">
        <v>0</v>
      </c>
      <c r="G66" s="253">
        <v>0</v>
      </c>
      <c r="H66" s="253">
        <v>0</v>
      </c>
      <c r="I66" s="253">
        <v>0</v>
      </c>
      <c r="J66" s="261">
        <v>0</v>
      </c>
      <c r="K66" s="254">
        <v>0</v>
      </c>
    </row>
    <row r="67" spans="1:18">
      <c r="A67" s="240" t="s">
        <v>160</v>
      </c>
      <c r="B67" s="259" t="s">
        <v>91</v>
      </c>
      <c r="C67" s="253">
        <v>91</v>
      </c>
      <c r="D67" s="253">
        <v>100</v>
      </c>
      <c r="E67" s="253">
        <v>89</v>
      </c>
      <c r="F67" s="253">
        <v>59</v>
      </c>
      <c r="G67" s="253">
        <v>55</v>
      </c>
      <c r="H67" s="253">
        <v>64</v>
      </c>
      <c r="I67" s="253">
        <v>61</v>
      </c>
      <c r="J67" s="253">
        <v>51</v>
      </c>
      <c r="K67" s="254">
        <v>-0.16393442622950818</v>
      </c>
      <c r="L67" s="41"/>
      <c r="M67" s="41"/>
      <c r="N67" s="41"/>
      <c r="O67" s="41"/>
      <c r="P67" s="41"/>
      <c r="Q67" s="41"/>
      <c r="R67" s="41"/>
    </row>
    <row r="68" spans="1:18">
      <c r="A68" s="240" t="s">
        <v>160</v>
      </c>
      <c r="B68" s="255" t="s">
        <v>238</v>
      </c>
      <c r="C68" s="253">
        <v>81</v>
      </c>
      <c r="D68" s="253">
        <v>80</v>
      </c>
      <c r="E68" s="253">
        <v>71</v>
      </c>
      <c r="F68" s="253">
        <v>53</v>
      </c>
      <c r="G68" s="253">
        <v>50</v>
      </c>
      <c r="H68" s="253">
        <v>49</v>
      </c>
      <c r="I68" s="253">
        <v>50</v>
      </c>
      <c r="J68" s="253">
        <v>41</v>
      </c>
      <c r="K68" s="254">
        <v>-0.18</v>
      </c>
    </row>
    <row r="69" spans="1:18">
      <c r="A69" s="240" t="s">
        <v>160</v>
      </c>
      <c r="B69" s="255" t="s">
        <v>239</v>
      </c>
      <c r="C69" s="253">
        <v>10</v>
      </c>
      <c r="D69" s="253">
        <v>20</v>
      </c>
      <c r="E69" s="253">
        <v>18</v>
      </c>
      <c r="F69" s="253">
        <v>6</v>
      </c>
      <c r="G69" s="253">
        <v>5</v>
      </c>
      <c r="H69" s="253">
        <v>15</v>
      </c>
      <c r="I69" s="253">
        <v>11</v>
      </c>
      <c r="J69" s="253">
        <v>10</v>
      </c>
      <c r="K69" s="254">
        <v>-9.0909090909090912E-2</v>
      </c>
    </row>
    <row r="70" spans="1:18">
      <c r="A70" s="240" t="s">
        <v>160</v>
      </c>
      <c r="B70" s="255" t="s">
        <v>240</v>
      </c>
      <c r="C70" s="253">
        <v>0</v>
      </c>
      <c r="D70" s="253">
        <v>0</v>
      </c>
      <c r="E70" s="253">
        <v>0</v>
      </c>
      <c r="F70" s="253">
        <v>0</v>
      </c>
      <c r="G70" s="253">
        <v>0</v>
      </c>
      <c r="H70" s="253">
        <v>0</v>
      </c>
      <c r="I70" s="253">
        <v>0</v>
      </c>
      <c r="J70" s="261">
        <v>0</v>
      </c>
      <c r="K70" s="254">
        <v>0</v>
      </c>
    </row>
    <row r="71" spans="1:18">
      <c r="A71" s="240" t="s">
        <v>170</v>
      </c>
      <c r="B71" s="259" t="s">
        <v>91</v>
      </c>
      <c r="C71" s="253">
        <v>148</v>
      </c>
      <c r="D71" s="253">
        <v>135</v>
      </c>
      <c r="E71" s="253">
        <v>145</v>
      </c>
      <c r="F71" s="253">
        <v>115</v>
      </c>
      <c r="G71" s="253">
        <v>104</v>
      </c>
      <c r="H71" s="253">
        <v>152</v>
      </c>
      <c r="I71" s="253">
        <v>142</v>
      </c>
      <c r="J71" s="253">
        <v>112</v>
      </c>
      <c r="K71" s="254">
        <v>-0.21126760563380281</v>
      </c>
      <c r="L71" s="41"/>
      <c r="M71" s="41"/>
      <c r="N71" s="41"/>
      <c r="O71" s="41"/>
      <c r="P71" s="41"/>
      <c r="Q71" s="41"/>
      <c r="R71" s="41"/>
    </row>
    <row r="72" spans="1:18">
      <c r="A72" s="240" t="s">
        <v>170</v>
      </c>
      <c r="B72" s="255" t="s">
        <v>238</v>
      </c>
      <c r="C72" s="253">
        <v>121</v>
      </c>
      <c r="D72" s="253">
        <v>101</v>
      </c>
      <c r="E72" s="253">
        <v>119</v>
      </c>
      <c r="F72" s="253">
        <v>88</v>
      </c>
      <c r="G72" s="253">
        <v>85</v>
      </c>
      <c r="H72" s="253">
        <v>112</v>
      </c>
      <c r="I72" s="253">
        <v>123</v>
      </c>
      <c r="J72" s="253">
        <v>84</v>
      </c>
      <c r="K72" s="254">
        <v>-0.31707317073170732</v>
      </c>
    </row>
    <row r="73" spans="1:18">
      <c r="A73" s="240" t="s">
        <v>170</v>
      </c>
      <c r="B73" s="255" t="s">
        <v>239</v>
      </c>
      <c r="C73" s="253">
        <v>26</v>
      </c>
      <c r="D73" s="253">
        <v>30</v>
      </c>
      <c r="E73" s="253">
        <v>23</v>
      </c>
      <c r="F73" s="253">
        <v>27</v>
      </c>
      <c r="G73" s="253">
        <v>19</v>
      </c>
      <c r="H73" s="253">
        <v>39</v>
      </c>
      <c r="I73" s="253">
        <v>13</v>
      </c>
      <c r="J73" s="253">
        <v>26</v>
      </c>
      <c r="K73" s="254">
        <v>1</v>
      </c>
    </row>
    <row r="74" spans="1:18">
      <c r="A74" s="240" t="s">
        <v>170</v>
      </c>
      <c r="B74" s="255" t="s">
        <v>240</v>
      </c>
      <c r="C74" s="253">
        <v>1</v>
      </c>
      <c r="D74" s="253">
        <v>4</v>
      </c>
      <c r="E74" s="253">
        <v>3</v>
      </c>
      <c r="F74" s="253"/>
      <c r="G74" s="253"/>
      <c r="H74" s="253">
        <v>1</v>
      </c>
      <c r="I74" s="253">
        <v>6</v>
      </c>
      <c r="J74" s="253">
        <v>2</v>
      </c>
      <c r="K74" s="254">
        <v>-0.66666666666666663</v>
      </c>
    </row>
    <row r="75" spans="1:18">
      <c r="A75" s="240" t="s">
        <v>171</v>
      </c>
      <c r="B75" s="259" t="s">
        <v>91</v>
      </c>
      <c r="C75" s="253">
        <v>57</v>
      </c>
      <c r="D75" s="253">
        <v>81</v>
      </c>
      <c r="E75" s="253">
        <v>77</v>
      </c>
      <c r="F75" s="253">
        <v>48</v>
      </c>
      <c r="G75" s="253">
        <v>86</v>
      </c>
      <c r="H75" s="253">
        <v>75</v>
      </c>
      <c r="I75" s="253">
        <v>64</v>
      </c>
      <c r="J75" s="253">
        <v>78</v>
      </c>
      <c r="K75" s="254">
        <v>0.21875</v>
      </c>
      <c r="L75" s="41"/>
      <c r="M75" s="41"/>
      <c r="N75" s="41"/>
      <c r="O75" s="41"/>
      <c r="P75" s="41"/>
      <c r="Q75" s="41"/>
      <c r="R75" s="41"/>
    </row>
    <row r="76" spans="1:18">
      <c r="A76" s="240" t="s">
        <v>171</v>
      </c>
      <c r="B76" s="255" t="s">
        <v>238</v>
      </c>
      <c r="C76" s="253">
        <v>56</v>
      </c>
      <c r="D76" s="253">
        <v>75</v>
      </c>
      <c r="E76" s="253">
        <v>73</v>
      </c>
      <c r="F76" s="253">
        <v>46</v>
      </c>
      <c r="G76" s="253">
        <v>79</v>
      </c>
      <c r="H76" s="253">
        <v>70</v>
      </c>
      <c r="I76" s="253">
        <v>57</v>
      </c>
      <c r="J76" s="253">
        <v>70</v>
      </c>
      <c r="K76" s="254">
        <v>0.22807017543859648</v>
      </c>
    </row>
    <row r="77" spans="1:18">
      <c r="A77" s="240" t="s">
        <v>171</v>
      </c>
      <c r="B77" s="255" t="s">
        <v>239</v>
      </c>
      <c r="C77" s="253">
        <v>1</v>
      </c>
      <c r="D77" s="253">
        <v>6</v>
      </c>
      <c r="E77" s="253">
        <v>4</v>
      </c>
      <c r="F77" s="253">
        <v>2</v>
      </c>
      <c r="G77" s="253">
        <v>7</v>
      </c>
      <c r="H77" s="253">
        <v>5</v>
      </c>
      <c r="I77" s="253">
        <v>7</v>
      </c>
      <c r="J77" s="253">
        <v>8</v>
      </c>
      <c r="K77" s="254">
        <v>0.14285714285714285</v>
      </c>
    </row>
    <row r="78" spans="1:18">
      <c r="A78" s="240" t="s">
        <v>171</v>
      </c>
      <c r="B78" s="255" t="s">
        <v>240</v>
      </c>
      <c r="C78" s="253">
        <v>0</v>
      </c>
      <c r="D78" s="253">
        <v>0</v>
      </c>
      <c r="E78" s="253">
        <v>0</v>
      </c>
      <c r="F78" s="253">
        <v>0</v>
      </c>
      <c r="G78" s="253">
        <v>0</v>
      </c>
      <c r="H78" s="253">
        <v>0</v>
      </c>
      <c r="I78" s="253">
        <v>0</v>
      </c>
      <c r="J78" s="261">
        <v>0</v>
      </c>
      <c r="K78" s="254">
        <v>0</v>
      </c>
    </row>
    <row r="79" spans="1:18">
      <c r="A79" s="240" t="s">
        <v>173</v>
      </c>
      <c r="B79" s="259" t="s">
        <v>91</v>
      </c>
      <c r="C79" s="253">
        <v>132</v>
      </c>
      <c r="D79" s="253">
        <v>155</v>
      </c>
      <c r="E79" s="253">
        <v>119</v>
      </c>
      <c r="F79" s="253">
        <v>84</v>
      </c>
      <c r="G79" s="253">
        <v>92</v>
      </c>
      <c r="H79" s="253">
        <v>131</v>
      </c>
      <c r="I79" s="253">
        <v>101</v>
      </c>
      <c r="J79" s="253">
        <v>118</v>
      </c>
      <c r="K79" s="254">
        <v>0.16831683168316833</v>
      </c>
      <c r="L79" s="41"/>
      <c r="M79" s="41"/>
      <c r="N79" s="41"/>
      <c r="O79" s="41"/>
      <c r="P79" s="41"/>
      <c r="Q79" s="41"/>
      <c r="R79" s="41"/>
    </row>
    <row r="80" spans="1:18">
      <c r="A80" s="240" t="s">
        <v>173</v>
      </c>
      <c r="B80" s="255" t="s">
        <v>238</v>
      </c>
      <c r="C80" s="253">
        <v>122</v>
      </c>
      <c r="D80" s="253">
        <v>151</v>
      </c>
      <c r="E80" s="253">
        <v>110</v>
      </c>
      <c r="F80" s="253">
        <v>74</v>
      </c>
      <c r="G80" s="253">
        <v>81</v>
      </c>
      <c r="H80" s="253">
        <v>115</v>
      </c>
      <c r="I80" s="253">
        <v>96</v>
      </c>
      <c r="J80" s="253">
        <v>106</v>
      </c>
      <c r="K80" s="254">
        <v>0.10416666666666667</v>
      </c>
    </row>
    <row r="81" spans="1:18">
      <c r="A81" s="240" t="s">
        <v>173</v>
      </c>
      <c r="B81" s="255" t="s">
        <v>239</v>
      </c>
      <c r="C81" s="253">
        <v>10</v>
      </c>
      <c r="D81" s="253">
        <v>4</v>
      </c>
      <c r="E81" s="253">
        <v>9</v>
      </c>
      <c r="F81" s="253">
        <v>10</v>
      </c>
      <c r="G81" s="253">
        <v>11</v>
      </c>
      <c r="H81" s="253">
        <v>16</v>
      </c>
      <c r="I81" s="253">
        <v>5</v>
      </c>
      <c r="J81" s="253">
        <v>12</v>
      </c>
      <c r="K81" s="254">
        <v>1.4</v>
      </c>
    </row>
    <row r="82" spans="1:18">
      <c r="A82" s="240" t="s">
        <v>173</v>
      </c>
      <c r="B82" s="255" t="s">
        <v>240</v>
      </c>
      <c r="C82" s="253">
        <v>0</v>
      </c>
      <c r="D82" s="253">
        <v>0</v>
      </c>
      <c r="E82" s="253">
        <v>0</v>
      </c>
      <c r="F82" s="253">
        <v>0</v>
      </c>
      <c r="G82" s="253">
        <v>0</v>
      </c>
      <c r="H82" s="253">
        <v>0</v>
      </c>
      <c r="I82" s="253">
        <v>0</v>
      </c>
      <c r="J82" s="261">
        <v>0</v>
      </c>
      <c r="K82" s="254">
        <v>0</v>
      </c>
    </row>
    <row r="83" spans="1:18">
      <c r="A83" s="240" t="s">
        <v>174</v>
      </c>
      <c r="B83" s="259" t="s">
        <v>91</v>
      </c>
      <c r="C83" s="253">
        <v>107</v>
      </c>
      <c r="D83" s="253">
        <v>111</v>
      </c>
      <c r="E83" s="253">
        <v>106</v>
      </c>
      <c r="F83" s="253">
        <v>77</v>
      </c>
      <c r="G83" s="253">
        <v>109</v>
      </c>
      <c r="H83" s="253">
        <v>103</v>
      </c>
      <c r="I83" s="253">
        <v>122</v>
      </c>
      <c r="J83" s="253">
        <v>83</v>
      </c>
      <c r="K83" s="254">
        <v>-0.31967213114754101</v>
      </c>
      <c r="L83" s="41"/>
      <c r="M83" s="41"/>
      <c r="N83" s="41"/>
      <c r="O83" s="41"/>
      <c r="P83" s="41"/>
      <c r="Q83" s="41"/>
      <c r="R83" s="41"/>
    </row>
    <row r="84" spans="1:18">
      <c r="A84" s="240" t="s">
        <v>174</v>
      </c>
      <c r="B84" s="255" t="s">
        <v>238</v>
      </c>
      <c r="C84" s="253">
        <v>96</v>
      </c>
      <c r="D84" s="253">
        <v>97</v>
      </c>
      <c r="E84" s="253">
        <v>89</v>
      </c>
      <c r="F84" s="253">
        <v>66</v>
      </c>
      <c r="G84" s="253">
        <v>88</v>
      </c>
      <c r="H84" s="253">
        <v>89</v>
      </c>
      <c r="I84" s="253">
        <v>104</v>
      </c>
      <c r="J84" s="253">
        <v>75</v>
      </c>
      <c r="K84" s="254">
        <v>-0.27884615384615385</v>
      </c>
    </row>
    <row r="85" spans="1:18">
      <c r="A85" s="240" t="s">
        <v>174</v>
      </c>
      <c r="B85" s="255" t="s">
        <v>239</v>
      </c>
      <c r="C85" s="253">
        <v>11</v>
      </c>
      <c r="D85" s="253">
        <v>14</v>
      </c>
      <c r="E85" s="253">
        <v>17</v>
      </c>
      <c r="F85" s="253">
        <v>11</v>
      </c>
      <c r="G85" s="253">
        <v>21</v>
      </c>
      <c r="H85" s="253">
        <v>14</v>
      </c>
      <c r="I85" s="253">
        <v>18</v>
      </c>
      <c r="J85" s="253">
        <v>8</v>
      </c>
      <c r="K85" s="254">
        <v>-0.55555555555555558</v>
      </c>
    </row>
    <row r="86" spans="1:18">
      <c r="A86" s="240" t="s">
        <v>174</v>
      </c>
      <c r="B86" s="255" t="s">
        <v>240</v>
      </c>
      <c r="C86" s="253">
        <v>0</v>
      </c>
      <c r="D86" s="253">
        <v>0</v>
      </c>
      <c r="E86" s="253">
        <v>0</v>
      </c>
      <c r="F86" s="253">
        <v>0</v>
      </c>
      <c r="G86" s="253">
        <v>0</v>
      </c>
      <c r="H86" s="253">
        <v>0</v>
      </c>
      <c r="I86" s="253">
        <v>0</v>
      </c>
      <c r="J86" s="261">
        <v>0</v>
      </c>
      <c r="K86" s="254">
        <v>0</v>
      </c>
    </row>
    <row r="87" spans="1:18">
      <c r="A87" s="240" t="s">
        <v>178</v>
      </c>
      <c r="B87" s="259" t="s">
        <v>91</v>
      </c>
      <c r="C87" s="253">
        <v>126</v>
      </c>
      <c r="D87" s="253">
        <v>111</v>
      </c>
      <c r="E87" s="253">
        <v>164</v>
      </c>
      <c r="F87" s="253">
        <v>147</v>
      </c>
      <c r="G87" s="253">
        <v>162</v>
      </c>
      <c r="H87" s="253">
        <v>168</v>
      </c>
      <c r="I87" s="253">
        <v>154</v>
      </c>
      <c r="J87" s="253">
        <v>156</v>
      </c>
      <c r="K87" s="254">
        <v>1.2987012987012988E-2</v>
      </c>
      <c r="L87" s="41"/>
      <c r="M87" s="41"/>
      <c r="N87" s="41"/>
      <c r="O87" s="41"/>
      <c r="P87" s="41"/>
      <c r="Q87" s="41"/>
      <c r="R87" s="41"/>
    </row>
    <row r="88" spans="1:18">
      <c r="A88" s="240" t="s">
        <v>178</v>
      </c>
      <c r="B88" s="255" t="s">
        <v>238</v>
      </c>
      <c r="C88" s="253">
        <v>105</v>
      </c>
      <c r="D88" s="253">
        <v>77</v>
      </c>
      <c r="E88" s="253">
        <v>135</v>
      </c>
      <c r="F88" s="253">
        <v>115</v>
      </c>
      <c r="G88" s="253">
        <v>135</v>
      </c>
      <c r="H88" s="253">
        <v>135</v>
      </c>
      <c r="I88" s="253">
        <v>121</v>
      </c>
      <c r="J88" s="253">
        <v>129</v>
      </c>
      <c r="K88" s="254">
        <v>6.6115702479338845E-2</v>
      </c>
    </row>
    <row r="89" spans="1:18">
      <c r="A89" s="240" t="s">
        <v>178</v>
      </c>
      <c r="B89" s="255" t="s">
        <v>239</v>
      </c>
      <c r="C89" s="253">
        <v>21</v>
      </c>
      <c r="D89" s="253">
        <v>34</v>
      </c>
      <c r="E89" s="253">
        <v>29</v>
      </c>
      <c r="F89" s="253">
        <v>32</v>
      </c>
      <c r="G89" s="253">
        <v>27</v>
      </c>
      <c r="H89" s="253">
        <v>33</v>
      </c>
      <c r="I89" s="253">
        <v>33</v>
      </c>
      <c r="J89" s="253">
        <v>27</v>
      </c>
      <c r="K89" s="254">
        <v>-0.18181818181818182</v>
      </c>
    </row>
    <row r="90" spans="1:18">
      <c r="A90" s="240" t="s">
        <v>178</v>
      </c>
      <c r="B90" s="255" t="s">
        <v>240</v>
      </c>
      <c r="C90" s="253">
        <v>0</v>
      </c>
      <c r="D90" s="253">
        <v>0</v>
      </c>
      <c r="E90" s="253">
        <v>0</v>
      </c>
      <c r="F90" s="253">
        <v>0</v>
      </c>
      <c r="G90" s="253">
        <v>0</v>
      </c>
      <c r="H90" s="253">
        <v>0</v>
      </c>
      <c r="I90" s="253">
        <v>0</v>
      </c>
      <c r="J90" s="261">
        <v>0</v>
      </c>
      <c r="K90" s="254">
        <v>0</v>
      </c>
    </row>
    <row r="91" spans="1:18">
      <c r="A91" s="240" t="s">
        <v>179</v>
      </c>
      <c r="B91" s="259" t="s">
        <v>91</v>
      </c>
      <c r="C91" s="253">
        <v>162</v>
      </c>
      <c r="D91" s="253">
        <v>144</v>
      </c>
      <c r="E91" s="253">
        <v>141</v>
      </c>
      <c r="F91" s="253">
        <v>118</v>
      </c>
      <c r="G91" s="253">
        <v>122</v>
      </c>
      <c r="H91" s="253">
        <v>111</v>
      </c>
      <c r="I91" s="253">
        <v>118</v>
      </c>
      <c r="J91" s="253">
        <v>147</v>
      </c>
      <c r="K91" s="254">
        <v>0.24576271186440679</v>
      </c>
      <c r="L91" s="41"/>
      <c r="M91" s="41"/>
      <c r="N91" s="41"/>
      <c r="O91" s="41"/>
      <c r="P91" s="41"/>
      <c r="Q91" s="41"/>
      <c r="R91" s="41"/>
    </row>
    <row r="92" spans="1:18">
      <c r="A92" s="240" t="s">
        <v>179</v>
      </c>
      <c r="B92" s="255" t="s">
        <v>238</v>
      </c>
      <c r="C92" s="253">
        <v>136</v>
      </c>
      <c r="D92" s="253">
        <v>115</v>
      </c>
      <c r="E92" s="253">
        <v>119</v>
      </c>
      <c r="F92" s="253">
        <v>100</v>
      </c>
      <c r="G92" s="253">
        <v>97</v>
      </c>
      <c r="H92" s="253">
        <v>90</v>
      </c>
      <c r="I92" s="253">
        <v>103</v>
      </c>
      <c r="J92" s="253">
        <v>126</v>
      </c>
      <c r="K92" s="254">
        <v>0.22330097087378642</v>
      </c>
    </row>
    <row r="93" spans="1:18">
      <c r="A93" s="240" t="s">
        <v>179</v>
      </c>
      <c r="B93" s="255" t="s">
        <v>239</v>
      </c>
      <c r="C93" s="253">
        <v>26</v>
      </c>
      <c r="D93" s="253">
        <v>29</v>
      </c>
      <c r="E93" s="253">
        <v>22</v>
      </c>
      <c r="F93" s="253">
        <v>18</v>
      </c>
      <c r="G93" s="253">
        <v>25</v>
      </c>
      <c r="H93" s="253">
        <v>21</v>
      </c>
      <c r="I93" s="253">
        <v>15</v>
      </c>
      <c r="J93" s="253">
        <v>21</v>
      </c>
      <c r="K93" s="254">
        <v>0.4</v>
      </c>
    </row>
    <row r="94" spans="1:18">
      <c r="A94" s="240" t="s">
        <v>179</v>
      </c>
      <c r="B94" s="255" t="s">
        <v>240</v>
      </c>
      <c r="C94" s="253">
        <v>0</v>
      </c>
      <c r="D94" s="253">
        <v>0</v>
      </c>
      <c r="E94" s="253">
        <v>0</v>
      </c>
      <c r="F94" s="253">
        <v>0</v>
      </c>
      <c r="G94" s="253">
        <v>0</v>
      </c>
      <c r="H94" s="253">
        <v>0</v>
      </c>
      <c r="I94" s="253">
        <v>0</v>
      </c>
      <c r="J94" s="261">
        <v>0</v>
      </c>
      <c r="K94" s="254">
        <v>0</v>
      </c>
    </row>
    <row r="95" spans="1:18">
      <c r="A95" s="240" t="s">
        <v>180</v>
      </c>
      <c r="B95" s="259" t="s">
        <v>91</v>
      </c>
      <c r="C95" s="253">
        <v>130</v>
      </c>
      <c r="D95" s="253">
        <v>126</v>
      </c>
      <c r="E95" s="253">
        <v>121</v>
      </c>
      <c r="F95" s="253">
        <v>100</v>
      </c>
      <c r="G95" s="253">
        <v>99</v>
      </c>
      <c r="H95" s="253">
        <v>121</v>
      </c>
      <c r="I95" s="253">
        <v>97</v>
      </c>
      <c r="J95" s="253">
        <v>118</v>
      </c>
      <c r="K95" s="254">
        <v>0.21649484536082475</v>
      </c>
      <c r="L95" s="41"/>
      <c r="M95" s="41"/>
      <c r="N95" s="41"/>
      <c r="O95" s="41"/>
      <c r="P95" s="41"/>
      <c r="Q95" s="41"/>
      <c r="R95" s="41"/>
    </row>
    <row r="96" spans="1:18">
      <c r="A96" s="240" t="s">
        <v>180</v>
      </c>
      <c r="B96" s="255" t="s">
        <v>238</v>
      </c>
      <c r="C96" s="253">
        <v>89</v>
      </c>
      <c r="D96" s="253">
        <v>91</v>
      </c>
      <c r="E96" s="253">
        <v>91</v>
      </c>
      <c r="F96" s="253">
        <v>76</v>
      </c>
      <c r="G96" s="253">
        <v>78</v>
      </c>
      <c r="H96" s="253">
        <v>94</v>
      </c>
      <c r="I96" s="253">
        <v>74</v>
      </c>
      <c r="J96" s="253">
        <v>88</v>
      </c>
      <c r="K96" s="254">
        <v>0.1891891891891892</v>
      </c>
    </row>
    <row r="97" spans="1:18">
      <c r="A97" s="240" t="s">
        <v>180</v>
      </c>
      <c r="B97" s="255" t="s">
        <v>239</v>
      </c>
      <c r="C97" s="253">
        <v>34</v>
      </c>
      <c r="D97" s="253">
        <v>26</v>
      </c>
      <c r="E97" s="253">
        <v>21</v>
      </c>
      <c r="F97" s="253">
        <v>23</v>
      </c>
      <c r="G97" s="253">
        <v>19</v>
      </c>
      <c r="H97" s="253">
        <v>22</v>
      </c>
      <c r="I97" s="253">
        <v>20</v>
      </c>
      <c r="J97" s="253">
        <v>30</v>
      </c>
      <c r="K97" s="254">
        <v>0.5</v>
      </c>
    </row>
    <row r="98" spans="1:18">
      <c r="A98" s="240" t="s">
        <v>180</v>
      </c>
      <c r="B98" s="255" t="s">
        <v>240</v>
      </c>
      <c r="C98" s="253">
        <v>7</v>
      </c>
      <c r="D98" s="253">
        <v>9</v>
      </c>
      <c r="E98" s="253">
        <v>9</v>
      </c>
      <c r="F98" s="253">
        <v>1</v>
      </c>
      <c r="G98" s="253">
        <v>2</v>
      </c>
      <c r="H98" s="253">
        <v>5</v>
      </c>
      <c r="I98" s="253">
        <v>3</v>
      </c>
      <c r="J98" s="253">
        <v>0</v>
      </c>
      <c r="K98" s="254">
        <v>-1</v>
      </c>
    </row>
    <row r="99" spans="1:18">
      <c r="A99" s="240" t="s">
        <v>184</v>
      </c>
      <c r="B99" s="259" t="s">
        <v>91</v>
      </c>
      <c r="C99" s="253">
        <v>138</v>
      </c>
      <c r="D99" s="253">
        <v>118</v>
      </c>
      <c r="E99" s="253">
        <v>110</v>
      </c>
      <c r="F99" s="253">
        <v>81</v>
      </c>
      <c r="G99" s="253">
        <v>100</v>
      </c>
      <c r="H99" s="253">
        <v>117</v>
      </c>
      <c r="I99" s="253">
        <v>111</v>
      </c>
      <c r="J99" s="253">
        <v>98</v>
      </c>
      <c r="K99" s="254">
        <v>-0.11711711711711711</v>
      </c>
      <c r="L99" s="41"/>
      <c r="M99" s="41"/>
      <c r="N99" s="41"/>
      <c r="O99" s="41"/>
      <c r="P99" s="41"/>
      <c r="Q99" s="41"/>
      <c r="R99" s="41"/>
    </row>
    <row r="100" spans="1:18">
      <c r="A100" s="240" t="s">
        <v>184</v>
      </c>
      <c r="B100" s="255" t="s">
        <v>238</v>
      </c>
      <c r="C100" s="253">
        <v>113</v>
      </c>
      <c r="D100" s="253">
        <v>86</v>
      </c>
      <c r="E100" s="253">
        <v>79</v>
      </c>
      <c r="F100" s="253">
        <v>53</v>
      </c>
      <c r="G100" s="253">
        <v>73</v>
      </c>
      <c r="H100" s="253">
        <v>79</v>
      </c>
      <c r="I100" s="253">
        <v>84</v>
      </c>
      <c r="J100" s="253">
        <v>81</v>
      </c>
      <c r="K100" s="254">
        <v>-3.5714285714285712E-2</v>
      </c>
    </row>
    <row r="101" spans="1:18">
      <c r="A101" s="240" t="s">
        <v>184</v>
      </c>
      <c r="B101" s="255" t="s">
        <v>239</v>
      </c>
      <c r="C101" s="253">
        <v>25</v>
      </c>
      <c r="D101" s="253">
        <v>32</v>
      </c>
      <c r="E101" s="253">
        <v>31</v>
      </c>
      <c r="F101" s="253">
        <v>28</v>
      </c>
      <c r="G101" s="253">
        <v>27</v>
      </c>
      <c r="H101" s="253">
        <v>38</v>
      </c>
      <c r="I101" s="253">
        <v>27</v>
      </c>
      <c r="J101" s="253">
        <v>17</v>
      </c>
      <c r="K101" s="254">
        <v>-0.37037037037037035</v>
      </c>
    </row>
    <row r="102" spans="1:18">
      <c r="A102" s="240" t="s">
        <v>184</v>
      </c>
      <c r="B102" s="255" t="s">
        <v>240</v>
      </c>
      <c r="C102" s="253">
        <v>0</v>
      </c>
      <c r="D102" s="253">
        <v>0</v>
      </c>
      <c r="E102" s="253">
        <v>0</v>
      </c>
      <c r="F102" s="253">
        <v>0</v>
      </c>
      <c r="G102" s="253">
        <v>0</v>
      </c>
      <c r="H102" s="253">
        <v>0</v>
      </c>
      <c r="I102" s="253">
        <v>0</v>
      </c>
      <c r="J102" s="261">
        <v>0</v>
      </c>
      <c r="K102" s="254">
        <v>0</v>
      </c>
    </row>
    <row r="103" spans="1:18">
      <c r="A103" s="240" t="s">
        <v>185</v>
      </c>
      <c r="B103" s="259" t="s">
        <v>91</v>
      </c>
      <c r="C103" s="253">
        <v>69</v>
      </c>
      <c r="D103" s="253">
        <v>71</v>
      </c>
      <c r="E103" s="253">
        <v>56</v>
      </c>
      <c r="F103" s="253">
        <v>47</v>
      </c>
      <c r="G103" s="253">
        <v>42</v>
      </c>
      <c r="H103" s="253">
        <v>62</v>
      </c>
      <c r="I103" s="253">
        <v>51</v>
      </c>
      <c r="J103" s="253">
        <v>55</v>
      </c>
      <c r="K103" s="254">
        <v>7.8431372549019607E-2</v>
      </c>
      <c r="L103" s="41"/>
      <c r="M103" s="41"/>
      <c r="N103" s="41"/>
      <c r="O103" s="41"/>
      <c r="P103" s="41"/>
      <c r="Q103" s="41"/>
      <c r="R103" s="41"/>
    </row>
    <row r="104" spans="1:18">
      <c r="A104" s="240" t="s">
        <v>185</v>
      </c>
      <c r="B104" s="255" t="s">
        <v>238</v>
      </c>
      <c r="C104" s="253">
        <v>69</v>
      </c>
      <c r="D104" s="253">
        <v>71</v>
      </c>
      <c r="E104" s="253">
        <v>56</v>
      </c>
      <c r="F104" s="253">
        <v>47</v>
      </c>
      <c r="G104" s="253">
        <v>42</v>
      </c>
      <c r="H104" s="253">
        <v>62</v>
      </c>
      <c r="I104" s="253">
        <v>51</v>
      </c>
      <c r="J104" s="253">
        <v>55</v>
      </c>
      <c r="K104" s="254">
        <v>7.8431372549019607E-2</v>
      </c>
    </row>
    <row r="105" spans="1:18">
      <c r="A105" s="240" t="s">
        <v>185</v>
      </c>
      <c r="B105" s="255" t="s">
        <v>239</v>
      </c>
      <c r="C105" s="253">
        <v>0</v>
      </c>
      <c r="D105" s="253">
        <v>0</v>
      </c>
      <c r="E105" s="253">
        <v>0</v>
      </c>
      <c r="F105" s="253">
        <v>0</v>
      </c>
      <c r="G105" s="253">
        <v>0</v>
      </c>
      <c r="H105" s="253">
        <v>0</v>
      </c>
      <c r="I105" s="253">
        <v>0</v>
      </c>
      <c r="J105" s="261">
        <v>0</v>
      </c>
      <c r="K105" s="254">
        <v>0</v>
      </c>
    </row>
    <row r="106" spans="1:18">
      <c r="A106" s="240" t="s">
        <v>185</v>
      </c>
      <c r="B106" s="255" t="s">
        <v>240</v>
      </c>
      <c r="C106" s="253">
        <v>0</v>
      </c>
      <c r="D106" s="253">
        <v>0</v>
      </c>
      <c r="E106" s="253">
        <v>0</v>
      </c>
      <c r="F106" s="253">
        <v>0</v>
      </c>
      <c r="G106" s="253">
        <v>0</v>
      </c>
      <c r="H106" s="253">
        <v>0</v>
      </c>
      <c r="I106" s="253">
        <v>0</v>
      </c>
      <c r="J106" s="261">
        <v>0</v>
      </c>
      <c r="K106" s="254">
        <v>0</v>
      </c>
    </row>
    <row r="107" spans="1:18">
      <c r="A107" s="240" t="s">
        <v>186</v>
      </c>
      <c r="B107" s="259" t="s">
        <v>91</v>
      </c>
      <c r="C107" s="253">
        <v>72</v>
      </c>
      <c r="D107" s="253">
        <v>80</v>
      </c>
      <c r="E107" s="253">
        <v>91</v>
      </c>
      <c r="F107" s="253">
        <v>78</v>
      </c>
      <c r="G107" s="253">
        <v>77</v>
      </c>
      <c r="H107" s="253">
        <v>86</v>
      </c>
      <c r="I107" s="253">
        <v>68</v>
      </c>
      <c r="J107" s="253">
        <v>98</v>
      </c>
      <c r="K107" s="254">
        <v>0.44117647058823528</v>
      </c>
      <c r="L107" s="41"/>
      <c r="M107" s="41"/>
      <c r="N107" s="41"/>
      <c r="O107" s="41"/>
      <c r="P107" s="41"/>
      <c r="Q107" s="41"/>
      <c r="R107" s="41"/>
    </row>
    <row r="108" spans="1:18">
      <c r="A108" s="240" t="s">
        <v>186</v>
      </c>
      <c r="B108" s="255" t="s">
        <v>238</v>
      </c>
      <c r="C108" s="253">
        <v>56</v>
      </c>
      <c r="D108" s="253">
        <v>58</v>
      </c>
      <c r="E108" s="253">
        <v>69</v>
      </c>
      <c r="F108" s="253">
        <v>60</v>
      </c>
      <c r="G108" s="253">
        <v>63</v>
      </c>
      <c r="H108" s="253">
        <v>71</v>
      </c>
      <c r="I108" s="253">
        <v>48</v>
      </c>
      <c r="J108" s="253">
        <v>77</v>
      </c>
      <c r="K108" s="254">
        <v>0.60416666666666663</v>
      </c>
    </row>
    <row r="109" spans="1:18">
      <c r="A109" s="240" t="s">
        <v>186</v>
      </c>
      <c r="B109" s="255" t="s">
        <v>239</v>
      </c>
      <c r="C109" s="253">
        <v>11</v>
      </c>
      <c r="D109" s="253">
        <v>13</v>
      </c>
      <c r="E109" s="253">
        <v>18</v>
      </c>
      <c r="F109" s="253">
        <v>8</v>
      </c>
      <c r="G109" s="253">
        <v>11</v>
      </c>
      <c r="H109" s="253">
        <v>12</v>
      </c>
      <c r="I109" s="253">
        <v>9</v>
      </c>
      <c r="J109" s="253">
        <v>12</v>
      </c>
      <c r="K109" s="254">
        <v>0.33333333333333331</v>
      </c>
    </row>
    <row r="110" spans="1:18">
      <c r="A110" s="240" t="s">
        <v>186</v>
      </c>
      <c r="B110" s="255" t="s">
        <v>240</v>
      </c>
      <c r="C110" s="253">
        <v>5</v>
      </c>
      <c r="D110" s="253">
        <v>9</v>
      </c>
      <c r="E110" s="253">
        <v>4</v>
      </c>
      <c r="F110" s="253">
        <v>10</v>
      </c>
      <c r="G110" s="253">
        <v>3</v>
      </c>
      <c r="H110" s="253">
        <v>3</v>
      </c>
      <c r="I110" s="253">
        <v>11</v>
      </c>
      <c r="J110" s="253">
        <v>9</v>
      </c>
      <c r="K110" s="254">
        <v>-0.18181818181818182</v>
      </c>
    </row>
    <row r="111" spans="1:18">
      <c r="A111" s="240" t="s">
        <v>187</v>
      </c>
      <c r="B111" s="259" t="s">
        <v>91</v>
      </c>
      <c r="C111" s="253">
        <v>98</v>
      </c>
      <c r="D111" s="253">
        <v>125</v>
      </c>
      <c r="E111" s="253">
        <v>109</v>
      </c>
      <c r="F111" s="253">
        <v>101</v>
      </c>
      <c r="G111" s="253">
        <v>91</v>
      </c>
      <c r="H111" s="253">
        <v>116</v>
      </c>
      <c r="I111" s="253">
        <v>107</v>
      </c>
      <c r="J111" s="253">
        <v>81</v>
      </c>
      <c r="K111" s="254">
        <v>-0.24299065420560748</v>
      </c>
      <c r="L111" s="41"/>
      <c r="M111" s="41"/>
      <c r="N111" s="41"/>
      <c r="O111" s="41"/>
      <c r="P111" s="41"/>
      <c r="Q111" s="41"/>
      <c r="R111" s="41"/>
    </row>
    <row r="112" spans="1:18">
      <c r="A112" s="240" t="s">
        <v>187</v>
      </c>
      <c r="B112" s="255" t="s">
        <v>238</v>
      </c>
      <c r="C112" s="253">
        <v>84</v>
      </c>
      <c r="D112" s="253">
        <v>106</v>
      </c>
      <c r="E112" s="253">
        <v>90</v>
      </c>
      <c r="F112" s="253">
        <v>78</v>
      </c>
      <c r="G112" s="253">
        <v>78</v>
      </c>
      <c r="H112" s="253">
        <v>97</v>
      </c>
      <c r="I112" s="253">
        <v>86</v>
      </c>
      <c r="J112" s="253">
        <v>69</v>
      </c>
      <c r="K112" s="254">
        <v>-0.19767441860465115</v>
      </c>
    </row>
    <row r="113" spans="1:18">
      <c r="A113" s="240" t="s">
        <v>187</v>
      </c>
      <c r="B113" s="255" t="s">
        <v>239</v>
      </c>
      <c r="C113" s="253">
        <v>9</v>
      </c>
      <c r="D113" s="253">
        <v>12</v>
      </c>
      <c r="E113" s="253">
        <v>10</v>
      </c>
      <c r="F113" s="253">
        <v>19</v>
      </c>
      <c r="G113" s="253">
        <v>9</v>
      </c>
      <c r="H113" s="253">
        <v>9</v>
      </c>
      <c r="I113" s="253">
        <v>10</v>
      </c>
      <c r="J113" s="253">
        <v>6</v>
      </c>
      <c r="K113" s="254">
        <v>-0.4</v>
      </c>
    </row>
    <row r="114" spans="1:18">
      <c r="A114" s="240" t="s">
        <v>187</v>
      </c>
      <c r="B114" s="255" t="s">
        <v>240</v>
      </c>
      <c r="C114" s="253">
        <v>5</v>
      </c>
      <c r="D114" s="253">
        <v>7</v>
      </c>
      <c r="E114" s="253">
        <v>9</v>
      </c>
      <c r="F114" s="253">
        <v>4</v>
      </c>
      <c r="G114" s="253">
        <v>4</v>
      </c>
      <c r="H114" s="253">
        <v>10</v>
      </c>
      <c r="I114" s="253">
        <v>11</v>
      </c>
      <c r="J114" s="253">
        <v>6</v>
      </c>
      <c r="K114" s="254">
        <v>-0.45454545454545453</v>
      </c>
    </row>
    <row r="115" spans="1:18">
      <c r="A115" s="240" t="s">
        <v>188</v>
      </c>
      <c r="B115" s="259" t="s">
        <v>91</v>
      </c>
      <c r="C115" s="253">
        <v>114</v>
      </c>
      <c r="D115" s="253">
        <v>122</v>
      </c>
      <c r="E115" s="253">
        <v>117</v>
      </c>
      <c r="F115" s="253">
        <v>82</v>
      </c>
      <c r="G115" s="253">
        <v>118</v>
      </c>
      <c r="H115" s="253">
        <v>141</v>
      </c>
      <c r="I115" s="253">
        <v>135</v>
      </c>
      <c r="J115" s="253">
        <v>127</v>
      </c>
      <c r="K115" s="254">
        <v>-5.9259259259259262E-2</v>
      </c>
      <c r="L115" s="41"/>
      <c r="M115" s="41"/>
      <c r="N115" s="41"/>
      <c r="O115" s="41"/>
      <c r="P115" s="41"/>
      <c r="Q115" s="41"/>
      <c r="R115" s="41"/>
    </row>
    <row r="116" spans="1:18">
      <c r="A116" s="240" t="s">
        <v>188</v>
      </c>
      <c r="B116" s="255" t="s">
        <v>238</v>
      </c>
      <c r="C116" s="253">
        <v>77</v>
      </c>
      <c r="D116" s="253">
        <v>83</v>
      </c>
      <c r="E116" s="253">
        <v>79</v>
      </c>
      <c r="F116" s="253">
        <v>50</v>
      </c>
      <c r="G116" s="253">
        <v>79</v>
      </c>
      <c r="H116" s="253">
        <v>99</v>
      </c>
      <c r="I116" s="253">
        <v>87</v>
      </c>
      <c r="J116" s="253">
        <v>81</v>
      </c>
      <c r="K116" s="254">
        <v>-6.8965517241379309E-2</v>
      </c>
    </row>
    <row r="117" spans="1:18">
      <c r="A117" s="240" t="s">
        <v>188</v>
      </c>
      <c r="B117" s="255" t="s">
        <v>239</v>
      </c>
      <c r="C117" s="253">
        <v>35</v>
      </c>
      <c r="D117" s="253">
        <v>39</v>
      </c>
      <c r="E117" s="253">
        <v>36</v>
      </c>
      <c r="F117" s="253">
        <v>32</v>
      </c>
      <c r="G117" s="253">
        <v>37</v>
      </c>
      <c r="H117" s="253">
        <v>41</v>
      </c>
      <c r="I117" s="253">
        <v>41</v>
      </c>
      <c r="J117" s="253">
        <v>42</v>
      </c>
      <c r="K117" s="254">
        <v>2.4390243902439025E-2</v>
      </c>
    </row>
    <row r="118" spans="1:18">
      <c r="A118" s="240" t="s">
        <v>188</v>
      </c>
      <c r="B118" s="255" t="s">
        <v>240</v>
      </c>
      <c r="C118" s="253">
        <v>2</v>
      </c>
      <c r="D118" s="253"/>
      <c r="E118" s="253">
        <v>2</v>
      </c>
      <c r="F118" s="253"/>
      <c r="G118" s="253">
        <v>2</v>
      </c>
      <c r="H118" s="253">
        <v>1</v>
      </c>
      <c r="I118" s="253">
        <v>7</v>
      </c>
      <c r="J118" s="253">
        <v>4</v>
      </c>
      <c r="K118" s="254">
        <v>-0.42857142857142855</v>
      </c>
    </row>
    <row r="119" spans="1:18">
      <c r="A119" s="240" t="s">
        <v>191</v>
      </c>
      <c r="B119" s="259" t="s">
        <v>91</v>
      </c>
      <c r="C119" s="253">
        <v>50</v>
      </c>
      <c r="D119" s="253">
        <v>55</v>
      </c>
      <c r="E119" s="253">
        <v>60</v>
      </c>
      <c r="F119" s="253">
        <v>47</v>
      </c>
      <c r="G119" s="253">
        <v>56</v>
      </c>
      <c r="H119" s="253">
        <v>53</v>
      </c>
      <c r="I119" s="253">
        <v>60</v>
      </c>
      <c r="J119" s="253">
        <v>63</v>
      </c>
      <c r="K119" s="254">
        <v>0.05</v>
      </c>
      <c r="L119" s="41"/>
      <c r="M119" s="41"/>
      <c r="N119" s="41"/>
      <c r="O119" s="41"/>
      <c r="P119" s="41"/>
      <c r="Q119" s="41"/>
      <c r="R119" s="41"/>
    </row>
    <row r="120" spans="1:18">
      <c r="A120" s="240" t="s">
        <v>191</v>
      </c>
      <c r="B120" s="255" t="s">
        <v>238</v>
      </c>
      <c r="C120" s="253">
        <v>40</v>
      </c>
      <c r="D120" s="253">
        <v>46</v>
      </c>
      <c r="E120" s="253">
        <v>47</v>
      </c>
      <c r="F120" s="253">
        <v>40</v>
      </c>
      <c r="G120" s="253">
        <v>46</v>
      </c>
      <c r="H120" s="253">
        <v>48</v>
      </c>
      <c r="I120" s="253">
        <v>48</v>
      </c>
      <c r="J120" s="253">
        <v>51</v>
      </c>
      <c r="K120" s="254">
        <v>6.25E-2</v>
      </c>
    </row>
    <row r="121" spans="1:18">
      <c r="A121" s="240" t="s">
        <v>191</v>
      </c>
      <c r="B121" s="255" t="s">
        <v>239</v>
      </c>
      <c r="C121" s="253">
        <v>10</v>
      </c>
      <c r="D121" s="253">
        <v>9</v>
      </c>
      <c r="E121" s="253">
        <v>13</v>
      </c>
      <c r="F121" s="253">
        <v>7</v>
      </c>
      <c r="G121" s="253">
        <v>10</v>
      </c>
      <c r="H121" s="253">
        <v>5</v>
      </c>
      <c r="I121" s="253">
        <v>12</v>
      </c>
      <c r="J121" s="253">
        <v>12</v>
      </c>
      <c r="K121" s="254">
        <v>0</v>
      </c>
    </row>
    <row r="122" spans="1:18">
      <c r="A122" s="240" t="s">
        <v>191</v>
      </c>
      <c r="B122" s="255" t="s">
        <v>240</v>
      </c>
      <c r="C122" s="253">
        <v>0</v>
      </c>
      <c r="D122" s="253">
        <v>0</v>
      </c>
      <c r="E122" s="253">
        <v>0</v>
      </c>
      <c r="F122" s="253">
        <v>0</v>
      </c>
      <c r="G122" s="253">
        <v>0</v>
      </c>
      <c r="H122" s="253">
        <v>0</v>
      </c>
      <c r="I122" s="253">
        <v>0</v>
      </c>
      <c r="J122" s="261">
        <v>0</v>
      </c>
      <c r="K122" s="254">
        <v>0</v>
      </c>
    </row>
    <row r="123" spans="1:18">
      <c r="A123" s="240" t="s">
        <v>194</v>
      </c>
      <c r="B123" s="259" t="s">
        <v>91</v>
      </c>
      <c r="C123" s="253">
        <v>60</v>
      </c>
      <c r="D123" s="253">
        <v>77</v>
      </c>
      <c r="E123" s="253">
        <v>93</v>
      </c>
      <c r="F123" s="253">
        <v>68</v>
      </c>
      <c r="G123" s="253">
        <v>76</v>
      </c>
      <c r="H123" s="253">
        <v>86</v>
      </c>
      <c r="I123" s="253">
        <v>87</v>
      </c>
      <c r="J123" s="253">
        <v>74</v>
      </c>
      <c r="K123" s="254">
        <v>-0.14942528735632185</v>
      </c>
      <c r="L123" s="41"/>
      <c r="M123" s="41"/>
      <c r="N123" s="41"/>
      <c r="O123" s="41"/>
      <c r="P123" s="41"/>
      <c r="Q123" s="41"/>
      <c r="R123" s="41"/>
    </row>
    <row r="124" spans="1:18">
      <c r="A124" s="240" t="s">
        <v>194</v>
      </c>
      <c r="B124" s="255" t="s">
        <v>238</v>
      </c>
      <c r="C124" s="253">
        <v>50</v>
      </c>
      <c r="D124" s="253">
        <v>60</v>
      </c>
      <c r="E124" s="253">
        <v>75</v>
      </c>
      <c r="F124" s="253">
        <v>57</v>
      </c>
      <c r="G124" s="253">
        <v>63</v>
      </c>
      <c r="H124" s="253">
        <v>78</v>
      </c>
      <c r="I124" s="253">
        <v>77</v>
      </c>
      <c r="J124" s="253">
        <v>65</v>
      </c>
      <c r="K124" s="254">
        <v>-0.15584415584415584</v>
      </c>
    </row>
    <row r="125" spans="1:18">
      <c r="A125" s="240" t="s">
        <v>194</v>
      </c>
      <c r="B125" s="255" t="s">
        <v>239</v>
      </c>
      <c r="C125" s="253">
        <v>10</v>
      </c>
      <c r="D125" s="253">
        <v>17</v>
      </c>
      <c r="E125" s="253">
        <v>18</v>
      </c>
      <c r="F125" s="253">
        <v>11</v>
      </c>
      <c r="G125" s="253">
        <v>13</v>
      </c>
      <c r="H125" s="253">
        <v>8</v>
      </c>
      <c r="I125" s="253">
        <v>10</v>
      </c>
      <c r="J125" s="253">
        <v>9</v>
      </c>
      <c r="K125" s="254">
        <v>-0.1</v>
      </c>
    </row>
    <row r="126" spans="1:18">
      <c r="A126" s="240" t="s">
        <v>194</v>
      </c>
      <c r="B126" s="255" t="s">
        <v>240</v>
      </c>
      <c r="C126" s="253">
        <v>0</v>
      </c>
      <c r="D126" s="253">
        <v>0</v>
      </c>
      <c r="E126" s="253">
        <v>0</v>
      </c>
      <c r="F126" s="253">
        <v>0</v>
      </c>
      <c r="G126" s="253">
        <v>0</v>
      </c>
      <c r="H126" s="253">
        <v>0</v>
      </c>
      <c r="I126" s="253">
        <v>0</v>
      </c>
      <c r="J126" s="261">
        <v>0</v>
      </c>
      <c r="K126" s="254">
        <v>0</v>
      </c>
    </row>
    <row r="127" spans="1:18">
      <c r="A127" s="240" t="s">
        <v>195</v>
      </c>
      <c r="B127" s="259" t="s">
        <v>91</v>
      </c>
      <c r="C127" s="253">
        <v>149</v>
      </c>
      <c r="D127" s="253">
        <v>108</v>
      </c>
      <c r="E127" s="253">
        <v>135</v>
      </c>
      <c r="F127" s="253">
        <v>102</v>
      </c>
      <c r="G127" s="253">
        <v>130</v>
      </c>
      <c r="H127" s="253">
        <v>134</v>
      </c>
      <c r="I127" s="253">
        <v>99</v>
      </c>
      <c r="J127" s="253">
        <v>107</v>
      </c>
      <c r="K127" s="254">
        <v>8.0808080808080815E-2</v>
      </c>
      <c r="L127" s="41"/>
      <c r="M127" s="41"/>
      <c r="N127" s="41"/>
      <c r="O127" s="41"/>
      <c r="P127" s="41"/>
      <c r="Q127" s="41"/>
      <c r="R127" s="41"/>
    </row>
    <row r="128" spans="1:18">
      <c r="A128" s="240" t="s">
        <v>195</v>
      </c>
      <c r="B128" s="255" t="s">
        <v>238</v>
      </c>
      <c r="C128" s="253">
        <v>130</v>
      </c>
      <c r="D128" s="253">
        <v>91</v>
      </c>
      <c r="E128" s="253">
        <v>113</v>
      </c>
      <c r="F128" s="253">
        <v>81</v>
      </c>
      <c r="G128" s="253">
        <v>113</v>
      </c>
      <c r="H128" s="253">
        <v>117</v>
      </c>
      <c r="I128" s="253">
        <v>80</v>
      </c>
      <c r="J128" s="253">
        <v>85</v>
      </c>
      <c r="K128" s="254">
        <v>6.25E-2</v>
      </c>
    </row>
    <row r="129" spans="1:18">
      <c r="A129" s="240" t="s">
        <v>195</v>
      </c>
      <c r="B129" s="255" t="s">
        <v>239</v>
      </c>
      <c r="C129" s="253">
        <v>19</v>
      </c>
      <c r="D129" s="253">
        <v>17</v>
      </c>
      <c r="E129" s="253">
        <v>22</v>
      </c>
      <c r="F129" s="253">
        <v>21</v>
      </c>
      <c r="G129" s="253">
        <v>17</v>
      </c>
      <c r="H129" s="253">
        <v>17</v>
      </c>
      <c r="I129" s="253">
        <v>19</v>
      </c>
      <c r="J129" s="253">
        <v>22</v>
      </c>
      <c r="K129" s="254">
        <v>0.15789473684210525</v>
      </c>
    </row>
    <row r="130" spans="1:18">
      <c r="A130" s="240" t="s">
        <v>195</v>
      </c>
      <c r="B130" s="255" t="s">
        <v>240</v>
      </c>
      <c r="C130" s="253">
        <v>0</v>
      </c>
      <c r="D130" s="253">
        <v>0</v>
      </c>
      <c r="E130" s="253">
        <v>0</v>
      </c>
      <c r="F130" s="253">
        <v>0</v>
      </c>
      <c r="G130" s="253">
        <v>0</v>
      </c>
      <c r="H130" s="253">
        <v>0</v>
      </c>
      <c r="I130" s="253">
        <v>0</v>
      </c>
      <c r="J130" s="261">
        <v>0</v>
      </c>
      <c r="K130" s="254">
        <v>0</v>
      </c>
    </row>
    <row r="131" spans="1:18">
      <c r="A131" s="240" t="s">
        <v>196</v>
      </c>
      <c r="B131" s="259" t="s">
        <v>91</v>
      </c>
      <c r="C131" s="253">
        <v>81</v>
      </c>
      <c r="D131" s="253">
        <v>104</v>
      </c>
      <c r="E131" s="253">
        <v>100</v>
      </c>
      <c r="F131" s="253">
        <v>85</v>
      </c>
      <c r="G131" s="253">
        <v>79</v>
      </c>
      <c r="H131" s="253">
        <v>96</v>
      </c>
      <c r="I131" s="253">
        <v>98</v>
      </c>
      <c r="J131" s="253">
        <v>81</v>
      </c>
      <c r="K131" s="254">
        <v>-0.17346938775510204</v>
      </c>
      <c r="L131" s="41"/>
      <c r="M131" s="41"/>
      <c r="N131" s="41"/>
      <c r="O131" s="41"/>
      <c r="P131" s="41"/>
      <c r="Q131" s="41"/>
      <c r="R131" s="41"/>
    </row>
    <row r="132" spans="1:18">
      <c r="A132" s="240" t="s">
        <v>196</v>
      </c>
      <c r="B132" s="255" t="s">
        <v>238</v>
      </c>
      <c r="C132" s="253">
        <v>66</v>
      </c>
      <c r="D132" s="253">
        <v>76</v>
      </c>
      <c r="E132" s="253">
        <v>73</v>
      </c>
      <c r="F132" s="253">
        <v>69</v>
      </c>
      <c r="G132" s="253">
        <v>62</v>
      </c>
      <c r="H132" s="253">
        <v>75</v>
      </c>
      <c r="I132" s="253">
        <v>77</v>
      </c>
      <c r="J132" s="253">
        <v>57</v>
      </c>
      <c r="K132" s="254">
        <v>-0.25974025974025972</v>
      </c>
    </row>
    <row r="133" spans="1:18">
      <c r="A133" s="240" t="s">
        <v>196</v>
      </c>
      <c r="B133" s="255" t="s">
        <v>239</v>
      </c>
      <c r="C133" s="253">
        <v>15</v>
      </c>
      <c r="D133" s="253">
        <v>26</v>
      </c>
      <c r="E133" s="253">
        <v>25</v>
      </c>
      <c r="F133" s="253">
        <v>16</v>
      </c>
      <c r="G133" s="253">
        <v>16</v>
      </c>
      <c r="H133" s="253">
        <v>18</v>
      </c>
      <c r="I133" s="253">
        <v>20</v>
      </c>
      <c r="J133" s="253">
        <v>23</v>
      </c>
      <c r="K133" s="254">
        <v>0.15</v>
      </c>
    </row>
    <row r="134" spans="1:18">
      <c r="A134" s="240" t="s">
        <v>196</v>
      </c>
      <c r="B134" s="255" t="s">
        <v>240</v>
      </c>
      <c r="C134" s="253"/>
      <c r="D134" s="253">
        <v>2</v>
      </c>
      <c r="E134" s="253">
        <v>2</v>
      </c>
      <c r="F134" s="253"/>
      <c r="G134" s="253">
        <v>1</v>
      </c>
      <c r="H134" s="253">
        <v>3</v>
      </c>
      <c r="I134" s="253">
        <v>1</v>
      </c>
      <c r="J134" s="253">
        <v>1</v>
      </c>
      <c r="K134" s="254">
        <v>0</v>
      </c>
    </row>
    <row r="135" spans="1:18">
      <c r="A135" s="240" t="s">
        <v>197</v>
      </c>
      <c r="B135" s="259" t="s">
        <v>91</v>
      </c>
      <c r="C135" s="253">
        <v>77</v>
      </c>
      <c r="D135" s="253">
        <v>85</v>
      </c>
      <c r="E135" s="253">
        <v>72</v>
      </c>
      <c r="F135" s="253">
        <v>67</v>
      </c>
      <c r="G135" s="253">
        <v>99</v>
      </c>
      <c r="H135" s="253">
        <v>93</v>
      </c>
      <c r="I135" s="253">
        <v>114</v>
      </c>
      <c r="J135" s="253">
        <v>94</v>
      </c>
      <c r="K135" s="254">
        <v>-0.17543859649122806</v>
      </c>
      <c r="L135" s="41"/>
      <c r="M135" s="41"/>
      <c r="N135" s="41"/>
      <c r="O135" s="41"/>
      <c r="P135" s="41"/>
      <c r="Q135" s="41"/>
      <c r="R135" s="41"/>
    </row>
    <row r="136" spans="1:18">
      <c r="A136" s="240" t="s">
        <v>197</v>
      </c>
      <c r="B136" s="255" t="s">
        <v>238</v>
      </c>
      <c r="C136" s="253">
        <v>61</v>
      </c>
      <c r="D136" s="253">
        <v>68</v>
      </c>
      <c r="E136" s="253">
        <v>53</v>
      </c>
      <c r="F136" s="253">
        <v>59</v>
      </c>
      <c r="G136" s="253">
        <v>88</v>
      </c>
      <c r="H136" s="253">
        <v>75</v>
      </c>
      <c r="I136" s="253">
        <v>91</v>
      </c>
      <c r="J136" s="253">
        <v>73</v>
      </c>
      <c r="K136" s="254">
        <v>-0.19780219780219779</v>
      </c>
    </row>
    <row r="137" spans="1:18">
      <c r="A137" s="240" t="s">
        <v>197</v>
      </c>
      <c r="B137" s="255" t="s">
        <v>239</v>
      </c>
      <c r="C137" s="253">
        <v>16</v>
      </c>
      <c r="D137" s="253">
        <v>17</v>
      </c>
      <c r="E137" s="253">
        <v>19</v>
      </c>
      <c r="F137" s="253">
        <v>8</v>
      </c>
      <c r="G137" s="253">
        <v>11</v>
      </c>
      <c r="H137" s="253">
        <v>18</v>
      </c>
      <c r="I137" s="253">
        <v>23</v>
      </c>
      <c r="J137" s="253">
        <v>21</v>
      </c>
      <c r="K137" s="254">
        <v>-8.6956521739130432E-2</v>
      </c>
    </row>
    <row r="138" spans="1:18">
      <c r="A138" s="240" t="s">
        <v>197</v>
      </c>
      <c r="B138" s="255" t="s">
        <v>240</v>
      </c>
      <c r="C138" s="253">
        <v>0</v>
      </c>
      <c r="D138" s="253">
        <v>0</v>
      </c>
      <c r="E138" s="253">
        <v>0</v>
      </c>
      <c r="F138" s="253">
        <v>0</v>
      </c>
      <c r="G138" s="253">
        <v>0</v>
      </c>
      <c r="H138" s="253">
        <v>0</v>
      </c>
      <c r="I138" s="253">
        <v>0</v>
      </c>
      <c r="J138" s="261">
        <v>0</v>
      </c>
      <c r="K138" s="254">
        <v>0</v>
      </c>
    </row>
    <row r="139" spans="1:18">
      <c r="A139" s="240" t="s">
        <v>199</v>
      </c>
      <c r="B139" s="259" t="s">
        <v>91</v>
      </c>
      <c r="C139" s="253">
        <v>61</v>
      </c>
      <c r="D139" s="253">
        <v>70</v>
      </c>
      <c r="E139" s="253">
        <v>68</v>
      </c>
      <c r="F139" s="253">
        <v>59</v>
      </c>
      <c r="G139" s="253">
        <v>65</v>
      </c>
      <c r="H139" s="253">
        <v>71</v>
      </c>
      <c r="I139" s="253">
        <v>72</v>
      </c>
      <c r="J139" s="253">
        <v>72</v>
      </c>
      <c r="K139" s="254">
        <v>0</v>
      </c>
      <c r="L139" s="41"/>
      <c r="M139" s="41"/>
      <c r="N139" s="41"/>
      <c r="O139" s="41"/>
      <c r="P139" s="41"/>
      <c r="Q139" s="41"/>
      <c r="R139" s="41"/>
    </row>
    <row r="140" spans="1:18">
      <c r="A140" s="240" t="s">
        <v>199</v>
      </c>
      <c r="B140" s="255" t="s">
        <v>238</v>
      </c>
      <c r="C140" s="253">
        <v>44</v>
      </c>
      <c r="D140" s="253">
        <v>53</v>
      </c>
      <c r="E140" s="253">
        <v>49</v>
      </c>
      <c r="F140" s="253">
        <v>40</v>
      </c>
      <c r="G140" s="253">
        <v>50</v>
      </c>
      <c r="H140" s="253">
        <v>55</v>
      </c>
      <c r="I140" s="253">
        <v>55</v>
      </c>
      <c r="J140" s="253">
        <v>61</v>
      </c>
      <c r="K140" s="254">
        <v>0.10909090909090909</v>
      </c>
    </row>
    <row r="141" spans="1:18">
      <c r="A141" s="240" t="s">
        <v>199</v>
      </c>
      <c r="B141" s="255" t="s">
        <v>239</v>
      </c>
      <c r="C141" s="253">
        <v>17</v>
      </c>
      <c r="D141" s="253">
        <v>17</v>
      </c>
      <c r="E141" s="253">
        <v>19</v>
      </c>
      <c r="F141" s="253">
        <v>19</v>
      </c>
      <c r="G141" s="253">
        <v>15</v>
      </c>
      <c r="H141" s="253">
        <v>16</v>
      </c>
      <c r="I141" s="253">
        <v>17</v>
      </c>
      <c r="J141" s="253">
        <v>11</v>
      </c>
      <c r="K141" s="254">
        <v>-0.35294117647058826</v>
      </c>
    </row>
    <row r="142" spans="1:18">
      <c r="A142" s="240" t="s">
        <v>199</v>
      </c>
      <c r="B142" s="255" t="s">
        <v>240</v>
      </c>
      <c r="C142" s="253">
        <v>0</v>
      </c>
      <c r="D142" s="253">
        <v>0</v>
      </c>
      <c r="E142" s="253">
        <v>0</v>
      </c>
      <c r="F142" s="253">
        <v>0</v>
      </c>
      <c r="G142" s="253">
        <v>0</v>
      </c>
      <c r="H142" s="253">
        <v>0</v>
      </c>
      <c r="I142" s="253">
        <v>0</v>
      </c>
      <c r="J142" s="261">
        <v>0</v>
      </c>
      <c r="K142" s="254">
        <v>0</v>
      </c>
    </row>
    <row r="143" spans="1:18">
      <c r="A143" s="240" t="s">
        <v>201</v>
      </c>
      <c r="B143" s="259" t="s">
        <v>91</v>
      </c>
      <c r="C143" s="253">
        <v>92</v>
      </c>
      <c r="D143" s="253">
        <v>103</v>
      </c>
      <c r="E143" s="253">
        <v>94</v>
      </c>
      <c r="F143" s="253">
        <v>82</v>
      </c>
      <c r="G143" s="253">
        <v>80</v>
      </c>
      <c r="H143" s="253">
        <v>72</v>
      </c>
      <c r="I143" s="253">
        <v>63</v>
      </c>
      <c r="J143" s="253">
        <v>72</v>
      </c>
      <c r="K143" s="254">
        <v>0.14285714285714285</v>
      </c>
      <c r="L143" s="41"/>
      <c r="M143" s="41"/>
      <c r="N143" s="41"/>
      <c r="O143" s="41"/>
      <c r="P143" s="41"/>
      <c r="Q143" s="41"/>
      <c r="R143" s="41"/>
    </row>
    <row r="144" spans="1:18">
      <c r="A144" s="240" t="s">
        <v>201</v>
      </c>
      <c r="B144" s="255" t="s">
        <v>238</v>
      </c>
      <c r="C144" s="253">
        <v>84</v>
      </c>
      <c r="D144" s="253">
        <v>88</v>
      </c>
      <c r="E144" s="253">
        <v>88</v>
      </c>
      <c r="F144" s="253">
        <v>79</v>
      </c>
      <c r="G144" s="253">
        <v>73</v>
      </c>
      <c r="H144" s="253">
        <v>68</v>
      </c>
      <c r="I144" s="253">
        <v>54</v>
      </c>
      <c r="J144" s="253">
        <v>60</v>
      </c>
      <c r="K144" s="254">
        <v>0.1111111111111111</v>
      </c>
    </row>
    <row r="145" spans="1:18">
      <c r="A145" s="240" t="s">
        <v>201</v>
      </c>
      <c r="B145" s="255" t="s">
        <v>239</v>
      </c>
      <c r="C145" s="253">
        <v>8</v>
      </c>
      <c r="D145" s="253">
        <v>15</v>
      </c>
      <c r="E145" s="253">
        <v>6</v>
      </c>
      <c r="F145" s="253">
        <v>3</v>
      </c>
      <c r="G145" s="253">
        <v>7</v>
      </c>
      <c r="H145" s="253">
        <v>4</v>
      </c>
      <c r="I145" s="253">
        <v>9</v>
      </c>
      <c r="J145" s="253">
        <v>12</v>
      </c>
      <c r="K145" s="254">
        <v>0.33333333333333331</v>
      </c>
    </row>
    <row r="146" spans="1:18">
      <c r="A146" s="244" t="s">
        <v>201</v>
      </c>
      <c r="B146" s="262" t="s">
        <v>240</v>
      </c>
      <c r="C146" s="263">
        <v>0</v>
      </c>
      <c r="D146" s="263">
        <v>0</v>
      </c>
      <c r="E146" s="263">
        <v>0</v>
      </c>
      <c r="F146" s="263">
        <v>0</v>
      </c>
      <c r="G146" s="263">
        <v>0</v>
      </c>
      <c r="H146" s="263">
        <v>0</v>
      </c>
      <c r="I146" s="263">
        <v>0</v>
      </c>
      <c r="J146" s="264">
        <v>0</v>
      </c>
      <c r="K146" s="265">
        <v>0</v>
      </c>
    </row>
    <row r="147" spans="1:18">
      <c r="L147" s="41"/>
      <c r="M147" s="41"/>
      <c r="N147" s="41"/>
      <c r="O147" s="41"/>
      <c r="P147" s="41"/>
      <c r="Q147" s="41"/>
      <c r="R147" s="41"/>
    </row>
    <row r="151" spans="1:18">
      <c r="L151" s="41"/>
      <c r="M151" s="41"/>
      <c r="N151" s="41"/>
      <c r="O151" s="41"/>
      <c r="P151" s="41"/>
      <c r="Q151" s="41"/>
      <c r="R151" s="41"/>
    </row>
    <row r="155" spans="1:18">
      <c r="L155" s="41"/>
      <c r="M155" s="41"/>
      <c r="N155" s="41"/>
      <c r="O155" s="41"/>
      <c r="P155" s="41"/>
      <c r="Q155" s="41"/>
      <c r="R155" s="41"/>
    </row>
    <row r="159" spans="1:18">
      <c r="L159" s="41"/>
      <c r="M159" s="41"/>
      <c r="N159" s="41"/>
      <c r="O159" s="41"/>
      <c r="P159" s="41"/>
      <c r="Q159" s="41"/>
      <c r="R159" s="41"/>
    </row>
    <row r="163" spans="12:18">
      <c r="L163" s="41"/>
      <c r="M163" s="41"/>
      <c r="N163" s="41"/>
      <c r="O163" s="41"/>
      <c r="P163" s="41"/>
      <c r="Q163" s="41"/>
      <c r="R163" s="41"/>
    </row>
    <row r="167" spans="12:18">
      <c r="L167" s="41"/>
      <c r="M167" s="41"/>
      <c r="N167" s="41"/>
      <c r="O167" s="41"/>
      <c r="P167" s="41"/>
      <c r="Q167" s="41"/>
      <c r="R167" s="41"/>
    </row>
    <row r="171" spans="12:18">
      <c r="L171" s="41"/>
      <c r="M171" s="41"/>
      <c r="N171" s="41"/>
      <c r="O171" s="41"/>
      <c r="P171" s="41"/>
      <c r="Q171" s="41"/>
      <c r="R171" s="41"/>
    </row>
    <row r="175" spans="12:18">
      <c r="L175" s="41"/>
      <c r="M175" s="41"/>
      <c r="N175" s="41"/>
      <c r="O175" s="41"/>
      <c r="P175" s="41"/>
      <c r="Q175" s="41"/>
      <c r="R175" s="41"/>
    </row>
    <row r="180" spans="1:1" ht="17.5">
      <c r="A180" s="92" t="s">
        <v>204</v>
      </c>
    </row>
    <row r="181" spans="1:1" ht="17.5">
      <c r="A181" s="92" t="s">
        <v>50</v>
      </c>
    </row>
    <row r="182" spans="1:1" ht="17.5">
      <c r="A182" s="2"/>
    </row>
  </sheetData>
  <hyperlinks>
    <hyperlink ref="A180" location="'Table of contents'!A1" display="Back to Table of contents" xr:uid="{7F5C5C24-8D1E-4E89-9278-4470A34E0C5C}"/>
    <hyperlink ref="A181" r:id="rId1" display="Back to Road Casualties in Greater London 2024 Factsheet" xr:uid="{5573648C-14C1-4E41-9E94-932B112A0AC5}"/>
  </hyperlinks>
  <pageMargins left="0.7" right="0.7" top="0.75" bottom="0.75" header="0.3" footer="0.3"/>
  <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A9105-06CD-4644-BBD9-CA5032E5673F}">
  <sheetPr>
    <tabColor rgb="FF92D050"/>
    <pageSetUpPr fitToPage="1"/>
  </sheetPr>
  <dimension ref="A1:X41"/>
  <sheetViews>
    <sheetView showGridLines="0" zoomScaleNormal="100" workbookViewId="0"/>
  </sheetViews>
  <sheetFormatPr defaultColWidth="8.765625" defaultRowHeight="21" customHeight="1"/>
  <cols>
    <col min="1" max="1" width="18.07421875" style="4" customWidth="1"/>
    <col min="2" max="7" width="22.3046875" style="4" customWidth="1"/>
    <col min="8" max="11" width="8.765625" style="4"/>
    <col min="12" max="12" width="13.23046875" style="4" bestFit="1" customWidth="1"/>
    <col min="13" max="15" width="9" style="4" bestFit="1" customWidth="1"/>
    <col min="16" max="16" width="8.765625" style="4"/>
    <col min="17" max="17" width="9" style="4" bestFit="1" customWidth="1"/>
    <col min="18" max="18" width="8.765625" style="4"/>
    <col min="19" max="19" width="9" style="4" bestFit="1" customWidth="1"/>
    <col min="20" max="20" width="8.765625" style="4"/>
    <col min="21" max="23" width="9" style="4" bestFit="1" customWidth="1"/>
    <col min="24" max="16384" width="8.765625" style="4"/>
  </cols>
  <sheetData>
    <row r="1" spans="1:14" ht="45" customHeight="1">
      <c r="A1" s="107" t="s">
        <v>45</v>
      </c>
    </row>
    <row r="2" spans="1:14" s="188" customFormat="1" ht="41.25" customHeight="1">
      <c r="A2" s="110" t="s">
        <v>51</v>
      </c>
      <c r="B2" s="110" t="s">
        <v>52</v>
      </c>
      <c r="C2" s="79" t="s">
        <v>244</v>
      </c>
      <c r="D2" s="110" t="s">
        <v>245</v>
      </c>
      <c r="E2" s="110" t="s">
        <v>246</v>
      </c>
      <c r="F2" s="110" t="s">
        <v>247</v>
      </c>
      <c r="G2" s="87" t="s">
        <v>248</v>
      </c>
    </row>
    <row r="3" spans="1:14" s="1" customFormat="1" ht="21" customHeight="1">
      <c r="A3" s="111" t="s">
        <v>249</v>
      </c>
      <c r="B3" s="270">
        <v>71.333333333333329</v>
      </c>
      <c r="C3" s="274" t="s">
        <v>56</v>
      </c>
      <c r="D3" s="275">
        <v>17.333333333333332</v>
      </c>
      <c r="E3" s="276" t="s">
        <v>56</v>
      </c>
      <c r="F3" s="275">
        <v>54</v>
      </c>
      <c r="G3" s="277" t="s">
        <v>56</v>
      </c>
      <c r="N3" s="10"/>
    </row>
    <row r="4" spans="1:14" s="1" customFormat="1" ht="21" customHeight="1">
      <c r="A4" s="111">
        <v>2022</v>
      </c>
      <c r="B4" s="270">
        <v>48</v>
      </c>
      <c r="C4" s="274" t="s">
        <v>250</v>
      </c>
      <c r="D4" s="275">
        <v>10</v>
      </c>
      <c r="E4" s="276" t="s">
        <v>251</v>
      </c>
      <c r="F4" s="275">
        <v>38</v>
      </c>
      <c r="G4" s="277" t="s">
        <v>252</v>
      </c>
    </row>
    <row r="5" spans="1:14" s="1" customFormat="1" ht="21" customHeight="1">
      <c r="A5" s="111">
        <v>2023</v>
      </c>
      <c r="B5" s="270">
        <v>49</v>
      </c>
      <c r="C5" s="274" t="s">
        <v>253</v>
      </c>
      <c r="D5" s="275">
        <v>11</v>
      </c>
      <c r="E5" s="276" t="s">
        <v>254</v>
      </c>
      <c r="F5" s="275">
        <v>38</v>
      </c>
      <c r="G5" s="277" t="s">
        <v>252</v>
      </c>
    </row>
    <row r="6" spans="1:14" s="1" customFormat="1" ht="21" customHeight="1">
      <c r="A6" s="111">
        <v>2024</v>
      </c>
      <c r="B6" s="270">
        <v>35</v>
      </c>
      <c r="C6" s="348" t="s">
        <v>255</v>
      </c>
      <c r="D6" s="275">
        <v>11</v>
      </c>
      <c r="E6" s="276" t="s">
        <v>254</v>
      </c>
      <c r="F6" s="275">
        <v>24</v>
      </c>
      <c r="G6" s="277" t="s">
        <v>256</v>
      </c>
    </row>
    <row r="7" spans="1:14" s="1" customFormat="1" ht="21" customHeight="1">
      <c r="A7" s="113" t="s">
        <v>257</v>
      </c>
      <c r="B7" s="271">
        <v>44</v>
      </c>
      <c r="C7" s="349" t="s">
        <v>258</v>
      </c>
      <c r="D7" s="279">
        <v>11</v>
      </c>
      <c r="E7" s="276" t="s">
        <v>254</v>
      </c>
      <c r="F7" s="279">
        <v>33</v>
      </c>
      <c r="G7" s="280" t="s">
        <v>259</v>
      </c>
    </row>
    <row r="8" spans="1:14" s="1" customFormat="1" ht="20.25" customHeight="1">
      <c r="A8" s="129" t="s">
        <v>260</v>
      </c>
      <c r="B8" s="272"/>
      <c r="C8" s="278"/>
      <c r="D8" s="279"/>
      <c r="E8" s="311"/>
      <c r="F8" s="279"/>
      <c r="G8" s="280"/>
    </row>
    <row r="9" spans="1:14" s="94" customFormat="1" ht="46" customHeight="1">
      <c r="A9" s="62" t="s">
        <v>59</v>
      </c>
      <c r="B9" s="273"/>
    </row>
    <row r="10" spans="1:14" s="94" customFormat="1" ht="21" customHeight="1">
      <c r="A10" s="92" t="s">
        <v>50</v>
      </c>
      <c r="B10" s="273"/>
    </row>
    <row r="11" spans="1:14" s="94" customFormat="1" ht="21" customHeight="1">
      <c r="A11" s="321"/>
    </row>
    <row r="12" spans="1:14" s="1" customFormat="1" ht="31.15" customHeight="1">
      <c r="A12" s="20"/>
    </row>
    <row r="13" spans="1:14" s="1" customFormat="1" ht="21" customHeight="1">
      <c r="G13" s="31"/>
      <c r="H13" s="30"/>
    </row>
    <row r="14" spans="1:14" ht="21" customHeight="1">
      <c r="G14" s="31"/>
      <c r="H14" s="30"/>
      <c r="I14" s="1"/>
    </row>
    <row r="15" spans="1:14" ht="21" customHeight="1">
      <c r="G15" s="31"/>
      <c r="H15" s="30"/>
      <c r="I15" s="1"/>
    </row>
    <row r="16" spans="1:14" ht="21" customHeight="1">
      <c r="G16" s="31"/>
      <c r="H16" s="30"/>
      <c r="I16" s="1"/>
    </row>
    <row r="17" spans="4:24" ht="21" customHeight="1">
      <c r="G17" s="31"/>
      <c r="H17" s="30"/>
      <c r="I17" s="1"/>
      <c r="K17" s="31"/>
      <c r="L17" s="31"/>
      <c r="M17" s="31"/>
      <c r="N17" s="31"/>
      <c r="O17" s="31"/>
      <c r="P17" s="31"/>
      <c r="Q17" s="31"/>
      <c r="R17" s="31"/>
      <c r="S17" s="31"/>
      <c r="T17" s="31"/>
      <c r="U17" s="31"/>
      <c r="V17" s="31"/>
      <c r="W17" s="31"/>
      <c r="X17" s="31"/>
    </row>
    <row r="18" spans="4:24" ht="21" customHeight="1">
      <c r="G18" s="31"/>
      <c r="H18" s="30"/>
      <c r="I18" s="1"/>
      <c r="K18" s="31"/>
      <c r="L18" s="31"/>
      <c r="M18" s="31"/>
      <c r="N18" s="31"/>
      <c r="O18" s="31"/>
      <c r="P18" s="31"/>
      <c r="Q18" s="31"/>
      <c r="R18" s="31"/>
      <c r="S18" s="31"/>
      <c r="T18" s="31"/>
      <c r="U18" s="31"/>
      <c r="V18" s="31"/>
      <c r="W18" s="31"/>
      <c r="X18" s="31"/>
    </row>
    <row r="19" spans="4:24" ht="21" customHeight="1">
      <c r="G19" s="31"/>
      <c r="H19" s="30"/>
      <c r="I19" s="1"/>
      <c r="K19" s="31"/>
      <c r="L19" s="31"/>
      <c r="M19" s="31"/>
      <c r="N19" s="31"/>
      <c r="O19" s="31"/>
      <c r="P19" s="31"/>
      <c r="Q19" s="31"/>
      <c r="R19" s="31"/>
      <c r="S19" s="31"/>
      <c r="T19" s="31"/>
      <c r="U19" s="31"/>
      <c r="V19" s="31"/>
      <c r="W19" s="31"/>
      <c r="X19" s="31"/>
    </row>
    <row r="20" spans="4:24" ht="21" customHeight="1">
      <c r="G20" s="31"/>
      <c r="H20" s="30"/>
      <c r="I20" s="1"/>
      <c r="K20" s="31"/>
      <c r="L20" s="31"/>
      <c r="M20" s="31"/>
      <c r="N20" s="31"/>
      <c r="O20" s="31"/>
      <c r="P20" s="31"/>
      <c r="Q20" s="31"/>
      <c r="R20" s="31"/>
      <c r="S20" s="31"/>
      <c r="T20" s="31"/>
      <c r="U20" s="31"/>
      <c r="V20" s="31"/>
      <c r="W20" s="31"/>
      <c r="X20" s="31"/>
    </row>
    <row r="21" spans="4:24" ht="21" customHeight="1">
      <c r="K21" s="31"/>
      <c r="L21" s="31"/>
      <c r="M21" s="31"/>
      <c r="N21" s="31"/>
      <c r="O21" s="31"/>
      <c r="P21" s="31"/>
      <c r="Q21" s="31"/>
      <c r="R21" s="31"/>
      <c r="S21" s="31"/>
      <c r="T21" s="31"/>
      <c r="U21" s="31"/>
      <c r="V21" s="31"/>
      <c r="W21" s="31"/>
      <c r="X21" s="31"/>
    </row>
    <row r="22" spans="4:24" ht="21" customHeight="1">
      <c r="K22" s="31"/>
      <c r="L22" s="31"/>
      <c r="M22" s="31"/>
      <c r="N22" s="31"/>
      <c r="O22" s="31"/>
      <c r="P22" s="31"/>
      <c r="Q22" s="31"/>
      <c r="R22" s="31"/>
      <c r="S22" s="31"/>
      <c r="T22" s="31"/>
      <c r="U22" s="31"/>
      <c r="V22" s="31"/>
      <c r="W22" s="31"/>
      <c r="X22" s="31"/>
    </row>
    <row r="23" spans="4:24" ht="21" customHeight="1">
      <c r="K23" s="31"/>
      <c r="L23" s="31"/>
      <c r="M23" s="31"/>
      <c r="N23" s="31"/>
      <c r="O23" s="31"/>
      <c r="P23" s="31"/>
      <c r="Q23" s="31"/>
      <c r="R23" s="31"/>
      <c r="S23" s="31"/>
      <c r="T23" s="31"/>
      <c r="U23" s="31"/>
      <c r="V23" s="31"/>
      <c r="W23" s="31"/>
      <c r="X23" s="31"/>
    </row>
    <row r="24" spans="4:24" ht="30" customHeight="1">
      <c r="K24" s="31"/>
      <c r="L24" s="31"/>
      <c r="M24" s="31"/>
      <c r="N24" s="31"/>
      <c r="O24" s="31"/>
      <c r="P24" s="31"/>
      <c r="Q24" s="31"/>
      <c r="R24" s="31"/>
      <c r="S24" s="31"/>
      <c r="T24" s="31"/>
      <c r="U24" s="31"/>
      <c r="V24" s="31"/>
      <c r="W24" s="31"/>
      <c r="X24" s="31"/>
    </row>
    <row r="25" spans="4:24" ht="30" customHeight="1">
      <c r="K25" s="31"/>
      <c r="L25" s="31"/>
      <c r="M25" s="31"/>
      <c r="N25" s="31"/>
      <c r="O25" s="31"/>
      <c r="P25" s="31"/>
      <c r="Q25" s="31"/>
      <c r="R25" s="31"/>
      <c r="S25" s="31"/>
      <c r="T25" s="31"/>
      <c r="U25" s="31"/>
      <c r="V25" s="31"/>
      <c r="W25" s="31"/>
      <c r="X25" s="31"/>
    </row>
    <row r="26" spans="4:24" ht="30" customHeight="1">
      <c r="K26" s="31"/>
      <c r="L26" s="31"/>
      <c r="M26" s="31"/>
      <c r="N26" s="31"/>
      <c r="O26" s="31"/>
      <c r="P26" s="31"/>
      <c r="Q26" s="31"/>
      <c r="R26" s="31"/>
      <c r="S26" s="31"/>
      <c r="T26" s="31"/>
      <c r="U26" s="31"/>
      <c r="V26" s="31"/>
      <c r="W26" s="31"/>
      <c r="X26" s="31"/>
    </row>
    <row r="27" spans="4:24" ht="30" customHeight="1">
      <c r="D27" s="4" t="s">
        <v>95</v>
      </c>
      <c r="K27" s="31"/>
      <c r="L27" s="31"/>
      <c r="M27" s="31"/>
      <c r="N27" s="31"/>
      <c r="O27" s="31"/>
      <c r="P27" s="31"/>
      <c r="Q27" s="31"/>
      <c r="R27" s="31"/>
      <c r="S27" s="31"/>
      <c r="T27" s="31"/>
      <c r="U27" s="31"/>
      <c r="V27" s="31"/>
      <c r="W27" s="31"/>
      <c r="X27" s="31"/>
    </row>
    <row r="28" spans="4:24" ht="21" customHeight="1">
      <c r="K28" s="31"/>
      <c r="L28" s="31"/>
      <c r="M28" s="31"/>
      <c r="N28" s="31"/>
      <c r="O28" s="31"/>
      <c r="P28" s="31"/>
      <c r="Q28" s="31"/>
      <c r="R28" s="31"/>
      <c r="S28" s="31"/>
      <c r="T28" s="31"/>
      <c r="U28" s="31"/>
      <c r="V28" s="31"/>
      <c r="W28" s="31"/>
      <c r="X28" s="31"/>
    </row>
    <row r="29" spans="4:24" ht="21" customHeight="1">
      <c r="K29" s="31"/>
      <c r="L29" s="31"/>
      <c r="M29" s="31"/>
      <c r="N29" s="31"/>
      <c r="O29" s="31"/>
      <c r="P29" s="31"/>
      <c r="Q29" s="31"/>
      <c r="R29" s="31"/>
      <c r="S29" s="31"/>
      <c r="T29" s="31"/>
      <c r="U29" s="31"/>
      <c r="V29" s="31"/>
      <c r="W29" s="31"/>
      <c r="X29" s="31"/>
    </row>
    <row r="30" spans="4:24" ht="21" customHeight="1">
      <c r="K30" s="31"/>
      <c r="L30" s="31"/>
      <c r="M30" s="31"/>
      <c r="N30" s="31"/>
      <c r="O30" s="31"/>
      <c r="P30" s="31"/>
      <c r="Q30" s="31"/>
      <c r="R30" s="31"/>
      <c r="S30" s="31"/>
      <c r="T30" s="31"/>
      <c r="U30" s="31"/>
      <c r="V30" s="31"/>
      <c r="W30" s="31"/>
      <c r="X30" s="31"/>
    </row>
    <row r="31" spans="4:24" ht="21" customHeight="1">
      <c r="K31" s="31"/>
      <c r="L31" s="31"/>
      <c r="M31" s="31"/>
      <c r="N31" s="31"/>
      <c r="O31" s="31"/>
      <c r="P31" s="31"/>
      <c r="Q31" s="31"/>
      <c r="R31" s="31"/>
      <c r="S31" s="31"/>
      <c r="T31" s="31"/>
      <c r="U31" s="31"/>
      <c r="V31" s="31"/>
      <c r="W31" s="31"/>
      <c r="X31" s="31"/>
    </row>
    <row r="32" spans="4:24" ht="21" customHeight="1">
      <c r="K32" s="31"/>
      <c r="L32" s="31"/>
      <c r="M32" s="31"/>
      <c r="N32" s="31"/>
      <c r="O32" s="31"/>
      <c r="P32" s="31"/>
      <c r="Q32" s="31"/>
      <c r="R32" s="31"/>
      <c r="S32" s="31"/>
      <c r="T32" s="31"/>
      <c r="U32" s="31"/>
      <c r="V32" s="31"/>
      <c r="W32" s="31"/>
      <c r="X32" s="31"/>
    </row>
    <row r="33" spans="11:24" ht="21" customHeight="1">
      <c r="K33" s="31"/>
      <c r="L33" s="31"/>
      <c r="M33" s="31"/>
      <c r="N33" s="31"/>
      <c r="O33" s="31"/>
      <c r="P33" s="31"/>
      <c r="Q33" s="31"/>
      <c r="R33" s="31"/>
      <c r="S33" s="31"/>
      <c r="T33" s="31"/>
      <c r="U33" s="31"/>
      <c r="V33" s="31"/>
      <c r="W33" s="31"/>
      <c r="X33" s="31"/>
    </row>
    <row r="34" spans="11:24" ht="21" customHeight="1">
      <c r="K34" s="31"/>
      <c r="L34" s="31"/>
      <c r="M34" s="31"/>
      <c r="N34" s="31"/>
      <c r="O34" s="31"/>
      <c r="P34" s="31"/>
      <c r="Q34" s="31"/>
      <c r="R34" s="31"/>
      <c r="S34" s="31"/>
      <c r="T34" s="31"/>
      <c r="U34" s="31"/>
      <c r="V34" s="31"/>
      <c r="W34" s="31"/>
      <c r="X34" s="31"/>
    </row>
    <row r="35" spans="11:24" ht="21" customHeight="1">
      <c r="K35" s="31"/>
      <c r="L35" s="31"/>
      <c r="M35" s="31"/>
      <c r="N35" s="31"/>
      <c r="O35" s="31"/>
      <c r="P35" s="31"/>
      <c r="Q35" s="31"/>
      <c r="R35" s="31"/>
      <c r="S35" s="31"/>
      <c r="T35" s="31"/>
      <c r="U35" s="31"/>
      <c r="V35" s="31"/>
      <c r="W35" s="31"/>
      <c r="X35" s="31"/>
    </row>
    <row r="36" spans="11:24" ht="21" customHeight="1">
      <c r="K36" s="31"/>
      <c r="L36" s="31"/>
      <c r="M36" s="31"/>
      <c r="N36" s="31"/>
      <c r="O36" s="31"/>
      <c r="P36" s="31"/>
      <c r="Q36" s="31"/>
      <c r="R36" s="31"/>
      <c r="S36" s="31"/>
      <c r="T36" s="31"/>
      <c r="U36" s="31"/>
      <c r="V36" s="31"/>
      <c r="W36" s="31"/>
      <c r="X36" s="31"/>
    </row>
    <row r="37" spans="11:24" ht="21" customHeight="1">
      <c r="K37" s="31"/>
      <c r="L37" s="31"/>
      <c r="M37" s="31"/>
      <c r="N37" s="31"/>
      <c r="O37" s="31"/>
      <c r="P37" s="31"/>
      <c r="Q37" s="31"/>
      <c r="R37" s="31"/>
      <c r="S37" s="31"/>
      <c r="T37" s="31"/>
      <c r="U37" s="31"/>
      <c r="V37" s="31"/>
      <c r="W37" s="31"/>
      <c r="X37" s="31"/>
    </row>
    <row r="38" spans="11:24" ht="21" customHeight="1">
      <c r="K38" s="31"/>
      <c r="L38" s="31"/>
      <c r="M38" s="31"/>
      <c r="N38" s="31"/>
      <c r="O38" s="31"/>
      <c r="P38" s="31"/>
      <c r="Q38" s="31"/>
      <c r="R38" s="31"/>
      <c r="S38" s="31"/>
      <c r="T38" s="31"/>
      <c r="U38" s="31"/>
      <c r="V38" s="31"/>
      <c r="W38" s="31"/>
      <c r="X38" s="31"/>
    </row>
    <row r="39" spans="11:24" ht="21" customHeight="1">
      <c r="K39" s="31"/>
      <c r="L39" s="31"/>
      <c r="M39" s="31"/>
      <c r="N39" s="31"/>
      <c r="O39" s="31"/>
      <c r="P39" s="31"/>
      <c r="Q39" s="31"/>
      <c r="R39" s="31"/>
      <c r="S39" s="31"/>
      <c r="T39" s="31"/>
      <c r="U39" s="31"/>
      <c r="V39" s="31"/>
      <c r="W39" s="31"/>
      <c r="X39" s="31"/>
    </row>
    <row r="40" spans="11:24" ht="21" customHeight="1">
      <c r="K40" s="31"/>
      <c r="L40" s="31"/>
      <c r="M40" s="31"/>
      <c r="N40" s="31"/>
      <c r="O40" s="31"/>
      <c r="P40" s="31"/>
      <c r="Q40" s="31"/>
      <c r="R40" s="31"/>
      <c r="S40" s="31"/>
      <c r="T40" s="31"/>
      <c r="U40" s="31"/>
      <c r="V40" s="31"/>
      <c r="W40" s="31"/>
      <c r="X40" s="31"/>
    </row>
    <row r="41" spans="11:24" ht="21" customHeight="1">
      <c r="K41" s="31"/>
      <c r="L41" s="31"/>
      <c r="M41" s="31"/>
      <c r="N41" s="31"/>
      <c r="O41" s="31"/>
      <c r="P41" s="31"/>
      <c r="Q41" s="31"/>
      <c r="R41" s="31"/>
      <c r="S41" s="31"/>
      <c r="T41" s="31"/>
      <c r="U41" s="31"/>
      <c r="V41" s="31"/>
      <c r="W41" s="31"/>
      <c r="X41" s="31"/>
    </row>
  </sheetData>
  <hyperlinks>
    <hyperlink ref="A9" location="'Table of contents'!A1" display="Back to Table of contents" xr:uid="{8149F6EE-F22B-4056-A2E2-C2AC13F6F7E7}"/>
    <hyperlink ref="A10" r:id="rId1" display="Back to Road Casualties in Greater London 2024 Factsheet" xr:uid="{9D8165B4-AE40-4031-A289-C9B8A99D93DE}"/>
  </hyperlinks>
  <pageMargins left="0.19" right="0.18" top="1" bottom="1" header="0.5" footer="0.5"/>
  <pageSetup paperSize="9" scale="48" orientation="landscape" horizontalDpi="300" verticalDpi="300" r:id="rId2"/>
  <headerFooter alignWithMargins="0">
    <oddHeader>&amp;R&amp;"Arial,Bold Italic"&amp;11ITEM 8.1</oddHeader>
  </headerFooter>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5D48-D07A-45ED-A706-B4977932FEAE}">
  <sheetPr codeName="Sheet16">
    <tabColor rgb="FF92D050"/>
    <pageSetUpPr fitToPage="1"/>
  </sheetPr>
  <dimension ref="A1:N39"/>
  <sheetViews>
    <sheetView showGridLines="0" zoomScaleNormal="100" workbookViewId="0"/>
  </sheetViews>
  <sheetFormatPr defaultColWidth="8.765625" defaultRowHeight="21" customHeight="1"/>
  <cols>
    <col min="1" max="1" width="8.765625" style="4"/>
    <col min="2" max="2" width="19.3046875" style="4" customWidth="1"/>
    <col min="3" max="3" width="23" style="4" customWidth="1"/>
    <col min="4" max="4" width="19.84375" style="4" customWidth="1"/>
    <col min="5" max="16384" width="8.765625" style="4"/>
  </cols>
  <sheetData>
    <row r="1" spans="1:14" ht="45" customHeight="1">
      <c r="A1" s="107" t="s">
        <v>261</v>
      </c>
    </row>
    <row r="2" spans="1:14" s="146" customFormat="1" ht="40.5" customHeight="1">
      <c r="A2" s="87" t="s">
        <v>51</v>
      </c>
      <c r="B2" s="79" t="s">
        <v>262</v>
      </c>
      <c r="C2" s="79" t="s">
        <v>263</v>
      </c>
      <c r="D2" s="78" t="s">
        <v>264</v>
      </c>
    </row>
    <row r="3" spans="1:14" s="1" customFormat="1" ht="20.25" customHeight="1">
      <c r="A3" s="88">
        <v>2017</v>
      </c>
      <c r="B3" s="284">
        <v>0.44400000000000001</v>
      </c>
      <c r="C3" s="284">
        <v>0.371</v>
      </c>
      <c r="D3" s="285">
        <v>0.25600000000000001</v>
      </c>
    </row>
    <row r="4" spans="1:14" s="1" customFormat="1" ht="20.25" customHeight="1">
      <c r="A4" s="88">
        <v>2018</v>
      </c>
      <c r="B4" s="284">
        <v>0.46899999999999997</v>
      </c>
      <c r="C4" s="284">
        <v>0.36099999999999999</v>
      </c>
      <c r="D4" s="285">
        <v>0.26700000000000002</v>
      </c>
    </row>
    <row r="5" spans="1:14" s="1" customFormat="1" ht="20.25" customHeight="1">
      <c r="A5" s="88">
        <v>2019</v>
      </c>
      <c r="B5" s="284">
        <v>0.44</v>
      </c>
      <c r="C5" s="284">
        <v>0.35499999999999998</v>
      </c>
      <c r="D5" s="285">
        <v>0.26100000000000001</v>
      </c>
    </row>
    <row r="6" spans="1:14" s="1" customFormat="1" ht="20.25" customHeight="1">
      <c r="A6" s="88">
        <v>2020</v>
      </c>
      <c r="B6" s="284">
        <v>0.34599999999999997</v>
      </c>
      <c r="C6" s="284">
        <v>0.29799999999999999</v>
      </c>
      <c r="D6" s="285">
        <v>0.23200000000000001</v>
      </c>
    </row>
    <row r="7" spans="1:14" s="1" customFormat="1" ht="20.25" customHeight="1">
      <c r="A7" s="88">
        <v>2021</v>
      </c>
      <c r="B7" s="284">
        <v>0.41599999999999998</v>
      </c>
      <c r="C7" s="284">
        <v>0.36099999999999999</v>
      </c>
      <c r="D7" s="285">
        <v>0.26100000000000001</v>
      </c>
    </row>
    <row r="8" spans="1:14" s="1" customFormat="1" ht="20.25" customHeight="1">
      <c r="A8" s="88">
        <v>2022</v>
      </c>
      <c r="B8" s="284">
        <v>0.42099999999999999</v>
      </c>
      <c r="C8" s="284">
        <v>0.38200000000000001</v>
      </c>
      <c r="D8" s="285">
        <v>0.30199999999999999</v>
      </c>
    </row>
    <row r="9" spans="1:14" s="1" customFormat="1" ht="20.25" customHeight="1">
      <c r="A9" s="88">
        <v>2023</v>
      </c>
      <c r="B9" s="284">
        <v>0.41299999999999998</v>
      </c>
      <c r="C9" s="284">
        <v>0.35099999999999998</v>
      </c>
      <c r="D9" s="285">
        <v>0.27700000000000002</v>
      </c>
      <c r="N9"/>
    </row>
    <row r="10" spans="1:14" s="1" customFormat="1" ht="20.25" customHeight="1">
      <c r="A10" s="115">
        <v>2024</v>
      </c>
      <c r="B10" s="286">
        <v>0.4</v>
      </c>
      <c r="C10" s="286">
        <v>0.35</v>
      </c>
      <c r="D10" s="287">
        <v>0.26</v>
      </c>
    </row>
    <row r="11" spans="1:14" s="1" customFormat="1" ht="20.25" customHeight="1"/>
    <row r="12" spans="1:14" s="1" customFormat="1" ht="20.25" customHeight="1"/>
    <row r="13" spans="1:14" s="1" customFormat="1" ht="20.25" customHeight="1"/>
    <row r="14" spans="1:14" s="1" customFormat="1" ht="20.25" customHeight="1"/>
    <row r="15" spans="1:14" s="1" customFormat="1" ht="20.25" customHeight="1"/>
    <row r="16" spans="1:14" s="1" customFormat="1" ht="20.25" customHeight="1"/>
    <row r="17" s="1" customFormat="1" ht="20.25" customHeight="1"/>
    <row r="18" s="1" customFormat="1" ht="20.25" customHeight="1"/>
    <row r="19" s="1" customFormat="1" ht="20.25" customHeight="1"/>
    <row r="20" s="1" customFormat="1" ht="20.25" customHeight="1"/>
    <row r="21" s="1" customFormat="1" ht="20.25" customHeight="1"/>
    <row r="22" s="1" customFormat="1" ht="20.25" customHeight="1"/>
    <row r="23" s="1" customFormat="1" ht="20.25" customHeight="1"/>
    <row r="24" s="1" customFormat="1" ht="20.25" customHeight="1"/>
    <row r="25" s="1" customFormat="1" ht="20.25" customHeight="1"/>
    <row r="26" s="1" customFormat="1" ht="20.25" customHeight="1"/>
    <row r="27" s="1" customFormat="1" ht="20.25" customHeight="1"/>
    <row r="28" s="1" customFormat="1" ht="20.25" customHeight="1"/>
    <row r="29" s="1" customFormat="1" ht="20.25" customHeight="1"/>
    <row r="30" s="1" customFormat="1" ht="20.25" customHeight="1"/>
    <row r="31" s="1" customFormat="1" ht="20.25" customHeight="1"/>
    <row r="32" s="1" customFormat="1" ht="20.25" customHeight="1"/>
    <row r="33" spans="1:1" s="1" customFormat="1" ht="20.25" customHeight="1"/>
    <row r="37" spans="1:1" ht="21" customHeight="1">
      <c r="A37" s="92" t="s">
        <v>59</v>
      </c>
    </row>
    <row r="38" spans="1:1" ht="21" customHeight="1">
      <c r="A38" s="92" t="s">
        <v>50</v>
      </c>
    </row>
    <row r="39" spans="1:1" ht="21" customHeight="1">
      <c r="A39" s="2"/>
    </row>
  </sheetData>
  <hyperlinks>
    <hyperlink ref="A37" location="'Table of contents'!A1" display="Back to Table of contents" xr:uid="{6B72718D-EB70-4733-A191-1453D4492D48}"/>
    <hyperlink ref="A38" r:id="rId1" display="Back to Road Casualties in Greater London 2024 Factsheet" xr:uid="{650993FA-6539-4DC0-83AE-AA151880A21E}"/>
  </hyperlinks>
  <pageMargins left="0.19" right="0.18" top="1" bottom="1" header="0.5" footer="0.5"/>
  <pageSetup paperSize="9" scale="58" orientation="landscape" horizontalDpi="300" verticalDpi="300" r:id="rId2"/>
  <headerFooter alignWithMargins="0">
    <oddHeader>&amp;R&amp;"Arial,Bold Italic"&amp;11ITEM 8.1</oddHeader>
  </headerFooter>
  <drawing r:id="rId3"/>
  <tableParts count="1">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BDF2-26D4-4A83-BC22-4BD7C6A0B50C}">
  <sheetPr codeName="Sheet21">
    <tabColor rgb="FF92D050"/>
  </sheetPr>
  <dimension ref="A1:D39"/>
  <sheetViews>
    <sheetView zoomScaleNormal="100" workbookViewId="0"/>
  </sheetViews>
  <sheetFormatPr defaultColWidth="8.765625" defaultRowHeight="17.5"/>
  <cols>
    <col min="1" max="1" width="8.765625" style="4"/>
    <col min="2" max="2" width="19.3046875" style="4" customWidth="1"/>
    <col min="3" max="3" width="23" style="4" customWidth="1"/>
    <col min="4" max="4" width="19.84375" style="4" customWidth="1"/>
    <col min="5" max="16384" width="8.765625" style="4"/>
  </cols>
  <sheetData>
    <row r="1" spans="1:4" s="2" customFormat="1" ht="45" customHeight="1">
      <c r="A1" s="107" t="s">
        <v>265</v>
      </c>
    </row>
    <row r="2" spans="1:4" s="1" customFormat="1" ht="40.5" customHeight="1">
      <c r="A2" s="87" t="s">
        <v>51</v>
      </c>
      <c r="B2" s="79" t="s">
        <v>262</v>
      </c>
      <c r="C2" s="79" t="s">
        <v>263</v>
      </c>
      <c r="D2" s="78" t="s">
        <v>264</v>
      </c>
    </row>
    <row r="3" spans="1:4" s="1" customFormat="1" ht="20.25" customHeight="1">
      <c r="A3" s="88">
        <v>2017</v>
      </c>
      <c r="B3" s="284">
        <v>0.251</v>
      </c>
      <c r="C3" s="284">
        <v>0.19</v>
      </c>
      <c r="D3" s="285">
        <v>0.112</v>
      </c>
    </row>
    <row r="4" spans="1:4" s="1" customFormat="1" ht="20.25" customHeight="1">
      <c r="A4" s="88">
        <v>2018</v>
      </c>
      <c r="B4" s="284">
        <v>0.25900000000000001</v>
      </c>
      <c r="C4" s="284">
        <v>0.19600000000000001</v>
      </c>
      <c r="D4" s="285">
        <v>0.127</v>
      </c>
    </row>
    <row r="5" spans="1:4" s="1" customFormat="1" ht="20.25" customHeight="1">
      <c r="A5" s="88">
        <v>2019</v>
      </c>
      <c r="B5" s="284">
        <v>0.255</v>
      </c>
      <c r="C5" s="284">
        <v>0.186</v>
      </c>
      <c r="D5" s="285">
        <v>0.11799999999999999</v>
      </c>
    </row>
    <row r="6" spans="1:4" s="1" customFormat="1" ht="20.25" customHeight="1">
      <c r="A6" s="88">
        <v>2020</v>
      </c>
      <c r="B6" s="284">
        <v>0.19400000000000001</v>
      </c>
      <c r="C6" s="284">
        <v>0.14899999999999999</v>
      </c>
      <c r="D6" s="285">
        <v>9.5000000000000001E-2</v>
      </c>
    </row>
    <row r="7" spans="1:4" s="1" customFormat="1" ht="20.25" customHeight="1">
      <c r="A7" s="88">
        <v>2021</v>
      </c>
      <c r="B7" s="284">
        <v>0.224</v>
      </c>
      <c r="C7" s="284">
        <v>0.17199999999999999</v>
      </c>
      <c r="D7" s="285">
        <v>0.11799999999999999</v>
      </c>
    </row>
    <row r="8" spans="1:4" s="1" customFormat="1" ht="20.25" customHeight="1">
      <c r="A8" s="88">
        <v>2022</v>
      </c>
      <c r="B8" s="284">
        <v>0.246</v>
      </c>
      <c r="C8" s="284">
        <v>0.192</v>
      </c>
      <c r="D8" s="285">
        <v>0.13</v>
      </c>
    </row>
    <row r="9" spans="1:4" s="1" customFormat="1" ht="20.25" customHeight="1">
      <c r="A9" s="88">
        <v>2023</v>
      </c>
      <c r="B9" s="284">
        <v>0.22800000000000001</v>
      </c>
      <c r="C9" s="284">
        <v>0.17699999999999999</v>
      </c>
      <c r="D9" s="285">
        <v>0.13</v>
      </c>
    </row>
    <row r="10" spans="1:4" s="1" customFormat="1" ht="20.25" customHeight="1">
      <c r="A10" s="115">
        <v>2024</v>
      </c>
      <c r="B10" s="286">
        <v>0.23</v>
      </c>
      <c r="C10" s="286">
        <v>0.18</v>
      </c>
      <c r="D10" s="287">
        <v>0.12</v>
      </c>
    </row>
    <row r="11" spans="1:4" s="1" customFormat="1" ht="20.25" customHeight="1"/>
    <row r="12" spans="1:4" s="1" customFormat="1" ht="20.25" customHeight="1"/>
    <row r="13" spans="1:4" s="1" customFormat="1" ht="20.25" customHeight="1"/>
    <row r="14" spans="1:4" s="1" customFormat="1" ht="20.25" customHeight="1"/>
    <row r="15" spans="1:4" s="1" customFormat="1" ht="20.25" customHeight="1"/>
    <row r="16" spans="1:4" s="1" customFormat="1" ht="20.25" customHeight="1"/>
    <row r="17" s="1" customFormat="1" ht="20.25" customHeight="1"/>
    <row r="18" s="1" customFormat="1" ht="20.25" customHeight="1"/>
    <row r="19" s="1" customFormat="1" ht="20.25" customHeight="1"/>
    <row r="20" s="1" customFormat="1" ht="20.25" customHeight="1"/>
    <row r="21" s="1" customFormat="1" ht="20.25" customHeight="1"/>
    <row r="22" s="1" customFormat="1" ht="20.25" customHeight="1"/>
    <row r="23" s="1" customFormat="1" ht="20.5" customHeight="1"/>
    <row r="24" s="1" customFormat="1" ht="20.5" customHeight="1"/>
    <row r="25" s="1" customFormat="1" ht="20.5" customHeight="1"/>
    <row r="26" s="1" customFormat="1" ht="20.5" customHeight="1"/>
    <row r="27" s="1" customFormat="1" ht="20.5" customHeight="1"/>
    <row r="28" s="1" customFormat="1" ht="20.5" customHeight="1"/>
    <row r="29" s="1" customFormat="1" ht="20.5" customHeight="1"/>
    <row r="30" s="1" customFormat="1" ht="20.5" customHeight="1"/>
    <row r="31" s="1" customFormat="1" ht="20.5" customHeight="1"/>
    <row r="32" s="1" customFormat="1" ht="20.5" customHeight="1"/>
    <row r="33" spans="1:1" s="1" customFormat="1" ht="20.5" customHeight="1"/>
    <row r="34" spans="1:1" ht="20.5" customHeight="1"/>
    <row r="35" spans="1:1" ht="20.5" customHeight="1"/>
    <row r="36" spans="1:1" ht="20.5" customHeight="1"/>
    <row r="37" spans="1:1" ht="20.5" customHeight="1">
      <c r="A37" s="92" t="s">
        <v>59</v>
      </c>
    </row>
    <row r="38" spans="1:1" ht="20.5" customHeight="1">
      <c r="A38" s="92" t="s">
        <v>50</v>
      </c>
    </row>
    <row r="39" spans="1:1" ht="20.5" customHeight="1">
      <c r="A39" s="94"/>
    </row>
  </sheetData>
  <hyperlinks>
    <hyperlink ref="A37" location="'Table of contents'!A1" display="Back to Table of contents" xr:uid="{6A7EADA4-A1B3-4484-8F35-5B5DF25938A7}"/>
    <hyperlink ref="A38" r:id="rId1" display="Back to Road Casualties in Greater London 2024 Factsheet" xr:uid="{6373F2F2-9053-41DE-814D-F725C8A4BBD3}"/>
  </hyperlinks>
  <pageMargins left="0.7" right="0.7" top="0.75" bottom="0.75" header="0.3" footer="0.3"/>
  <drawing r:id="rId2"/>
  <tableParts count="1">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1F91-C499-4FE1-BD8A-5D9D9F009BB1}">
  <sheetPr codeName="Sheet22">
    <tabColor rgb="FF92D050"/>
    <pageSetUpPr fitToPage="1"/>
  </sheetPr>
  <dimension ref="A1:X57"/>
  <sheetViews>
    <sheetView showGridLines="0" zoomScaleNormal="100" workbookViewId="0">
      <selection activeCell="G8" sqref="G8"/>
    </sheetView>
  </sheetViews>
  <sheetFormatPr defaultColWidth="8.765625" defaultRowHeight="21" customHeight="1"/>
  <cols>
    <col min="1" max="1" width="9" style="4" bestFit="1" customWidth="1"/>
    <col min="2" max="2" width="29.23046875" style="4" customWidth="1"/>
    <col min="3" max="3" width="23.84375" style="4" customWidth="1"/>
    <col min="4" max="4" width="23.765625" style="4" customWidth="1"/>
    <col min="5" max="5" width="27.4609375" style="4" customWidth="1"/>
    <col min="6" max="11" width="8.765625" style="4"/>
    <col min="12" max="12" width="13.23046875" style="4" bestFit="1" customWidth="1"/>
    <col min="13" max="15" width="9" style="4" bestFit="1" customWidth="1"/>
    <col min="16" max="16" width="8.765625" style="4"/>
    <col min="17" max="17" width="9" style="4" bestFit="1" customWidth="1"/>
    <col min="18" max="18" width="8.765625" style="4"/>
    <col min="19" max="19" width="9" style="4" bestFit="1" customWidth="1"/>
    <col min="20" max="20" width="8.765625" style="4"/>
    <col min="21" max="23" width="9" style="4" bestFit="1" customWidth="1"/>
    <col min="24" max="16384" width="8.765625" style="4"/>
  </cols>
  <sheetData>
    <row r="1" spans="1:14" ht="45" customHeight="1">
      <c r="A1" s="107" t="s">
        <v>48</v>
      </c>
    </row>
    <row r="2" spans="1:14" s="1" customFormat="1" ht="40.5" customHeight="1">
      <c r="A2" s="110" t="s">
        <v>51</v>
      </c>
      <c r="B2" s="110" t="s">
        <v>266</v>
      </c>
      <c r="C2" s="79" t="s">
        <v>267</v>
      </c>
      <c r="D2" s="110" t="s">
        <v>268</v>
      </c>
      <c r="E2" s="87" t="s">
        <v>269</v>
      </c>
      <c r="F2" s="5"/>
      <c r="G2" s="5"/>
    </row>
    <row r="3" spans="1:14" s="1" customFormat="1" ht="20.25" customHeight="1">
      <c r="A3" s="111">
        <v>2016</v>
      </c>
      <c r="B3" s="282">
        <v>27906.822276738545</v>
      </c>
      <c r="C3" s="85">
        <v>5080</v>
      </c>
      <c r="D3" s="282">
        <v>32986.822276738545</v>
      </c>
      <c r="E3" s="126">
        <v>0.15400089033681444</v>
      </c>
    </row>
    <row r="4" spans="1:14" s="1" customFormat="1" ht="20.25" customHeight="1">
      <c r="A4" s="111">
        <v>2017</v>
      </c>
      <c r="B4" s="282">
        <v>25713</v>
      </c>
      <c r="C4" s="85">
        <v>6854</v>
      </c>
      <c r="D4" s="282">
        <v>32567</v>
      </c>
      <c r="E4" s="126">
        <v>0.21045843952467222</v>
      </c>
    </row>
    <row r="5" spans="1:14" s="1" customFormat="1" ht="20.25" customHeight="1">
      <c r="A5" s="111">
        <v>2018</v>
      </c>
      <c r="B5" s="282">
        <v>22256</v>
      </c>
      <c r="C5" s="85">
        <v>8335</v>
      </c>
      <c r="D5" s="282">
        <v>30591</v>
      </c>
      <c r="E5" s="126">
        <v>0.2724657579026511</v>
      </c>
    </row>
    <row r="6" spans="1:14" s="1" customFormat="1" ht="20.25" customHeight="1">
      <c r="A6" s="111">
        <v>2019</v>
      </c>
      <c r="B6" s="282">
        <v>20113</v>
      </c>
      <c r="C6" s="85">
        <v>9894</v>
      </c>
      <c r="D6" s="282">
        <v>30007</v>
      </c>
      <c r="E6" s="126">
        <v>0.32972306461825573</v>
      </c>
      <c r="N6" s="10"/>
    </row>
    <row r="7" spans="1:14" s="1" customFormat="1" ht="20.25" customHeight="1">
      <c r="A7" s="111">
        <v>2020</v>
      </c>
      <c r="B7" s="282">
        <v>14980</v>
      </c>
      <c r="C7" s="85">
        <v>9365</v>
      </c>
      <c r="D7" s="282">
        <v>24345</v>
      </c>
      <c r="E7" s="126">
        <v>0.3846785787636065</v>
      </c>
    </row>
    <row r="8" spans="1:14" s="1" customFormat="1" ht="20.25" customHeight="1">
      <c r="A8" s="111">
        <v>2021</v>
      </c>
      <c r="B8" s="282">
        <v>17171</v>
      </c>
      <c r="C8" s="85">
        <v>9500</v>
      </c>
      <c r="D8" s="282">
        <v>26671</v>
      </c>
      <c r="E8" s="126">
        <v>0.35619211878069812</v>
      </c>
    </row>
    <row r="9" spans="1:14" s="1" customFormat="1" ht="20.25" customHeight="1">
      <c r="A9" s="111">
        <v>2022</v>
      </c>
      <c r="B9" s="282">
        <v>17080</v>
      </c>
      <c r="C9" s="85">
        <v>10127</v>
      </c>
      <c r="D9" s="282">
        <v>27207</v>
      </c>
      <c r="E9" s="126">
        <v>0.37222038445988165</v>
      </c>
    </row>
    <row r="10" spans="1:14" s="1" customFormat="1" ht="20.25" customHeight="1">
      <c r="A10" s="111">
        <v>2023</v>
      </c>
      <c r="B10" s="282">
        <v>15277</v>
      </c>
      <c r="C10" s="85">
        <v>10899</v>
      </c>
      <c r="D10" s="282">
        <v>26176</v>
      </c>
      <c r="E10" s="126">
        <v>0.41637377750611249</v>
      </c>
    </row>
    <row r="11" spans="1:14" s="1" customFormat="1" ht="20.25" customHeight="1">
      <c r="A11" s="113">
        <v>2024</v>
      </c>
      <c r="B11" s="283">
        <v>14683</v>
      </c>
      <c r="C11" s="283">
        <v>9336</v>
      </c>
      <c r="D11" s="283">
        <v>24019</v>
      </c>
      <c r="E11" s="288">
        <v>0.38869228527415794</v>
      </c>
    </row>
    <row r="12" spans="1:14" s="1" customFormat="1" ht="20.25" customHeight="1">
      <c r="A12" s="129" t="s">
        <v>270</v>
      </c>
      <c r="B12" s="130"/>
      <c r="C12" s="130"/>
      <c r="D12" s="283"/>
      <c r="E12" s="93"/>
    </row>
    <row r="13" spans="1:14" s="1" customFormat="1" ht="20.25" customHeight="1"/>
    <row r="14" spans="1:14" s="1" customFormat="1" ht="20.25" customHeight="1"/>
    <row r="15" spans="1:14" s="1" customFormat="1" ht="20.25" customHeight="1"/>
    <row r="16" spans="1:14" s="1" customFormat="1" ht="20.25" customHeight="1"/>
    <row r="17" spans="6:24" s="1" customFormat="1" ht="20.5" customHeight="1"/>
    <row r="18" spans="6:24" s="1" customFormat="1" ht="20.5" customHeight="1"/>
    <row r="19" spans="6:24" s="1" customFormat="1" ht="20.5" customHeight="1"/>
    <row r="20" spans="6:24" s="1" customFormat="1" ht="20.5" customHeight="1"/>
    <row r="21" spans="6:24" s="1" customFormat="1" ht="20.5" customHeight="1"/>
    <row r="22" spans="6:24" s="1" customFormat="1" ht="20.5" customHeight="1"/>
    <row r="23" spans="6:24" s="1" customFormat="1" ht="20.5" customHeight="1"/>
    <row r="24" spans="6:24" s="1" customFormat="1" ht="20.5" customHeight="1"/>
    <row r="25" spans="6:24" s="1" customFormat="1" ht="20.5" customHeight="1"/>
    <row r="26" spans="6:24" s="1" customFormat="1" ht="20.5" customHeight="1"/>
    <row r="27" spans="6:24" s="1" customFormat="1" ht="20.5" customHeight="1"/>
    <row r="28" spans="6:24" s="1" customFormat="1" ht="20.5" customHeight="1">
      <c r="G28" s="31"/>
      <c r="H28" s="30"/>
    </row>
    <row r="29" spans="6:24" ht="20.5" customHeight="1">
      <c r="F29" s="1"/>
      <c r="G29" s="31"/>
      <c r="H29" s="30"/>
      <c r="I29" s="1"/>
    </row>
    <row r="30" spans="6:24" ht="20.5" customHeight="1">
      <c r="F30" s="1"/>
      <c r="G30" s="31"/>
      <c r="H30" s="30"/>
      <c r="I30" s="1"/>
    </row>
    <row r="31" spans="6:24" ht="20.5" customHeight="1">
      <c r="F31" s="1"/>
      <c r="G31" s="31"/>
      <c r="H31" s="30"/>
      <c r="I31" s="1"/>
    </row>
    <row r="32" spans="6:24" ht="20.5" customHeight="1">
      <c r="F32" s="1"/>
      <c r="G32" s="31"/>
      <c r="H32" s="30"/>
      <c r="I32" s="1"/>
      <c r="K32" s="31"/>
      <c r="L32" s="31"/>
      <c r="M32" s="31"/>
      <c r="N32" s="31"/>
      <c r="O32" s="31"/>
      <c r="P32" s="31"/>
      <c r="Q32" s="31"/>
      <c r="R32" s="31"/>
      <c r="S32" s="31"/>
      <c r="T32" s="31"/>
      <c r="U32" s="31"/>
      <c r="V32" s="31"/>
      <c r="W32" s="31"/>
      <c r="X32" s="31"/>
    </row>
    <row r="33" spans="1:24" ht="20.5" customHeight="1">
      <c r="F33" s="1"/>
      <c r="G33" s="31"/>
      <c r="H33" s="30"/>
      <c r="I33" s="1"/>
      <c r="K33" s="31"/>
      <c r="L33" s="31"/>
      <c r="M33" s="31"/>
      <c r="N33" s="31"/>
      <c r="O33" s="31"/>
      <c r="P33" s="31"/>
      <c r="Q33" s="31"/>
      <c r="R33" s="31"/>
      <c r="S33" s="31"/>
      <c r="T33" s="31"/>
      <c r="U33" s="31"/>
      <c r="V33" s="31"/>
      <c r="W33" s="31"/>
      <c r="X33" s="31"/>
    </row>
    <row r="34" spans="1:24" ht="20.5" customHeight="1">
      <c r="F34" s="1"/>
      <c r="G34" s="31"/>
      <c r="H34" s="30"/>
      <c r="I34" s="1"/>
      <c r="K34" s="31"/>
      <c r="L34" s="31"/>
      <c r="M34" s="31"/>
      <c r="N34" s="31"/>
      <c r="O34" s="31"/>
      <c r="P34" s="31"/>
      <c r="Q34" s="31"/>
      <c r="R34" s="31"/>
      <c r="S34" s="31"/>
      <c r="T34" s="31"/>
      <c r="U34" s="31"/>
      <c r="V34" s="31"/>
      <c r="W34" s="31"/>
      <c r="X34" s="31"/>
    </row>
    <row r="35" spans="1:24" ht="20.5" customHeight="1">
      <c r="F35" s="1"/>
      <c r="G35" s="31"/>
      <c r="H35" s="30"/>
      <c r="I35" s="1"/>
      <c r="K35" s="31"/>
      <c r="L35" s="31"/>
      <c r="M35" s="31"/>
      <c r="N35" s="31"/>
      <c r="O35" s="31"/>
      <c r="P35" s="31"/>
      <c r="Q35" s="31"/>
      <c r="R35" s="31"/>
      <c r="S35" s="31"/>
      <c r="T35" s="31"/>
      <c r="U35" s="31"/>
      <c r="V35" s="31"/>
      <c r="W35" s="31"/>
      <c r="X35" s="31"/>
    </row>
    <row r="36" spans="1:24" ht="20.5" customHeight="1">
      <c r="F36" s="1"/>
      <c r="G36" s="31"/>
      <c r="H36" s="30"/>
      <c r="I36" s="1"/>
      <c r="K36" s="31"/>
      <c r="L36" s="31"/>
      <c r="M36" s="31"/>
      <c r="N36" s="31"/>
      <c r="O36" s="31"/>
      <c r="P36" s="31"/>
      <c r="Q36" s="31"/>
      <c r="R36" s="31"/>
      <c r="S36" s="31"/>
      <c r="T36" s="31"/>
      <c r="U36" s="31"/>
      <c r="V36" s="31"/>
      <c r="W36" s="31"/>
      <c r="X36" s="31"/>
    </row>
    <row r="37" spans="1:24" ht="21" customHeight="1">
      <c r="A37" s="92" t="s">
        <v>59</v>
      </c>
      <c r="K37" s="31"/>
      <c r="L37" s="31"/>
      <c r="M37" s="31"/>
      <c r="N37" s="31"/>
      <c r="O37" s="31"/>
      <c r="P37" s="31"/>
      <c r="Q37" s="31"/>
      <c r="R37" s="31"/>
      <c r="S37" s="31"/>
      <c r="T37" s="31"/>
      <c r="U37" s="31"/>
      <c r="V37" s="31"/>
      <c r="W37" s="31"/>
      <c r="X37" s="31"/>
    </row>
    <row r="38" spans="1:24" ht="21" customHeight="1">
      <c r="A38" s="92" t="s">
        <v>50</v>
      </c>
      <c r="K38" s="31"/>
      <c r="L38" s="31"/>
      <c r="M38" s="31"/>
      <c r="N38" s="31"/>
      <c r="O38" s="31"/>
      <c r="P38" s="31"/>
      <c r="Q38" s="31"/>
      <c r="R38" s="31"/>
      <c r="S38" s="31"/>
      <c r="T38" s="31"/>
      <c r="U38" s="31"/>
      <c r="V38" s="31"/>
      <c r="W38" s="31"/>
      <c r="X38" s="31"/>
    </row>
    <row r="39" spans="1:24" ht="21" customHeight="1">
      <c r="A39" s="94"/>
      <c r="K39" s="31"/>
      <c r="L39" s="31"/>
      <c r="M39" s="31"/>
      <c r="N39" s="31"/>
      <c r="O39" s="31"/>
      <c r="P39" s="31"/>
      <c r="Q39" s="31"/>
      <c r="R39" s="31"/>
      <c r="S39" s="31"/>
      <c r="T39" s="31"/>
      <c r="U39" s="31"/>
      <c r="V39" s="31"/>
      <c r="W39" s="31"/>
      <c r="X39" s="31"/>
    </row>
    <row r="40" spans="1:24" ht="20.5" customHeight="1">
      <c r="K40" s="31"/>
      <c r="L40" s="31"/>
      <c r="M40" s="31"/>
      <c r="N40" s="31"/>
      <c r="O40" s="31"/>
      <c r="P40" s="31"/>
      <c r="Q40" s="31"/>
      <c r="R40" s="31"/>
      <c r="S40" s="31"/>
      <c r="T40" s="31"/>
      <c r="U40" s="31"/>
      <c r="V40" s="31"/>
      <c r="W40" s="31"/>
      <c r="X40" s="31"/>
    </row>
    <row r="41" spans="1:24" ht="20.5" customHeight="1">
      <c r="K41" s="31"/>
      <c r="L41" s="31"/>
      <c r="M41" s="31"/>
      <c r="N41" s="31"/>
      <c r="O41" s="31"/>
      <c r="P41" s="31"/>
      <c r="Q41" s="31"/>
      <c r="R41" s="31"/>
      <c r="S41" s="31"/>
      <c r="T41" s="31"/>
      <c r="U41" s="31"/>
      <c r="V41" s="31"/>
      <c r="W41" s="31"/>
      <c r="X41" s="31"/>
    </row>
    <row r="42" spans="1:24" ht="20.5" customHeight="1">
      <c r="K42" s="31"/>
      <c r="L42" s="31"/>
      <c r="M42" s="31"/>
      <c r="N42" s="31"/>
      <c r="O42" s="31"/>
      <c r="P42" s="31"/>
      <c r="Q42" s="31"/>
      <c r="R42" s="31"/>
      <c r="S42" s="31"/>
      <c r="T42" s="31"/>
      <c r="U42" s="31"/>
      <c r="V42" s="31"/>
      <c r="W42" s="31"/>
      <c r="X42" s="31"/>
    </row>
    <row r="43" spans="1:24" ht="20.5" customHeight="1">
      <c r="A43" s="281"/>
      <c r="K43" s="31"/>
      <c r="L43" s="31"/>
      <c r="M43" s="31"/>
      <c r="N43" s="31"/>
      <c r="O43" s="31"/>
      <c r="P43" s="31"/>
      <c r="Q43" s="31"/>
      <c r="R43" s="31"/>
      <c r="S43" s="31"/>
      <c r="T43" s="31"/>
      <c r="U43" s="31"/>
      <c r="V43" s="31"/>
      <c r="W43" s="31"/>
      <c r="X43" s="31"/>
    </row>
    <row r="44" spans="1:24" ht="21" customHeight="1">
      <c r="K44" s="31"/>
      <c r="L44" s="31"/>
      <c r="M44" s="31"/>
      <c r="N44" s="31"/>
      <c r="O44" s="31"/>
      <c r="P44" s="31"/>
      <c r="Q44" s="31"/>
      <c r="R44" s="31"/>
      <c r="S44" s="31"/>
      <c r="T44" s="31"/>
      <c r="U44" s="31"/>
      <c r="V44" s="31"/>
      <c r="W44" s="31"/>
      <c r="X44" s="31"/>
    </row>
    <row r="45" spans="1:24" ht="21" customHeight="1">
      <c r="K45" s="31"/>
      <c r="L45" s="31"/>
      <c r="M45" s="31"/>
      <c r="N45" s="31"/>
      <c r="O45" s="31"/>
      <c r="P45" s="31"/>
      <c r="Q45" s="31"/>
      <c r="R45" s="31"/>
      <c r="S45" s="31"/>
      <c r="T45" s="31"/>
      <c r="U45" s="31"/>
      <c r="V45" s="31"/>
      <c r="W45" s="31"/>
      <c r="X45" s="31"/>
    </row>
    <row r="46" spans="1:24" ht="21" customHeight="1">
      <c r="K46" s="31"/>
      <c r="L46" s="31"/>
      <c r="M46" s="31"/>
      <c r="N46" s="31"/>
      <c r="O46" s="31"/>
      <c r="P46" s="31"/>
      <c r="Q46" s="31"/>
      <c r="R46" s="31"/>
      <c r="S46" s="31"/>
      <c r="T46" s="31"/>
      <c r="U46" s="31"/>
      <c r="V46" s="31"/>
      <c r="W46" s="31"/>
      <c r="X46" s="31"/>
    </row>
    <row r="47" spans="1:24" ht="21" customHeight="1">
      <c r="K47" s="31"/>
      <c r="L47" s="31"/>
      <c r="M47" s="31"/>
      <c r="N47" s="31"/>
      <c r="O47" s="31"/>
      <c r="P47" s="31"/>
      <c r="Q47" s="31"/>
      <c r="R47" s="31"/>
      <c r="S47" s="31"/>
      <c r="T47" s="31"/>
      <c r="U47" s="31"/>
      <c r="V47" s="31"/>
      <c r="W47" s="31"/>
      <c r="X47" s="31"/>
    </row>
    <row r="48" spans="1:24" ht="21" customHeight="1">
      <c r="K48" s="31"/>
      <c r="L48" s="31"/>
      <c r="M48" s="31"/>
      <c r="N48" s="31"/>
      <c r="O48" s="31"/>
      <c r="P48" s="31"/>
      <c r="Q48" s="31"/>
      <c r="R48" s="31"/>
      <c r="S48" s="31"/>
      <c r="T48" s="31"/>
      <c r="U48" s="31"/>
      <c r="V48" s="31"/>
      <c r="W48" s="31"/>
      <c r="X48" s="31"/>
    </row>
    <row r="49" spans="11:24" ht="21" customHeight="1">
      <c r="K49" s="31"/>
      <c r="L49" s="31"/>
      <c r="M49" s="31"/>
      <c r="N49" s="31"/>
      <c r="O49" s="31"/>
      <c r="P49" s="31"/>
      <c r="Q49" s="31"/>
      <c r="R49" s="31"/>
      <c r="S49" s="31"/>
      <c r="T49" s="31"/>
      <c r="U49" s="31"/>
      <c r="V49" s="31"/>
      <c r="W49" s="31"/>
      <c r="X49" s="31"/>
    </row>
    <row r="50" spans="11:24" ht="21" customHeight="1">
      <c r="K50" s="31"/>
      <c r="L50" s="31"/>
      <c r="M50" s="31"/>
      <c r="N50" s="31"/>
      <c r="O50" s="31"/>
      <c r="P50" s="31"/>
      <c r="Q50" s="31"/>
      <c r="R50" s="31"/>
      <c r="S50" s="31"/>
      <c r="T50" s="31"/>
      <c r="U50" s="31"/>
      <c r="V50" s="31"/>
      <c r="W50" s="31"/>
      <c r="X50" s="31"/>
    </row>
    <row r="51" spans="11:24" ht="21" customHeight="1">
      <c r="K51" s="31"/>
      <c r="L51" s="31"/>
      <c r="M51" s="31"/>
      <c r="N51" s="31"/>
      <c r="O51" s="31"/>
      <c r="P51" s="31"/>
      <c r="Q51" s="31"/>
      <c r="R51" s="31"/>
      <c r="S51" s="31"/>
      <c r="T51" s="31"/>
      <c r="U51" s="31"/>
      <c r="V51" s="31"/>
      <c r="W51" s="31"/>
      <c r="X51" s="31"/>
    </row>
    <row r="52" spans="11:24" ht="21" customHeight="1">
      <c r="K52" s="31"/>
      <c r="L52" s="31"/>
      <c r="M52" s="31"/>
      <c r="N52" s="31"/>
      <c r="O52" s="31"/>
      <c r="P52" s="31"/>
      <c r="Q52" s="31"/>
      <c r="R52" s="31"/>
      <c r="S52" s="31"/>
      <c r="T52" s="31"/>
      <c r="U52" s="31"/>
      <c r="V52" s="31"/>
      <c r="W52" s="31"/>
      <c r="X52" s="31"/>
    </row>
    <row r="53" spans="11:24" ht="21" customHeight="1">
      <c r="K53" s="31"/>
      <c r="L53" s="31"/>
      <c r="M53" s="31"/>
      <c r="N53" s="31"/>
      <c r="O53" s="31"/>
      <c r="P53" s="31"/>
      <c r="Q53" s="31"/>
      <c r="R53" s="31"/>
      <c r="S53" s="31"/>
      <c r="T53" s="31"/>
      <c r="U53" s="31"/>
      <c r="V53" s="31"/>
      <c r="W53" s="31"/>
      <c r="X53" s="31"/>
    </row>
    <row r="54" spans="11:24" ht="21" customHeight="1">
      <c r="K54" s="31"/>
      <c r="L54" s="31"/>
      <c r="M54" s="31"/>
      <c r="N54" s="31"/>
      <c r="O54" s="31"/>
      <c r="P54" s="31"/>
      <c r="Q54" s="31"/>
      <c r="R54" s="31"/>
      <c r="S54" s="31"/>
      <c r="T54" s="31"/>
      <c r="U54" s="31"/>
      <c r="V54" s="31"/>
      <c r="W54" s="31"/>
      <c r="X54" s="31"/>
    </row>
    <row r="55" spans="11:24" ht="21" customHeight="1">
      <c r="K55" s="31"/>
      <c r="L55" s="31"/>
      <c r="M55" s="31"/>
      <c r="N55" s="31"/>
      <c r="O55" s="31"/>
      <c r="P55" s="31"/>
      <c r="Q55" s="31"/>
      <c r="R55" s="31"/>
      <c r="S55" s="31"/>
      <c r="T55" s="31"/>
      <c r="U55" s="31"/>
      <c r="V55" s="31"/>
      <c r="W55" s="31"/>
      <c r="X55" s="31"/>
    </row>
    <row r="56" spans="11:24" ht="21" customHeight="1">
      <c r="K56" s="31"/>
      <c r="L56" s="31"/>
      <c r="M56" s="31"/>
      <c r="N56" s="31"/>
      <c r="O56" s="31"/>
      <c r="P56" s="31"/>
      <c r="Q56" s="31"/>
      <c r="R56" s="31"/>
      <c r="S56" s="31"/>
      <c r="T56" s="31"/>
      <c r="U56" s="31"/>
      <c r="V56" s="31"/>
      <c r="W56" s="31"/>
      <c r="X56" s="31"/>
    </row>
    <row r="57" spans="11:24" ht="21" customHeight="1">
      <c r="K57" s="31"/>
      <c r="L57" s="31"/>
      <c r="M57" s="31"/>
      <c r="N57" s="31"/>
      <c r="O57" s="31"/>
      <c r="P57" s="31"/>
      <c r="Q57" s="31"/>
      <c r="R57" s="31"/>
      <c r="S57" s="31"/>
      <c r="T57" s="31"/>
      <c r="U57" s="31"/>
      <c r="V57" s="31"/>
      <c r="W57" s="31"/>
      <c r="X57" s="31"/>
    </row>
  </sheetData>
  <hyperlinks>
    <hyperlink ref="A37" location="'Table of contents'!A1" display="Back to Table of contents" xr:uid="{BBDCA731-DE0B-427D-847A-E461BEC9FF98}"/>
    <hyperlink ref="A38" r:id="rId1" display="Back to Road Casualties in Greater London 2024 Factsheet" xr:uid="{0B74EEEF-FBD8-481B-AE99-6E146ACED3CB}"/>
  </hyperlinks>
  <pageMargins left="0.19" right="0.18" top="1" bottom="1" header="0.5" footer="0.5"/>
  <pageSetup paperSize="9" scale="48" orientation="landscape" horizontalDpi="300" verticalDpi="300" r:id="rId2"/>
  <headerFooter alignWithMargins="0">
    <oddHeader>&amp;R&amp;"Arial,Bold Italic"&amp;11ITEM 8.1</oddHeader>
  </headerFooter>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mpiler xmlns="68d2735e-f70a-416e-bdfe-90ffec7c1d0c">
      <UserInfo>
        <DisplayName/>
        <AccountId xsi:nil="true"/>
        <AccountType/>
      </UserInfo>
    </Compiler>
    <OpModelLabel xmlns="68d2735e-f70a-416e-bdfe-90ffec7c1d0c" xsi:nil="true"/>
    <OPModelLabel0 xmlns="68d2735e-f70a-416e-bdfe-90ffec7c1d0c" xsi:nil="true"/>
    <Addedtoreport_x003f_ xmlns="68d2735e-f70a-416e-bdfe-90ffec7c1d0c">false</Addedtoreport_x003f_>
    <Mode xmlns="68d2735e-f70a-416e-bdfe-90ffec7c1d0c" xsi:nil="true"/>
    <Dateofreport xmlns="68d2735e-f70a-416e-bdfe-90ffec7c1d0c" xsi:nil="true"/>
    <DateofIncident xmlns="68d2735e-f70a-416e-bdfe-90ffec7c1d0c" xsi:nil="true"/>
    <lcf76f155ced4ddcb4097134ff3c332f xmlns="68d2735e-f70a-416e-bdfe-90ffec7c1d0c">
      <Terms xmlns="http://schemas.microsoft.com/office/infopath/2007/PartnerControls"/>
    </lcf76f155ced4ddcb4097134ff3c332f>
    <TaxCatchAll xmlns="801ea4e6-356c-4d90-aef9-664fc2866395" xsi:nil="true"/>
    <Createdby xmlns="68d2735e-f70a-416e-bdfe-90ffec7c1d0c" xsi:nil="true"/>
    <RESTRICTED_x003f_ xmlns="68d2735e-f70a-416e-bdfe-90ffec7c1d0c">RESTRICTED</RESTRICTED_x003f_>
    <BusinessArea xmlns="68d2735e-f70a-416e-bdfe-90ffec7c1d0c" xsi:nil="true"/>
    <Notes xmlns="68d2735e-f70a-416e-bdfe-90ffec7c1d0c" xsi:nil="true"/>
    <RiskArea xmlns="68d2735e-f70a-416e-bdfe-90ffec7c1d0c" xsi:nil="true"/>
    <PeriodImage xmlns="68d2735e-f70a-416e-bdfe-90ffec7c1d0c" xsi:nil="true"/>
    <SharedWithUsers xmlns="4ef378ad-4c14-4e47-b91e-0558d6405708">
      <UserInfo>
        <DisplayName>Renata Orban</DisplayName>
        <AccountId>3617</AccountId>
        <AccountType/>
      </UserInfo>
      <UserInfo>
        <DisplayName>Malgorzata Filas</DisplayName>
        <AccountId>1876</AccountId>
        <AccountType/>
      </UserInfo>
      <UserInfo>
        <DisplayName>Stephen Manson</DisplayName>
        <AccountId>55</AccountId>
        <AccountType/>
      </UserInfo>
      <UserInfo>
        <DisplayName>Amy Pidwill</DisplayName>
        <AccountId>109</AccountId>
        <AccountType/>
      </UserInfo>
      <UserInfo>
        <DisplayName>Alexander Tallon</DisplayName>
        <AccountId>4444</AccountId>
        <AccountType/>
      </UserInfo>
      <UserInfo>
        <DisplayName>Hannah Bougdah</DisplayName>
        <AccountId>4085</AccountId>
        <AccountType/>
      </UserInfo>
      <UserInfo>
        <DisplayName>Kalid Nur</DisplayName>
        <AccountId>3255</AccountId>
        <AccountType/>
      </UserInfo>
      <UserInfo>
        <DisplayName>Peaches Williams</DisplayName>
        <AccountId>5692</AccountId>
        <AccountType/>
      </UserInfo>
    </SharedWithUsers>
    <Inputyears xmlns="68d2735e-f70a-416e-bdfe-90ffec7c1d0c" xsi:nil="true"/>
    <_dlc_DocId xmlns="4ef378ad-4c14-4e47-b91e-0558d6405708">A4SQS2R6VU5K-1345678293-33451</_dlc_DocId>
    <_dlc_DocIdUrl xmlns="4ef378ad-4c14-4e47-b91e-0558d6405708">
      <Url>https://transportforlondon.sharepoint.com/sites/SHEDataAndAnalysis/_layouts/15/DocIdRedir.aspx?ID=A4SQS2R6VU5K-1345678293-33451</Url>
      <Description>A4SQS2R6VU5K-1345678293-33451</Description>
    </_dlc_DocIdUrl>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F4F8A7445A5A5F4AB36A2095F33FF4F8" ma:contentTypeVersion="33" ma:contentTypeDescription="Create a new document." ma:contentTypeScope="" ma:versionID="f4a6b5b61204f3a2df421a0c71d38684">
  <xsd:schema xmlns:xsd="http://www.w3.org/2001/XMLSchema" xmlns:xs="http://www.w3.org/2001/XMLSchema" xmlns:p="http://schemas.microsoft.com/office/2006/metadata/properties" xmlns:ns2="68d2735e-f70a-416e-bdfe-90ffec7c1d0c" xmlns:ns3="4ef378ad-4c14-4e47-b91e-0558d6405708" xmlns:ns4="801ea4e6-356c-4d90-aef9-664fc2866395" targetNamespace="http://schemas.microsoft.com/office/2006/metadata/properties" ma:root="true" ma:fieldsID="583adce82015860cea1a6643dc01bf5a" ns2:_="" ns3:_="" ns4:_="">
    <xsd:import namespace="68d2735e-f70a-416e-bdfe-90ffec7c1d0c"/>
    <xsd:import namespace="4ef378ad-4c14-4e47-b91e-0558d6405708"/>
    <xsd:import namespace="801ea4e6-356c-4d90-aef9-664fc286639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Notes" minOccurs="0"/>
                <xsd:element ref="ns2:Addedtoreport_x003f_" minOccurs="0"/>
                <xsd:element ref="ns2:Compiler" minOccurs="0"/>
                <xsd:element ref="ns2:DateofIncident" minOccurs="0"/>
                <xsd:element ref="ns2:RESTRICTED_x003f_" minOccurs="0"/>
                <xsd:element ref="ns2:MediaServiceDateTaken" minOccurs="0"/>
                <xsd:element ref="ns2:MediaServiceLocation" minOccurs="0"/>
                <xsd:element ref="ns2:MediaLengthInSeconds" minOccurs="0"/>
                <xsd:element ref="ns2:lcf76f155ced4ddcb4097134ff3c332f" minOccurs="0"/>
                <xsd:element ref="ns4:TaxCatchAll" minOccurs="0"/>
                <xsd:element ref="ns2:OpModelLabel" minOccurs="0"/>
                <xsd:element ref="ns2:BusinessArea" minOccurs="0"/>
                <xsd:element ref="ns2:Mode" minOccurs="0"/>
                <xsd:element ref="ns2:RiskArea" minOccurs="0"/>
                <xsd:element ref="ns2:OPModelLabel0" minOccurs="0"/>
                <xsd:element ref="ns2:Createdby" minOccurs="0"/>
                <xsd:element ref="ns2:MediaServiceObjectDetectorVersions" minOccurs="0"/>
                <xsd:element ref="ns2:Dateofreport" minOccurs="0"/>
                <xsd:element ref="ns2:MediaServiceSearchProperties" minOccurs="0"/>
                <xsd:element ref="ns2:PeriodImage" minOccurs="0"/>
                <xsd:element ref="ns2:Inputyears"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d2735e-f70a-416e-bdfe-90ffec7c1d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Notes" ma:index="18" nillable="true" ma:displayName="Year_Period" ma:format="Dropdown" ma:internalName="Notes">
      <xsd:simpleType>
        <xsd:restriction base="dms:Note">
          <xsd:maxLength value="255"/>
        </xsd:restriction>
      </xsd:simpleType>
    </xsd:element>
    <xsd:element name="Addedtoreport_x003f_" ma:index="19" nillable="true" ma:displayName="Added to report?" ma:default="0" ma:description="Have incidents from this document been added to the report?" ma:format="Dropdown" ma:internalName="Addedtoreport_x003f_">
      <xsd:simpleType>
        <xsd:restriction base="dms:Boolean"/>
      </xsd:simpleType>
    </xsd:element>
    <xsd:element name="Compiler" ma:index="20" nillable="true" ma:displayName="Compiler" ma:description="Person responsible for compiler that weeks report" ma:format="Dropdown" ma:list="UserInfo" ma:SharePointGroup="0" ma:internalName="Compil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ateofIncident" ma:index="21" nillable="true" ma:displayName="Date of Incident" ma:format="DateOnly" ma:internalName="DateofIncident">
      <xsd:simpleType>
        <xsd:restriction base="dms:DateTime"/>
      </xsd:simpleType>
    </xsd:element>
    <xsd:element name="RESTRICTED_x003f_" ma:index="22" nillable="true" ma:displayName="RESTRICTED?" ma:default="RESTRICTED" ma:format="Dropdown" ma:internalName="RESTRICTED_x003f_">
      <xsd:simpleType>
        <xsd:restriction base="dms:Choice">
          <xsd:enumeration value="NOT RESTRICTED"/>
          <xsd:enumeration value="RESTRICTED"/>
          <xsd:enumeration value="CONFIDENTIAL"/>
        </xsd:restriction>
      </xsd:simpleType>
    </xsd:element>
    <xsd:element name="MediaServiceDateTaken" ma:index="23" nillable="true" ma:displayName="MediaServiceDateTaken" ma:hidden="true" ma:internalName="MediaServiceDateTaken" ma:readOnly="true">
      <xsd:simpleType>
        <xsd:restriction base="dms:Text"/>
      </xsd:simpleType>
    </xsd:element>
    <xsd:element name="MediaServiceLocation" ma:index="24" nillable="true" ma:displayName="Location"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7bc4632c-c0dc-4527-9b44-4e2626a7d4af" ma:termSetId="09814cd3-568e-fe90-9814-8d621ff8fb84" ma:anchorId="fba54fb3-c3e1-fe81-a776-ca4b69148c4d" ma:open="true" ma:isKeyword="false">
      <xsd:complexType>
        <xsd:sequence>
          <xsd:element ref="pc:Terms" minOccurs="0" maxOccurs="1"/>
        </xsd:sequence>
      </xsd:complexType>
    </xsd:element>
    <xsd:element name="OpModelLabel" ma:index="29" nillable="true" ma:displayName="Capability" ma:description="Used to assign work to specific Op Model Labels" ma:format="Dropdown" ma:internalName="OpModelLabel">
      <xsd:complexType>
        <xsd:complexContent>
          <xsd:extension base="dms:MultiChoice">
            <xsd:sequence>
              <xsd:element name="Value" maxOccurs="unbounded" minOccurs="0" nillable="true">
                <xsd:simpleType>
                  <xsd:restriction base="dms:Choice">
                    <xsd:enumeration value="Data Management"/>
                    <xsd:enumeration value="Performance Reporting"/>
                    <xsd:enumeration value="Self Service"/>
                    <xsd:enumeration value="Systems"/>
                    <xsd:enumeration value="Governance"/>
                    <xsd:enumeration value="People"/>
                    <xsd:enumeration value="Strategic Analysis"/>
                    <xsd:enumeration value="Advanced Analytics"/>
                    <xsd:enumeration value="Risk Modelling"/>
                  </xsd:restriction>
                </xsd:simpleType>
              </xsd:element>
            </xsd:sequence>
          </xsd:extension>
        </xsd:complexContent>
      </xsd:complexType>
    </xsd:element>
    <xsd:element name="BusinessArea" ma:index="30" nillable="true" ma:displayName="Business Area" ma:format="Dropdown" ma:internalName="BusinessArea">
      <xsd:complexType>
        <xsd:complexContent>
          <xsd:extension base="dms:MultiChoice">
            <xsd:sequence>
              <xsd:element name="Value" maxOccurs="unbounded" minOccurs="0" nillable="true">
                <xsd:simpleType>
                  <xsd:restriction base="dms:Choice">
                    <xsd:enumeration value="Operations"/>
                    <xsd:enumeration value="Capital"/>
                    <xsd:enumeration value="OH"/>
                    <xsd:enumeration value="CE"/>
                    <xsd:enumeration value="Professional Services"/>
                    <xsd:enumeration value="Insight and Direction"/>
                  </xsd:restriction>
                </xsd:simpleType>
              </xsd:element>
            </xsd:sequence>
          </xsd:extension>
        </xsd:complexContent>
      </xsd:complexType>
    </xsd:element>
    <xsd:element name="Mode" ma:index="31" nillable="true" ma:displayName="Mode" ma:format="Dropdown" ma:internalName="Mode">
      <xsd:simpleType>
        <xsd:restriction base="dms:Choice">
          <xsd:enumeration value="LU"/>
          <xsd:enumeration value="Bus, R&amp;SS, CPOS"/>
          <xsd:enumeration value="Streets/Network Management"/>
        </xsd:restriction>
      </xsd:simpleType>
    </xsd:element>
    <xsd:element name="RiskArea" ma:index="32" nillable="true" ma:displayName="Risk Area" ma:description="Choose which of the Top 14 risks this work aligns to" ma:format="Dropdown" ma:internalName="RiskArea">
      <xsd:simpleType>
        <xsd:restriction base="dms:Choice">
          <xsd:enumeration value="Slip Trip Fall"/>
          <xsd:enumeration value="Health Surveillance"/>
          <xsd:enumeration value="Choice 3"/>
          <xsd:enumeration value="Covid 19"/>
        </xsd:restriction>
      </xsd:simpleType>
    </xsd:element>
    <xsd:element name="OPModelLabel0" ma:index="33" nillable="true" ma:displayName="OP Model Label" ma:format="Dropdown" ma:internalName="OPModelLabel0">
      <xsd:simpleType>
        <xsd:restriction base="dms:Choice">
          <xsd:enumeration value="Enhance"/>
          <xsd:enumeration value="Produce"/>
          <xsd:enumeration value="Engage"/>
        </xsd:restriction>
      </xsd:simpleType>
    </xsd:element>
    <xsd:element name="Createdby" ma:index="34" nillable="true" ma:displayName="Created by" ma:format="Dropdown" ma:internalName="Createdby">
      <xsd:simpleType>
        <xsd:restriction base="dms:Text">
          <xsd:maxLength value="255"/>
        </xsd:restriction>
      </xsd:simpleType>
    </xsd:element>
    <xsd:element name="MediaServiceObjectDetectorVersions" ma:index="35" nillable="true" ma:displayName="MediaServiceObjectDetectorVersions" ma:hidden="true" ma:indexed="true" ma:internalName="MediaServiceObjectDetectorVersions" ma:readOnly="true">
      <xsd:simpleType>
        <xsd:restriction base="dms:Text"/>
      </xsd:simpleType>
    </xsd:element>
    <xsd:element name="Dateofreport" ma:index="36" nillable="true" ma:displayName="Date of report" ma:format="DateTime" ma:internalName="Dateofreport">
      <xsd:simpleType>
        <xsd:restriction base="dms:DateTime"/>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PeriodImage" ma:index="38" nillable="true" ma:displayName="Period Image" ma:format="Thumbnail" ma:internalName="PeriodImage">
      <xsd:simpleType>
        <xsd:restriction base="dms:Unknown"/>
      </xsd:simpleType>
    </xsd:element>
    <xsd:element name="Inputyears" ma:index="39" nillable="true" ma:displayName="Input years" ma:description="How many years of COLLSTATS data has been used as input?" ma:format="Dropdown" ma:internalName="Inputyears">
      <xsd:simpleType>
        <xsd:restriction base="dms:Choice">
          <xsd:enumeration value="3-year"/>
          <xsd:enumeration value="5-year"/>
        </xsd:restriction>
      </xsd:simpleType>
    </xsd:element>
  </xsd:schema>
  <xsd:schema xmlns:xsd="http://www.w3.org/2001/XMLSchema" xmlns:xs="http://www.w3.org/2001/XMLSchema" xmlns:dms="http://schemas.microsoft.com/office/2006/documentManagement/types" xmlns:pc="http://schemas.microsoft.com/office/infopath/2007/PartnerControls" targetNamespace="4ef378ad-4c14-4e47-b91e-0558d640570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_dlc_DocId" ma:index="40" nillable="true" ma:displayName="Document ID Value" ma:description="The value of the document ID assigned to this item." ma:indexed="true" ma:internalName="_dlc_DocId" ma:readOnly="true">
      <xsd:simpleType>
        <xsd:restriction base="dms:Text"/>
      </xsd:simpleType>
    </xsd:element>
    <xsd:element name="_dlc_DocIdUrl" ma:index="4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42"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01ea4e6-356c-4d90-aef9-664fc2866395"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aa3e1ab9-0e35-4687-a62d-ec099af88344}" ma:internalName="TaxCatchAll" ma:showField="CatchAllData" ma:web="4ef378ad-4c14-4e47-b91e-0558d64057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A22320C-3104-4F06-9E1A-5E8229B40F30}">
  <ds:schemaRefs>
    <ds:schemaRef ds:uri="http://schemas.microsoft.com/sharepoint/v3/contenttype/forms"/>
  </ds:schemaRefs>
</ds:datastoreItem>
</file>

<file path=customXml/itemProps2.xml><?xml version="1.0" encoding="utf-8"?>
<ds:datastoreItem xmlns:ds="http://schemas.openxmlformats.org/officeDocument/2006/customXml" ds:itemID="{AC436FDF-29CE-4B61-9B3B-97FA3C107D17}">
  <ds:schemaRefs>
    <ds:schemaRef ds:uri="http://purl.org/dc/elements/1.1/"/>
    <ds:schemaRef ds:uri="http://purl.org/dc/terms/"/>
    <ds:schemaRef ds:uri="http://schemas.microsoft.com/office/2006/metadata/properties"/>
    <ds:schemaRef ds:uri="801ea4e6-356c-4d90-aef9-664fc2866395"/>
    <ds:schemaRef ds:uri="http://schemas.microsoft.com/office/2006/documentManagement/types"/>
    <ds:schemaRef ds:uri="http://schemas.microsoft.com/office/infopath/2007/PartnerControls"/>
    <ds:schemaRef ds:uri="http://schemas.openxmlformats.org/package/2006/metadata/core-properties"/>
    <ds:schemaRef ds:uri="4ef378ad-4c14-4e47-b91e-0558d6405708"/>
    <ds:schemaRef ds:uri="68d2735e-f70a-416e-bdfe-90ffec7c1d0c"/>
    <ds:schemaRef ds:uri="http://www.w3.org/XML/1998/namespace"/>
    <ds:schemaRef ds:uri="http://purl.org/dc/dcmitype/"/>
  </ds:schemaRefs>
</ds:datastoreItem>
</file>

<file path=customXml/itemProps3.xml><?xml version="1.0" encoding="utf-8"?>
<ds:datastoreItem xmlns:ds="http://schemas.openxmlformats.org/officeDocument/2006/customXml" ds:itemID="{3C05C8DD-73FC-43C4-B5EC-73C9A7ED93A9}">
  <ds:schemaRefs>
    <ds:schemaRef ds:uri="http://schemas.microsoft.com/DataMashup"/>
  </ds:schemaRefs>
</ds:datastoreItem>
</file>

<file path=customXml/itemProps4.xml><?xml version="1.0" encoding="utf-8"?>
<ds:datastoreItem xmlns:ds="http://schemas.openxmlformats.org/officeDocument/2006/customXml" ds:itemID="{15177CF2-74B0-493D-AA98-9EDA64AD91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d2735e-f70a-416e-bdfe-90ffec7c1d0c"/>
    <ds:schemaRef ds:uri="4ef378ad-4c14-4e47-b91e-0558d6405708"/>
    <ds:schemaRef ds:uri="801ea4e6-356c-4d90-aef9-664fc2866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230B5F10-069C-434B-8440-8D8541D8A1B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Factsheet 2024 Data Annex</vt:lpstr>
      <vt:lpstr>Table of contents</vt:lpstr>
      <vt:lpstr>Table 1</vt:lpstr>
      <vt:lpstr>Table 2</vt:lpstr>
      <vt:lpstr>Table 3</vt:lpstr>
      <vt:lpstr>Table 4</vt:lpstr>
      <vt:lpstr>Table 5</vt:lpstr>
      <vt:lpstr>Table 6</vt:lpstr>
      <vt:lpstr>Table 7</vt:lpstr>
      <vt:lpstr>Table 8</vt:lpstr>
      <vt:lpstr>Table 9</vt:lpstr>
      <vt:lpstr>Table 10</vt:lpstr>
      <vt:lpstr>Table 11</vt:lpstr>
      <vt:lpstr>Figures 7 and 8</vt:lpstr>
      <vt:lpstr>Boroughs</vt:lpstr>
      <vt:lpstr>Table 12</vt:lpstr>
      <vt:lpstr>Table 13</vt:lpstr>
      <vt:lpstr>Table 14</vt:lpstr>
      <vt:lpstr>Table 15</vt:lpstr>
      <vt:lpstr>Table 16</vt:lpstr>
      <vt:lpstr>Table 17</vt:lpstr>
      <vt:lpstr>Table 18</vt:lpstr>
      <vt:lpstr>Table 19</vt:lpstr>
    </vt:vector>
  </TitlesOfParts>
  <Manager/>
  <Company>Transport For London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Casualties in Greater London 2024 - data annex</dc:title>
  <dc:subject/>
  <dc:creator>Transport for London</dc:creator>
  <cp:keywords/>
  <dc:description/>
  <cp:lastModifiedBy>Stephen Manson</cp:lastModifiedBy>
  <cp:revision/>
  <dcterms:created xsi:type="dcterms:W3CDTF">2014-07-23T09:57:12Z</dcterms:created>
  <dcterms:modified xsi:type="dcterms:W3CDTF">2025-12-15T09:08:44Z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0x010100F4F8A7445A5A5F4AB36A2095F33FF4F8</vt:lpwstr>
  </property>
  <property fmtid="{D5CDD505-2E9C-101B-9397-08002B2CF9AE}" pid="3" name="MSIP_Label_1384b6f1-2a55-4aeb-ad8e-a7fb5468eb36_Enabled">
    <vt:lpwstr>true</vt:lpwstr>
  </property>
  <property fmtid="{D5CDD505-2E9C-101B-9397-08002B2CF9AE}" pid="4" name="MSIP_Label_1384b6f1-2a55-4aeb-ad8e-a7fb5468eb36_SetDate">
    <vt:lpwstr>2021-12-20T12:56:19Z</vt:lpwstr>
  </property>
  <property fmtid="{D5CDD505-2E9C-101B-9397-08002B2CF9AE}" pid="5" name="MSIP_Label_1384b6f1-2a55-4aeb-ad8e-a7fb5468eb36_Method">
    <vt:lpwstr>Privileged</vt:lpwstr>
  </property>
  <property fmtid="{D5CDD505-2E9C-101B-9397-08002B2CF9AE}" pid="6" name="MSIP_Label_1384b6f1-2a55-4aeb-ad8e-a7fb5468eb36_Name">
    <vt:lpwstr>TfL Unclassified</vt:lpwstr>
  </property>
  <property fmtid="{D5CDD505-2E9C-101B-9397-08002B2CF9AE}" pid="7" name="MSIP_Label_1384b6f1-2a55-4aeb-ad8e-a7fb5468eb36_SiteId">
    <vt:lpwstr>1fbd65bf-5def-4eea-a692-a089c255346b</vt:lpwstr>
  </property>
  <property fmtid="{D5CDD505-2E9C-101B-9397-08002B2CF9AE}" pid="8" name="MSIP_Label_1384b6f1-2a55-4aeb-ad8e-a7fb5468eb36_ActionId">
    <vt:lpwstr>76d54ccf-b728-496b-876b-b03393e3c2fd</vt:lpwstr>
  </property>
  <property fmtid="{D5CDD505-2E9C-101B-9397-08002B2CF9AE}" pid="9" name="MSIP_Label_1384b6f1-2a55-4aeb-ad8e-a7fb5468eb36_ContentBits">
    <vt:lpwstr>0</vt:lpwstr>
  </property>
  <property fmtid="{D5CDD505-2E9C-101B-9397-08002B2CF9AE}" pid="10" name="MediaServiceImageTags">
    <vt:lpwstr/>
  </property>
  <property fmtid="{D5CDD505-2E9C-101B-9397-08002B2CF9AE}" pid="11" name="_dlc_DocIdItemGuid">
    <vt:lpwstr>35ce5de5-88c3-4ce5-b09e-5f7cb66fcc3c</vt:lpwstr>
  </property>
</Properties>
</file>